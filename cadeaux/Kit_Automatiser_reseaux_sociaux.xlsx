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LAHAD\PRODUITS DIGITAUX\LIVRES A VENDRE\"/>
    </mc:Choice>
  </mc:AlternateContent>
  <xr:revisionPtr revIDLastSave="0" documentId="13_ncr:1_{3728C072-A946-4F33-A581-07CE9A935852}" xr6:coauthVersionLast="47" xr6:coauthVersionMax="47" xr10:uidLastSave="{00000000-0000-0000-0000-000000000000}"/>
  <bookViews>
    <workbookView xWindow="-120" yWindow="-120" windowWidth="29040" windowHeight="15840" tabRatio="500" activeTab="1" xr2:uid="{00000000-000D-0000-FFFF-FFFF00000000}"/>
  </bookViews>
  <sheets>
    <sheet name="Accueil" sheetId="1" r:id="rId1"/>
    <sheet name="Charte" sheetId="2" r:id="rId2"/>
    <sheet name="Banque idées" sheetId="3" r:id="rId3"/>
    <sheet name="Calendrier" sheetId="4" r:id="rId4"/>
    <sheet name="Prompts" sheetId="5" r:id="rId5"/>
    <sheet name="Meilleures heures" sheetId="6" r:id="rId6"/>
    <sheet name="Suivi stats" sheetId="7" r:id="rId7"/>
    <sheet name="Plan 14 jours" sheetId="8" r:id="rId8"/>
    <sheet name="Checklists" sheetId="9" r:id="rId9"/>
    <sheet name="Procédure pause" sheetId="10" r:id="rId10"/>
  </sheet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F12" i="9" l="1"/>
  <c r="F11" i="9"/>
  <c r="F10" i="9"/>
  <c r="F9" i="9"/>
  <c r="F8" i="9"/>
  <c r="F7" i="9"/>
  <c r="F6" i="9"/>
  <c r="C23" i="8"/>
  <c r="C22" i="8"/>
  <c r="D20" i="8"/>
  <c r="D19" i="8"/>
  <c r="D18" i="8"/>
  <c r="D17" i="8"/>
  <c r="D16" i="8"/>
  <c r="D15" i="8"/>
  <c r="D14" i="8"/>
  <c r="D13" i="8"/>
  <c r="D12" i="8"/>
  <c r="D11" i="8"/>
  <c r="D10" i="8"/>
  <c r="D9" i="8"/>
  <c r="D8" i="8"/>
  <c r="D7" i="8"/>
  <c r="N155" i="7"/>
  <c r="M155" i="7"/>
  <c r="N154" i="7"/>
  <c r="M154" i="7"/>
  <c r="N153" i="7"/>
  <c r="M153" i="7"/>
  <c r="N152" i="7"/>
  <c r="M152" i="7"/>
  <c r="N151" i="7"/>
  <c r="M151" i="7"/>
  <c r="N150" i="7"/>
  <c r="M150" i="7"/>
  <c r="N149" i="7"/>
  <c r="M149" i="7"/>
  <c r="N148" i="7"/>
  <c r="M148" i="7"/>
  <c r="N147" i="7"/>
  <c r="M147" i="7"/>
  <c r="N146" i="7"/>
  <c r="M146" i="7"/>
  <c r="N145" i="7"/>
  <c r="M145" i="7"/>
  <c r="N144" i="7"/>
  <c r="M144" i="7"/>
  <c r="N143" i="7"/>
  <c r="M143" i="7"/>
  <c r="N142" i="7"/>
  <c r="M142" i="7"/>
  <c r="N141" i="7"/>
  <c r="M141" i="7"/>
  <c r="N140" i="7"/>
  <c r="M140" i="7"/>
  <c r="N139" i="7"/>
  <c r="M139" i="7"/>
  <c r="N138" i="7"/>
  <c r="M138" i="7"/>
  <c r="N137" i="7"/>
  <c r="M137" i="7"/>
  <c r="N136" i="7"/>
  <c r="M136" i="7"/>
  <c r="N135" i="7"/>
  <c r="M135" i="7"/>
  <c r="N134" i="7"/>
  <c r="M134" i="7"/>
  <c r="N133" i="7"/>
  <c r="M133" i="7"/>
  <c r="N132" i="7"/>
  <c r="M132" i="7"/>
  <c r="N131" i="7"/>
  <c r="M131" i="7"/>
  <c r="N130" i="7"/>
  <c r="M130" i="7"/>
  <c r="N129" i="7"/>
  <c r="M129" i="7"/>
  <c r="N128" i="7"/>
  <c r="M128" i="7"/>
  <c r="N127" i="7"/>
  <c r="M127" i="7"/>
  <c r="N126" i="7"/>
  <c r="M126" i="7"/>
  <c r="N125" i="7"/>
  <c r="M125" i="7"/>
  <c r="N124" i="7"/>
  <c r="M124" i="7"/>
  <c r="N123" i="7"/>
  <c r="M123" i="7"/>
  <c r="N122" i="7"/>
  <c r="M122" i="7"/>
  <c r="N121" i="7"/>
  <c r="M121" i="7"/>
  <c r="N120" i="7"/>
  <c r="M120" i="7"/>
  <c r="N119" i="7"/>
  <c r="M119" i="7"/>
  <c r="N118" i="7"/>
  <c r="M118" i="7"/>
  <c r="N117" i="7"/>
  <c r="M117" i="7"/>
  <c r="N116" i="7"/>
  <c r="M116" i="7"/>
  <c r="N115" i="7"/>
  <c r="M115" i="7"/>
  <c r="N114" i="7"/>
  <c r="M114" i="7"/>
  <c r="N113" i="7"/>
  <c r="M113" i="7"/>
  <c r="N112" i="7"/>
  <c r="M112" i="7"/>
  <c r="N111" i="7"/>
  <c r="M111" i="7"/>
  <c r="N110" i="7"/>
  <c r="M110" i="7"/>
  <c r="N109" i="7"/>
  <c r="M109" i="7"/>
  <c r="N108" i="7"/>
  <c r="M108" i="7"/>
  <c r="N107" i="7"/>
  <c r="M107" i="7"/>
  <c r="N106" i="7"/>
  <c r="M106" i="7"/>
  <c r="N105" i="7"/>
  <c r="M105" i="7"/>
  <c r="N104" i="7"/>
  <c r="M104" i="7"/>
  <c r="N103" i="7"/>
  <c r="M103" i="7"/>
  <c r="N102" i="7"/>
  <c r="M102" i="7"/>
  <c r="N101" i="7"/>
  <c r="M101" i="7"/>
  <c r="N100" i="7"/>
  <c r="M100" i="7"/>
  <c r="N99" i="7"/>
  <c r="M99" i="7"/>
  <c r="N98" i="7"/>
  <c r="M98" i="7"/>
  <c r="N97" i="7"/>
  <c r="M97" i="7"/>
  <c r="N96" i="7"/>
  <c r="M96" i="7"/>
  <c r="N95" i="7"/>
  <c r="M95" i="7"/>
  <c r="N94" i="7"/>
  <c r="M94" i="7"/>
  <c r="N93" i="7"/>
  <c r="M93" i="7"/>
  <c r="N92" i="7"/>
  <c r="M92" i="7"/>
  <c r="N91" i="7"/>
  <c r="M91" i="7"/>
  <c r="N90" i="7"/>
  <c r="M90" i="7"/>
  <c r="N89" i="7"/>
  <c r="M89" i="7"/>
  <c r="N88" i="7"/>
  <c r="M88" i="7"/>
  <c r="N87" i="7"/>
  <c r="M87" i="7"/>
  <c r="N86" i="7"/>
  <c r="M86" i="7"/>
  <c r="N85" i="7"/>
  <c r="M85" i="7"/>
  <c r="N84" i="7"/>
  <c r="M84" i="7"/>
  <c r="N83" i="7"/>
  <c r="M83" i="7"/>
  <c r="N82" i="7"/>
  <c r="M82" i="7"/>
  <c r="N81" i="7"/>
  <c r="M81" i="7"/>
  <c r="N80" i="7"/>
  <c r="M80" i="7"/>
  <c r="N79" i="7"/>
  <c r="M79" i="7"/>
  <c r="N78" i="7"/>
  <c r="M78" i="7"/>
  <c r="N77" i="7"/>
  <c r="M77" i="7"/>
  <c r="N76" i="7"/>
  <c r="M76" i="7"/>
  <c r="N75" i="7"/>
  <c r="M75" i="7"/>
  <c r="N74" i="7"/>
  <c r="M74" i="7"/>
  <c r="N73" i="7"/>
  <c r="M73" i="7"/>
  <c r="N72" i="7"/>
  <c r="M72" i="7"/>
  <c r="N71" i="7"/>
  <c r="M71" i="7"/>
  <c r="N70" i="7"/>
  <c r="M70" i="7"/>
  <c r="N69" i="7"/>
  <c r="M69" i="7"/>
  <c r="N68" i="7"/>
  <c r="M68" i="7"/>
  <c r="N67" i="7"/>
  <c r="M67" i="7"/>
  <c r="N66" i="7"/>
  <c r="M66" i="7"/>
  <c r="N65" i="7"/>
  <c r="M65" i="7"/>
  <c r="N64" i="7"/>
  <c r="M64" i="7"/>
  <c r="N63" i="7"/>
  <c r="M63" i="7"/>
  <c r="N62" i="7"/>
  <c r="M62" i="7"/>
  <c r="N61" i="7"/>
  <c r="M61" i="7"/>
  <c r="N60" i="7"/>
  <c r="M60" i="7"/>
  <c r="N59" i="7"/>
  <c r="M59" i="7"/>
  <c r="N58" i="7"/>
  <c r="M58" i="7"/>
  <c r="N57" i="7"/>
  <c r="M57" i="7"/>
  <c r="N56" i="7"/>
  <c r="M56" i="7"/>
  <c r="N55" i="7"/>
  <c r="M55" i="7"/>
  <c r="N54" i="7"/>
  <c r="M54" i="7"/>
  <c r="N53" i="7"/>
  <c r="M53" i="7"/>
  <c r="N52" i="7"/>
  <c r="M52" i="7"/>
  <c r="N51" i="7"/>
  <c r="M51" i="7"/>
  <c r="N50" i="7"/>
  <c r="M50" i="7"/>
  <c r="N49" i="7"/>
  <c r="M49" i="7"/>
  <c r="N48" i="7"/>
  <c r="M48" i="7"/>
  <c r="N47" i="7"/>
  <c r="M47" i="7"/>
  <c r="N46" i="7"/>
  <c r="M46" i="7"/>
  <c r="N45" i="7"/>
  <c r="M45" i="7"/>
  <c r="N44" i="7"/>
  <c r="M44" i="7"/>
  <c r="N43" i="7"/>
  <c r="M43" i="7"/>
  <c r="N42" i="7"/>
  <c r="M42" i="7"/>
  <c r="N41" i="7"/>
  <c r="M41" i="7"/>
  <c r="N40" i="7"/>
  <c r="M40" i="7"/>
  <c r="N39" i="7"/>
  <c r="M39" i="7"/>
  <c r="N38" i="7"/>
  <c r="M38" i="7"/>
  <c r="N37" i="7"/>
  <c r="M37" i="7"/>
  <c r="N36" i="7"/>
  <c r="M36" i="7"/>
  <c r="N35" i="7"/>
  <c r="M35" i="7"/>
  <c r="N34" i="7"/>
  <c r="M34" i="7"/>
  <c r="N33" i="7"/>
  <c r="M33" i="7"/>
  <c r="N32" i="7"/>
  <c r="M32" i="7"/>
  <c r="N31" i="7"/>
  <c r="M31" i="7"/>
  <c r="N30" i="7"/>
  <c r="M30" i="7"/>
  <c r="N29" i="7"/>
  <c r="M29" i="7"/>
  <c r="N28" i="7"/>
  <c r="M28" i="7"/>
  <c r="N27" i="7"/>
  <c r="M27" i="7"/>
  <c r="N26" i="7"/>
  <c r="M26" i="7"/>
  <c r="N25" i="7"/>
  <c r="M25" i="7"/>
  <c r="Q24" i="7"/>
  <c r="N24" i="7"/>
  <c r="M24" i="7"/>
  <c r="Q23" i="7"/>
  <c r="N23" i="7"/>
  <c r="M23" i="7"/>
  <c r="N22" i="7"/>
  <c r="M22" i="7"/>
  <c r="Q21" i="7"/>
  <c r="N21" i="7"/>
  <c r="M21" i="7"/>
  <c r="Q20" i="7"/>
  <c r="N20" i="7"/>
  <c r="M20" i="7"/>
  <c r="N19" i="7"/>
  <c r="M19" i="7"/>
  <c r="N18" i="7"/>
  <c r="M18" i="7"/>
  <c r="S17" i="7"/>
  <c r="R17" i="7"/>
  <c r="Q17" i="7"/>
  <c r="P17" i="7"/>
  <c r="T17" i="7" s="1"/>
  <c r="N17" i="7"/>
  <c r="M17" i="7"/>
  <c r="P16" i="7"/>
  <c r="S16" i="7" s="1"/>
  <c r="N16" i="7"/>
  <c r="M16" i="7"/>
  <c r="P15" i="7"/>
  <c r="R15" i="7" s="1"/>
  <c r="N15" i="7"/>
  <c r="M15" i="7"/>
  <c r="R14" i="7"/>
  <c r="P14" i="7"/>
  <c r="Q14" i="7" s="1"/>
  <c r="N14" i="7"/>
  <c r="M14" i="7"/>
  <c r="R13" i="7"/>
  <c r="Q13" i="7"/>
  <c r="P13" i="7"/>
  <c r="T13" i="7" s="1"/>
  <c r="N13" i="7"/>
  <c r="M13" i="7"/>
  <c r="N12" i="7"/>
  <c r="M12" i="7"/>
  <c r="N11" i="7"/>
  <c r="M11" i="7"/>
  <c r="P10" i="7"/>
  <c r="S10" i="7" s="1"/>
  <c r="N10" i="7"/>
  <c r="M10" i="7"/>
  <c r="P9" i="7"/>
  <c r="R9" i="7" s="1"/>
  <c r="N9" i="7"/>
  <c r="M9" i="7"/>
  <c r="S8" i="7"/>
  <c r="R8" i="7"/>
  <c r="P8" i="7"/>
  <c r="Q8" i="7" s="1"/>
  <c r="N8" i="7"/>
  <c r="M8" i="7"/>
  <c r="Q22" i="7" s="1"/>
  <c r="B23" i="1" s="1"/>
  <c r="R7" i="7"/>
  <c r="Q7" i="7"/>
  <c r="P7" i="7"/>
  <c r="T7" i="7" s="1"/>
  <c r="N7" i="7"/>
  <c r="M7" i="7"/>
  <c r="S7" i="7" s="1"/>
  <c r="P6" i="7"/>
  <c r="S6" i="7" s="1"/>
  <c r="N6" i="7"/>
  <c r="Q26" i="7" s="1"/>
  <c r="M6" i="7"/>
  <c r="Q25" i="7" s="1"/>
  <c r="B25" i="1" s="1"/>
  <c r="B20" i="4"/>
  <c r="C20" i="4" s="1"/>
  <c r="B19" i="4"/>
  <c r="C19" i="4" s="1"/>
  <c r="B18" i="4"/>
  <c r="C18" i="4" s="1"/>
  <c r="B17" i="4"/>
  <c r="C17" i="4" s="1"/>
  <c r="B16" i="4"/>
  <c r="C16" i="4" s="1"/>
  <c r="G13" i="4"/>
  <c r="F13" i="4"/>
  <c r="E13" i="4"/>
  <c r="D13" i="4"/>
  <c r="H13" i="4" s="1"/>
  <c r="J13" i="3"/>
  <c r="L11" i="3"/>
  <c r="K11" i="3"/>
  <c r="J11" i="3"/>
  <c r="B17" i="1" s="1"/>
  <c r="L10" i="3"/>
  <c r="K10" i="3"/>
  <c r="I10" i="3"/>
  <c r="J10" i="3" s="1"/>
  <c r="L9" i="3"/>
  <c r="K9" i="3"/>
  <c r="I9" i="3"/>
  <c r="J9" i="3" s="1"/>
  <c r="L8" i="3"/>
  <c r="K8" i="3"/>
  <c r="I8" i="3"/>
  <c r="J8" i="3" s="1"/>
  <c r="L7" i="3"/>
  <c r="K7" i="3"/>
  <c r="I7" i="3"/>
  <c r="J7" i="3" s="1"/>
  <c r="L6" i="3"/>
  <c r="K6" i="3"/>
  <c r="I6" i="3"/>
  <c r="J6" i="3" s="1"/>
  <c r="C20" i="2"/>
  <c r="C17" i="2"/>
  <c r="B16" i="1" s="1"/>
  <c r="B24" i="1"/>
  <c r="B22" i="1"/>
  <c r="B21" i="1"/>
  <c r="B20" i="1"/>
  <c r="B19" i="1"/>
  <c r="T6" i="7" l="1"/>
  <c r="S9" i="7"/>
  <c r="T10" i="7"/>
  <c r="S15" i="7"/>
  <c r="T16" i="7"/>
  <c r="R10" i="7"/>
  <c r="Q6" i="7"/>
  <c r="T9" i="7"/>
  <c r="Q10" i="7"/>
  <c r="S14" i="7"/>
  <c r="T15" i="7"/>
  <c r="Q16" i="7"/>
  <c r="J14" i="3"/>
  <c r="B18" i="1" s="1"/>
  <c r="R6" i="7"/>
  <c r="T8" i="7"/>
  <c r="Q9" i="7"/>
  <c r="S13" i="7"/>
  <c r="T14" i="7"/>
  <c r="Q15" i="7"/>
  <c r="R16" i="7"/>
</calcChain>
</file>

<file path=xl/sharedStrings.xml><?xml version="1.0" encoding="utf-8"?>
<sst xmlns="http://schemas.openxmlformats.org/spreadsheetml/2006/main" count="573" uniqueCount="341">
  <si>
    <t>Kit : automatiser ses réseaux sociaux de A à Z</t>
  </si>
  <si>
    <t>Campus des Bâtisseurs · Connecter • Accompagner • Bâtir</t>
  </si>
  <si>
    <t>Onglet</t>
  </si>
  <si>
    <t>À quoi il sert</t>
  </si>
  <si>
    <t>2 Charte</t>
  </si>
  <si>
    <t>Étape 1 · Les 10 rubriques de ta charte, assemblées automatiquement en un texte prêt à coller dans Claude ; tes listes (piliers, réseaux, formats)</t>
  </si>
  <si>
    <t>3 Banque idées</t>
  </si>
  <si>
    <t>Étapes 1 et 2 · Tes idées par pilier avec leur état ; stock et verdict calculés</t>
  </si>
  <si>
    <t>4 Calendrier</t>
  </si>
  <si>
    <t>Étape 2 · Ta semaine type : format, pilier, réseaux ; nombre de posts calculé</t>
  </si>
  <si>
    <t>5 Prompts</t>
  </si>
  <si>
    <t>Toutes les étapes · Les 18 prompts de la formation, prêts à copier</t>
  </si>
  <si>
    <t>6 Meilleures heures</t>
  </si>
  <si>
    <t>Étape 4 · Tes créneaux de publication par réseau, relevés dans Metricool</t>
  </si>
  <si>
    <t>7 Suivi stats</t>
  </si>
  <si>
    <t>Étape 6 · Taux d’engagement et de partage calculés post par post ; synthèse par réseau et par pilier</t>
  </si>
  <si>
    <t>8 Plan 14 jours</t>
  </si>
  <si>
    <t>Toutes les étapes · Ton calendrier d’installation, avec dates, avancement et prochaine action</t>
  </si>
  <si>
    <t>9 Checklists</t>
  </si>
  <si>
    <t>Toutes les étapes · Les checklists des 6 étapes et la checklist finale, avec pourcentage par bloc</t>
  </si>
  <si>
    <t>10 Procédure pause</t>
  </si>
  <si>
    <t>Sécurité · Ta procédure d’urgence en 2 minutes, à imprimer</t>
  </si>
  <si>
    <t>Mon tableau de bord</t>
  </si>
  <si>
    <t>Charte remplie</t>
  </si>
  <si>
    <t>Idées « À faire » en stock</t>
  </si>
  <si>
    <t>Verdict du stock d’idées</t>
  </si>
  <si>
    <t>Avancement du plan 14 jours</t>
  </si>
  <si>
    <t>Prochaine action</t>
  </si>
  <si>
    <t>Checklist finale</t>
  </si>
  <si>
    <t>Posts suivis</t>
  </si>
  <si>
    <t>Engagement moyen</t>
  </si>
  <si>
    <t>Abonnés gagnés</t>
  </si>
  <si>
    <t>Meilleur post (engagement)</t>
  </si>
  <si>
    <t>Comment l’utiliser :</t>
  </si>
  <si>
    <t>1. Suis l’ordre des onglets, comme dans la formation et le plan de 14 jours.</t>
  </si>
  <si>
    <t>2. Remplis uniquement les cellules jaunes ; les cellules grises se calculent seules.</t>
  </si>
  <si>
    <t>3. Les lignes orange sont des exemples : remplace-les par tes données, ou supprime-les.</t>
  </si>
  <si>
    <t>4. Commence par l’onglet Charte : ses listes (piliers, réseaux, formats) alimentent les menus déroulants des autres onglets.</t>
  </si>
  <si>
    <t>5. Ne stocke jamais de mot de passe ni de clé API dans ce fichier.</t>
  </si>
  <si>
    <t>Informations vérifiées le 14 octobre 2026 : les menus et offres des outils évoluent, vérifie-les sur les sites officiels.</t>
  </si>
  <si>
    <t>Campus des Bâtisseurs · campusdesbatisseurs.com · infos@campusdesbatisseurs.com · +221 76 760 22 22</t>
  </si>
  <si>
    <t>YouTube, TikTok et Facebook : @campusdesbatisseurs</t>
  </si>
  <si>
    <t>Ma charte éditoriale</t>
  </si>
  <si>
    <t>Étape 1 · Le document le plus important du système. Remplis la colonne C, puis copie la cellule C20 dans les instructions de ton projet Claude.</t>
  </si>
  <si>
    <t>Légende : cellules jaunes = à remplir · cellules grises = calculées automatiquement · lignes orange = exemples (à remplacer ou supprimer)</t>
  </si>
  <si>
    <t>N°</t>
  </si>
  <si>
    <t>Rubrique</t>
  </si>
  <si>
    <t>Ta réponse</t>
  </si>
  <si>
    <t>Exemple : Campus des Bâtisseurs</t>
  </si>
  <si>
    <t>Qui je suis</t>
  </si>
  <si>
    <t>Communauté d’apprentissage qui aide à bâtir carrière, entreprise et patrimoine</t>
  </si>
  <si>
    <t>Pour qui j’écris</t>
  </si>
  <si>
    <t>Jeunes actifs, commerçants, entrepreneurs et diaspora d’Afrique francophone</t>
  </si>
  <si>
    <t>Ma promesse</t>
  </si>
  <si>
    <t>Protéger son argent, lancer son business, bâtir un patrimoine</t>
  </si>
  <si>
    <t>Mes piliers (3 à 5)</t>
  </si>
  <si>
    <t>Protéger · Entreprendre · Épargner et investir · Bâtir</t>
  </si>
  <si>
    <t>Mon ton</t>
  </si>
  <si>
    <t>Direct, chaleureux, concret ; tutoiement ; phrases courtes ; exemples en FCFA, Wave, Orange Money</t>
  </si>
  <si>
    <t>Ce que je ne dis jamais</t>
  </si>
  <si>
    <t>Promesses de gains, conseils financiers personnalisés, attaques, politique partisane</t>
  </si>
  <si>
    <t>Ma signature et mes appels à l’action</t>
  </si>
  <si>
    <t>Commenter, partager, écrire GUIDE pour recevoir le guide gratuit</t>
  </si>
  <si>
    <t>Mes hashtags</t>
  </si>
  <si>
    <t>#CampusDesBatisseurs + 2 à 4 hashtags de niche</t>
  </si>
  <si>
    <t>Mes couleurs et polices</t>
  </si>
  <si>
    <t>Bleu nuit #14213D, orange #D9792B ; titres Montserrat, texte Lato</t>
  </si>
  <si>
    <t>10 exemples de mes meilleurs posts</t>
  </si>
  <si>
    <t>Colle-les tels quels, séparés par une ligne « --- »</t>
  </si>
  <si>
    <t>Rubriques remplies</t>
  </si>
  <si>
    <t>Charte prête à coller dans Claude</t>
  </si>
  <si>
    <t>Copie cette cellule →</t>
  </si>
  <si>
    <t>Mes listes (utilisées par les autres onglets)</t>
  </si>
  <si>
    <t>Mes piliers</t>
  </si>
  <si>
    <t>Réseaux</t>
  </si>
  <si>
    <t>Formats</t>
  </si>
  <si>
    <t>Protéger</t>
  </si>
  <si>
    <t>Facebook</t>
  </si>
  <si>
    <t>Histoire</t>
  </si>
  <si>
    <t>Entreprendre</t>
  </si>
  <si>
    <t>Instagram</t>
  </si>
  <si>
    <t>Carrousel</t>
  </si>
  <si>
    <t>Épargner et investir</t>
  </si>
  <si>
    <t>TikTok</t>
  </si>
  <si>
    <t>Capture annotée</t>
  </si>
  <si>
    <t>Bâtir</t>
  </si>
  <si>
    <t>LinkedIn</t>
  </si>
  <si>
    <t>Question débat</t>
  </si>
  <si>
    <t>YouTube</t>
  </si>
  <si>
    <t>Liste utile</t>
  </si>
  <si>
    <t>Erreur / bonne pratique</t>
  </si>
  <si>
    <t>Offre / témoignage</t>
  </si>
  <si>
    <t>Vidéo courte</t>
  </si>
  <si>
    <t>Remplace les piliers d’exemple par les tiens : les listes déroulantes se mettent à jour.</t>
  </si>
  <si>
    <t>Ma banque d’idées</t>
  </si>
  <si>
    <t>Étapes 1 et 2 · Une idée par ligne. Le système pioche ici chaque semaine. Objectif : au moins 30 idées « À faire ».</t>
  </si>
  <si>
    <t>Pilier</t>
  </si>
  <si>
    <t>Idée (accroche)</t>
  </si>
  <si>
    <t>Format conseillé</t>
  </si>
  <si>
    <t>Source</t>
  </si>
  <si>
    <t>État</t>
  </si>
  <si>
    <t>Date prévue</t>
  </si>
  <si>
    <t>À faire</t>
  </si>
  <si>
    <t>Programmées</t>
  </si>
  <si>
    <t>Publiées</t>
  </si>
  <si>
    <t>L’arnaque au faux agent Wave</t>
  </si>
  <si>
    <t>Question d’un abonné</t>
  </si>
  <si>
    <t>3 erreurs avant de lancer sa boutique</t>
  </si>
  <si>
    <t>Commentaire</t>
  </si>
  <si>
    <t>Programmée</t>
  </si>
  <si>
    <t>Pourquoi la tontine ne suffit pas</t>
  </si>
  <si>
    <t>Idée perso</t>
  </si>
  <si>
    <t>Publiée</t>
  </si>
  <si>
    <t>Acheter un terrain sans se faire avoir</t>
  </si>
  <si>
    <t>Question client</t>
  </si>
  <si>
    <t>Total</t>
  </si>
  <si>
    <t>Stock d’idées « À faire »</t>
  </si>
  <si>
    <t>Verdict</t>
  </si>
  <si>
    <t>Ma semaine type</t>
  </si>
  <si>
    <t>Étape 2 · Un format fixe par jour. Recopie ce planning dans ta charte : le prompt de la semaine le suivra.</t>
  </si>
  <si>
    <t>Jour</t>
  </si>
  <si>
    <t>Format</t>
  </si>
  <si>
    <t>Notes (heure, appel à l’action…)</t>
  </si>
  <si>
    <t>Lundi</t>
  </si>
  <si>
    <t>Oui</t>
  </si>
  <si>
    <t>Mardi</t>
  </si>
  <si>
    <t>Mercredi</t>
  </si>
  <si>
    <t>Jeudi</t>
  </si>
  <si>
    <t>Vendredi</t>
  </si>
  <si>
    <t>Samedi</t>
  </si>
  <si>
    <t>Non</t>
  </si>
  <si>
    <t>Dimanche</t>
  </si>
  <si>
    <t>Posts / semaine</t>
  </si>
  <si>
    <t>Répartition par pilier</t>
  </si>
  <si>
    <t>Conseil : équilibre tes piliers et garde au plus un post d’offre par semaine pour 5 à 6 posts de valeur.</t>
  </si>
  <si>
    <t>Tous les prompts de la formation</t>
  </si>
  <si>
    <t>Prêts à copier. Remplace les [crochets] par tes informations. Les prompts sont en police à chasse fixe pour être copiés facilement.</t>
  </si>
  <si>
    <t>Prompt</t>
  </si>
  <si>
    <t>Étape</t>
  </si>
  <si>
    <t>Quand l’utiliser</t>
  </si>
  <si>
    <t>Texte à copier</t>
  </si>
  <si>
    <t>Test de connexion</t>
  </si>
  <si>
    <t>1</t>
  </si>
  <si>
    <t>Une fois, après les connecteurs</t>
  </si>
  <si>
    <t>Liste mes marques Metricool et les réseaux connectés.
Ouvre ma charte éditoriale dans Drive et résume-la en 3 lignes.</t>
  </si>
  <si>
    <t>Prompt de la semaine</t>
  </si>
  <si>
    <t>2</t>
  </si>
  <si>
    <t>Chaque semaine (ou dans la tâche)</t>
  </si>
  <si>
    <t>Tu es mon rédacteur. Suis strictement ma charte éditoriale.
Prépare les publications de la semaine du [date du lundi] :
- 7 sujets, un par jour, en alternant mes piliers ;
- pioche d’abord dans mon fichier « Idées » (Drive, 02_Idees) ;
- suis le format de la semaine défini dans ma charte.
Pour chaque sujet, écris une version par réseau :
- Facebook : 120 à 200 mots, accroche forte, phrases courtes ;
- LinkedIn : ton professionnel, 150 à 250 mots, une leçon claire ;
- Instagram et TikTok : légende courte + texte de 5 à 8 diapositives si carrousel.
Pour chaque post : date | heure | réseau | pilier | texte | hashtags | brief visuel
(titre de l’image en 8 mots maximum + description).
Enregistre le tout dans un document « Semaine-[numéro] » dans le dossier 03_A_valider de mon Drive.</t>
  </si>
  <si>
    <t>Contrôle qualité</t>
  </si>
  <si>
    <t>À ajouter à la fin de chaque prompt</t>
  </si>
  <si>
    <t>Avant de livrer, vérifie chaque post :
1. La première ligne donne-t-elle envie de lire la suite ?
2. Le post respecte-t-il le ton et les interdits de ma charte ?
3. Les chiffres et faits sont-ils exacts et vérifiables ? Sinon, retire-les.
4. Y a-t-il un seul appel à l’action clair ?
5. Le texte respecte-t-il la longueur prévue pour le réseau ?
Corrige ce qui ne va pas, puis livre.</t>
  </si>
  <si>
    <t>30 idées pour le mois</t>
  </si>
  <si>
    <t>Une fois par mois</t>
  </si>
  <si>
    <t>À partir de ma charte et des questions reçues en commentaire ce mois-ci, propose 30 idées de posts : 8 par pilier, plus 6 idées d’actualité. Pour chacune : le pilier, l’accroche, le format conseillé. Ajoute-les à mon fichier « Idées ».</t>
  </si>
  <si>
    <t>Décliner un post qui a marché</t>
  </si>
  <si>
    <t>Après un bon rapport</t>
  </si>
  <si>
    <t>Ce post a très bien fonctionné : [coller le post]. Écris 5 variantes avec des angles différents (histoire, liste, question, chiffre choc, erreur à éviter), sans répéter les mêmes phrases.</t>
  </si>
  <si>
    <t>Transformer un guide en posts</t>
  </si>
  <si>
    <t>Pour promouvoir un produit</t>
  </si>
  <si>
    <t>Voici un chapitre de mon guide : [coller]. Transforme-le en 10 posts de valeur qui donnent envie d’acheter le guide, sans dévoiler tout le contenu. Le 10e post présente l’offre.</t>
  </si>
  <si>
    <t>Créer les 5 modèles visuels</t>
  </si>
  <si>
    <t>3</t>
  </si>
  <si>
    <t>Une seule fois</t>
  </si>
  <si>
    <t>Crée 5 modèles de visuels pour mes réseaux, sous forme de pages HTML, aux couleurs de ma charte [codes couleurs] et avec mes polices [noms].
Modèles : citation, carrousel (couverture, contenu, appel à l’action), liste, erreur ou bonne pratique, offre.
Chaque modèle a des zones de texte remplaçables : {titre}, {texte}, {numero}. Prévois les formats 1080 x 1350 et 1080 x 1920.
Enregistre-les dans mon dossier 01_Charte/Modeles.</t>
  </si>
  <si>
    <t>Produire les visuels</t>
  </si>
  <si>
    <t>Pour chaque post du document « Semaine-[numéro] », crée le visuel décrit dans son brief avec le modèle adapté. Exporte chaque visuel en PNG, nomme-le [date]_[reseau]_[sujet].png et enregistre-le dans 03_A_valider/Semaine-[numéro]/visuels. Vérifie que le texte est lisible et ne déborde pas du cadre ; sinon, raccourcis le titre.</t>
  </si>
  <si>
    <t>Tableau pour Canva (création en masse)</t>
  </si>
  <si>
    <t>Si tu utilises Canva</t>
  </si>
  <si>
    <t>Transforme les posts de « Semaine-[numéro] » en tableau CSV avec les colonnes titre ; texte ; numero ; reseau. Titre : 8 mots maximum. Texte : 25 mots maximum.</t>
  </si>
  <si>
    <t>Programmation hebdomadaire</t>
  </si>
  <si>
    <t>4</t>
  </si>
  <si>
    <t>Programme dans Metricool, pour ma marque « [nom de la marque] », tous les posts du document « Semaine-[numéro] », avec leurs visuels.
- Utilise les meilleures heures de publication de chaque réseau.
- Laisse au moins 5 minutes entre deux publications sur un même réseau.
- Crée-les en brouillons à valider, jamais en publication directe.
Donne-moi la liste des posts créés : date, heure, réseau.
(Rappel : les visuels doivent être importés dans Metricool ou accessibles par un lien public.)</t>
  </si>
  <si>
    <t>Semaine en CSV pour Metricool</t>
  </si>
  <si>
    <t>Plan B sans connecteur</t>
  </si>
  <si>
    <t>Transforme les posts de « Semaine-[numéro] » en fichier CSV au format d’import de Metricool [coller ici l’en-tête du modèle CSV téléchargé dans Metricool]. Une ligne par post et par réseau.</t>
  </si>
  <si>
    <t>Tâche « Production hebdomadaire »</t>
  </si>
  <si>
    <t>5</t>
  </si>
  <si>
    <t>Tâche planifiée, dimanche 18 h</t>
  </si>
  <si>
    <t>Tâche « Production hebdomadaire des réseaux sociaux ».
1. Lis ma charte éditoriale (Drive, 01_Charte) et mon fichier « Idées ».
2. Lis le dernier rapport d’analyse (Drive, 05_Rapports) et tiens compte de ses recommandations.
3. Rédige les 7 posts de la semaine prochaine, une version par réseau, selon le prompt de la semaine et le contrôle qualité.
4. Crée les visuels avec mes modèles.
5. Enregistre textes et visuels dans 03_A_valider/Semaine-[numéro].
6. Programme chaque post dans Metricool en brouillon à valider, aux meilleures heures, 5 minutes minimum entre deux posts d’un même réseau.
7. Marque les idées utilisées comme « faites » dans le fichier « Idées ».
8. Termine par un résumé : liste des posts, dates, et tout point qui demande mon attention.
Ne publie jamais directement : uniquement des brouillons à valider.
Si une étape échoue, arrête-toi et explique le problème dans le résumé.</t>
  </si>
  <si>
    <t>Tâche « Rapport hebdomadaire »</t>
  </si>
  <si>
    <t>6</t>
  </si>
  <si>
    <t>Tâche planifiée, lundi 7 h</t>
  </si>
  <si>
    <t>Tâche « Rapport hebdomadaire des réseaux sociaux ».
1. Récupère dans Metricool les statistiques des 7 derniers jours pour ma marque « [nom] », sur chaque réseau.
2. Classe les posts du meilleur au moins bon selon le taux d’engagement et les partages.
3. Identifie ce qui distingue les 3 meilleurs posts (pilier, format, accroche, heure, réseau) et les 3 moins bons.
4. Compare avec la semaine précédente : abonnés, portée, engagement.
5. Donne 3 recommandations concrètes pour la semaine suivante.
6. Ajoute au fichier « Idées » 5 nouvelles idées inspirées des meilleurs posts et des questions posées en commentaire.
7. Enregistre le rapport dans 05_Rapports/Rapport-Semaine-[numéro].
Écris le rapport en moins d’une page, en français simple.</t>
  </si>
  <si>
    <t>SOS · Rattraper une semaine</t>
  </si>
  <si>
    <t>Bonus</t>
  </si>
  <si>
    <t>Planning vide</t>
  </si>
  <si>
    <t>Je n’ai rien de programmé pour les 3 prochains jours. Prépare 3 posts simples à partir de mes meilleurs posts passés, avec visuels, et programme-les en brouillons à valider aux meilleures heures.</t>
  </si>
  <si>
    <t>SOS · Réagir à une actualité</t>
  </si>
  <si>
    <t>Actualité importante</t>
  </si>
  <si>
    <t>Voici une actualité : [résumé et source]. Propose 2 posts utiles et prudents en lien avec mes piliers, sans opinion politique, avec les faits vérifiés seulement. Ne programme rien : je valide d’abord.</t>
  </si>
  <si>
    <t>SOS · Tout mettre en pause</t>
  </si>
  <si>
    <t>Urgence</t>
  </si>
  <si>
    <t>Liste tous mes posts programmés dans Metricool pour les 7 prochains jours et indique-moi comment les suspendre. Ne supprime rien.</t>
  </si>
  <si>
    <t>SOS · Recycler les meilleurs contenus</t>
  </si>
  <si>
    <t>Une fois par trimestre</t>
  </si>
  <si>
    <t>Trouve dans Metricool mes 5 posts avec le plus de partages des 3 derniers mois. Propose pour chacun une nouvelle version avec un angle neuf, à programmer dans 2 semaines.</t>
  </si>
  <si>
    <t>SOS · Lancer un produit</t>
  </si>
  <si>
    <t>Lancement</t>
  </si>
  <si>
    <t>Je lance [produit] le [date]. Prépare une séquence de 10 posts sur 14 jours : 6 posts de valeur liés au sujet, 2 posts de preuve (témoignages réels), 2 posts d’offre. Visuels inclus, brouillons à valider.</t>
  </si>
  <si>
    <t>Mes meilleures heures de publication</t>
  </si>
  <si>
    <t>Étape 4 · Relève dans Metricool (Analytique → meilleur moment pour publier) les créneaux où ton audience est la plus active.</t>
  </si>
  <si>
    <t>Réseau</t>
  </si>
  <si>
    <t>Créneau 1</t>
  </si>
  <si>
    <t>Créneau 2</t>
  </si>
  <si>
    <t>Meilleur jour</t>
  </si>
  <si>
    <t>Relevé le</t>
  </si>
  <si>
    <t>Remarques</t>
  </si>
  <si>
    <t>Autre</t>
  </si>
  <si>
    <t>Saisis les heures au format 18:30. Mets ces créneaux à jour une fois par trimestre : ton audience évolue.</t>
  </si>
  <si>
    <t>TikTok : garde au moins 5 minutes d’écart entre deux posts programmés.</t>
  </si>
  <si>
    <t>Le suivi de mes statistiques</t>
  </si>
  <si>
    <t>Étape 6 · Une ligne par post, à remplir chaque lundi à partir du rapport ou de Metricool. Les taux se calculent seuls.</t>
  </si>
  <si>
    <t>Synthèse automatique</t>
  </si>
  <si>
    <t>Date</t>
  </si>
  <si>
    <t>Sujet</t>
  </si>
  <si>
    <t>Portée</t>
  </si>
  <si>
    <t>Réactions</t>
  </si>
  <si>
    <t>Commen-taires</t>
  </si>
  <si>
    <t>Partages</t>
  </si>
  <si>
    <t>Enregis-trements</t>
  </si>
  <si>
    <t>Clics / messages</t>
  </si>
  <si>
    <t>Nouveaux abonnés</t>
  </si>
  <si>
    <t>Taux d’engagement</t>
  </si>
  <si>
    <t>Taux de partage</t>
  </si>
  <si>
    <t>Par réseau</t>
  </si>
  <si>
    <t>Posts</t>
  </si>
  <si>
    <t>Portée totale</t>
  </si>
  <si>
    <t>Par pilier</t>
  </si>
  <si>
    <t>Indicateurs clés</t>
  </si>
  <si>
    <t>Valeur</t>
  </si>
  <si>
    <t>Clics et messages</t>
  </si>
  <si>
    <t>Meilleur post (partages)</t>
  </si>
  <si>
    <t>Taux d’engagement = (réactions + commentaires + partages) ÷ portée. Taux de partage = (partages + enregistrements) ÷ portée.</t>
  </si>
  <si>
    <t>Mon plan de mise en place en 14 jours</t>
  </si>
  <si>
    <t>Toutes les étapes · Saisis ta date de départ en C4 ; les dates et l’avancement se calculent seuls.</t>
  </si>
  <si>
    <t>Date de départ (jour 1) :</t>
  </si>
  <si>
    <t>Action</t>
  </si>
  <si>
    <t>Fait ?</t>
  </si>
  <si>
    <t>Notes</t>
  </si>
  <si>
    <t>Écrire la charte éditoriale et rassembler 10 exemples de posts</t>
  </si>
  <si>
    <t>Créer le projet Claude, l’arborescence Drive et le fichier « Idées » (30 idées)</t>
  </si>
  <si>
    <t>Créer le compte Metricool, connecter les réseaux, activer la publication automatique</t>
  </si>
  <si>
    <t>Connecter Google Drive et Metricool à Claude ; tester les deux connexions</t>
  </si>
  <si>
    <t>Lancer le prompt de la semaine et relire le résultat</t>
  </si>
  <si>
    <t>Améliorer la charte selon ce qui ne t’a pas plu ; relancer</t>
  </si>
  <si>
    <t>Créer les 5 modèles de visuels</t>
  </si>
  <si>
    <t>Générer les visuels d’une semaine depuis les briefs</t>
  </si>
  <si>
    <t>Programmer un post test depuis Claude, vérifier sa publication</t>
  </si>
  <si>
    <t>Programmer une semaine complète en brouillons à valider ; valider</t>
  </si>
  <si>
    <t>Créer la tâche planifiée « Production hebdomadaire » ; lancement manuel de test</t>
  </si>
  <si>
    <t>Créer la tâche « Rapport hebdomadaire » ; lancement manuel de test</t>
  </si>
  <si>
    <t>Sécuriser : double authentification, révision des accès, procédure « pause »</t>
  </si>
  <si>
    <t>Sécurité</t>
  </si>
  <si>
    <t>Activer les deux tâches à leur horaire ; fixer le rendez-vous de validation du lundi</t>
  </si>
  <si>
    <t>5 et 6</t>
  </si>
  <si>
    <t>Avancement</t>
  </si>
  <si>
    <t>À partir du jour 15 : 15 à 30 minutes de validation par semaine, les réponses aux commentaires, et 15 minutes de bilan par mois.</t>
  </si>
  <si>
    <t>Mes checklists</t>
  </si>
  <si>
    <t>Coche « Oui » au fur et à mesure. Ne passe à l’étape suivante que lorsque l’étape en cours est à 100 %.</t>
  </si>
  <si>
    <t>Bloc</t>
  </si>
  <si>
    <t>Point à vérifier</t>
  </si>
  <si>
    <t>Avancement par bloc</t>
  </si>
  <si>
    <t>%</t>
  </si>
  <si>
    <t>Étape 1 · Fondations</t>
  </si>
  <si>
    <t>Charte écrite, avec 10 exemples de posts</t>
  </si>
  <si>
    <t>Projet Claude créé avec la charte</t>
  </si>
  <si>
    <t>Étape 2 · Écriture</t>
  </si>
  <si>
    <t>Arborescence Drive créée (5 dossiers)</t>
  </si>
  <si>
    <t>Étape 3 · Visuels</t>
  </si>
  <si>
    <t>Fichier « Idées » avec au moins 30 idées</t>
  </si>
  <si>
    <t>Étape 4 · Publication</t>
  </si>
  <si>
    <t>Google Drive et Metricool connectés à Claude</t>
  </si>
  <si>
    <t>Étape 5 · Orchestration</t>
  </si>
  <si>
    <t>Réseaux sociaux connectés dans Metricool</t>
  </si>
  <si>
    <t>Étape 6 · Analyse</t>
  </si>
  <si>
    <t>Le prompt de la semaine est enregistré dans mon projet</t>
  </si>
  <si>
    <t>Une première semaine a été générée et relue</t>
  </si>
  <si>
    <t>Le contrôle qualité est ajouté à mes prompts</t>
  </si>
  <si>
    <t>Le document « Semaine » est rangé dans 03_A_valider</t>
  </si>
  <si>
    <t>Ma charte a été améliorée après la première relecture</t>
  </si>
  <si>
    <t>Mon fichier « Idées » est rempli pour le mois</t>
  </si>
  <si>
    <t>5 modèles créés à mes couleurs</t>
  </si>
  <si>
    <t>Formats 1080 × 1350 et 1080 × 1920 prêts</t>
  </si>
  <si>
    <t>Une semaine de visuels générée depuis les briefs</t>
  </si>
  <si>
    <t>Visuels rangés dans le dossier de la semaine</t>
  </si>
  <si>
    <t>Aucun texte qui déborde, tout est lisible sur mobile</t>
  </si>
  <si>
    <t>Méthode choisie : HTML ou Canva</t>
  </si>
  <si>
    <t>Réseaux connectés, Instagram en compte professionnel</t>
  </si>
  <si>
    <t>Publication automatique activée</t>
  </si>
  <si>
    <t>Meilleures heures notées pour chaque réseau</t>
  </si>
  <si>
    <t>Un post test programmé depuis Claude et publié</t>
  </si>
  <si>
    <t>Visuels importés dans Metricool ou accessibles par lien</t>
  </si>
  <si>
    <t>Rendez-vous hebdomadaire de validation fixé</t>
  </si>
  <si>
    <t>Option choisie : A, B ou C</t>
  </si>
  <si>
    <t>Tâche « Production hebdomadaire » créée</t>
  </si>
  <si>
    <t>Instructions collées, avec les deux garde-fous</t>
  </si>
  <si>
    <t>Premier test manuel réussi</t>
  </si>
  <si>
    <t>Brouillons visibles dans Metricool après le test</t>
  </si>
  <si>
    <t>Ordinateur réglé pour rester allumé (option A)</t>
  </si>
  <si>
    <t>Tâche « Rapport hebdomadaire » créée</t>
  </si>
  <si>
    <t>Premier rapport reçu et lu</t>
  </si>
  <si>
    <t>La tâche de production lit bien le dernier rapport</t>
  </si>
  <si>
    <t>Suivi des statistiques à jour dans le kit</t>
  </si>
  <si>
    <t>Bilan mensuel noté dans l’agenda</t>
  </si>
  <si>
    <t>Créneau quotidien pour répondre aux commentaires</t>
  </si>
  <si>
    <t>Ma charte est complète et chargée dans Claude</t>
  </si>
  <si>
    <t>Ma banque d’idées contient au moins 30 idées</t>
  </si>
  <si>
    <t>Mes 5 modèles de visuels existent</t>
  </si>
  <si>
    <t>Metricool publie automatiquement sur tous mes réseaux</t>
  </si>
  <si>
    <t>Claude lit Drive et programme dans Metricool</t>
  </si>
  <si>
    <t>La tâche de production crée des brouillons chaque semaine</t>
  </si>
  <si>
    <t>La tâche de rapport tourne chaque lundi</t>
  </si>
  <si>
    <t>Tous mes comptes ont la double authentification</t>
  </si>
  <si>
    <t>Ma procédure « pause » est prête</t>
  </si>
  <si>
    <t>Ma procédure « pause » : urgence en 2 minutes</t>
  </si>
  <si>
    <t>À imprimer et à garder près de toi. À utiliser en cas d’actualité grave, d’erreur détectée ou de piratage suspecté.</t>
  </si>
  <si>
    <t>Comment faire</t>
  </si>
  <si>
    <t>Mettre la tâche planifiée en pause</t>
  </si>
  <si>
    <t>Application Claude → Cowork → Scheduled → tâche « Production hebdomadaire » → désactiver. (Routine cloud : claude.ai/code/routines → mettre en pause.)</t>
  </si>
  <si>
    <t>Suspendre les posts programmés</t>
  </si>
  <si>
    <t>Metricool → Planification → posts des 7 prochains jours → repasser en brouillon ou décaler la date. Ou demande à Claude le prompt « Tout mettre en pause » (onglet Prompts).</t>
  </si>
  <si>
    <t>Vérifier ce qui est déjà parti</t>
  </si>
  <si>
    <t>Ouvre chaque réseau et vérifie les posts publiés depuis le début de l’incident ; masque ou supprime manuellement si nécessaire.</t>
  </si>
  <si>
    <t>En cas de piratage : changer les mots de passe</t>
  </si>
  <si>
    <t>Google, Metricool, Claude, Facebook, Instagram, TikTok, LinkedIn, GitHub. Vérifie que la double authentification est active partout.</t>
  </si>
  <si>
    <t>En cas de piratage : révoquer les accès</t>
  </si>
  <si>
    <t>Paramètres de Claude → Connecteurs : déconnecter Drive et Metricool. Révoquer les clés API et les accès des anciens collaborateurs.</t>
  </si>
  <si>
    <t>Prévenir ta communauté si nécessaire</t>
  </si>
  <si>
    <t>Un message court et honnête : ce qui s’est passé, ce que tu as fait, ce que les abonnés doivent ignorer.</t>
  </si>
  <si>
    <t>Redémarrer prudemment</t>
  </si>
  <si>
    <t>Corrige la cause (charte, instructions, accès), lance un test manuel, puis réactive la tâche.</t>
  </si>
  <si>
    <t>Mes contacts et accès d’urgence</t>
  </si>
  <si>
    <t>Élément</t>
  </si>
  <si>
    <t>À compléter</t>
  </si>
  <si>
    <t>Personne à prévenir (associé, community manager)</t>
  </si>
  <si>
    <t>Téléphone de cette personne</t>
  </si>
  <si>
    <t>Où sont stockés mes mots de passe (gestionnaire)</t>
  </si>
  <si>
    <t>Adresse e-mail de récupération des comptes</t>
  </si>
  <si>
    <t>Date du dernier test de cette procédure</t>
  </si>
  <si>
    <t>Ne stocke jamais de mot de passe ou de clé API dans ce fichier.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</si>
</sst>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ddd\ dd/mm"/>
  </numFmts>
  <fonts count="19" x14ac:knownFonts="1">
    <font>
      <sz val="11"/>
      <color theme="1"/>
      <name val="Calibri"/>
      <family val="2"/>
      <charset val="1"/>
    </font>
    <font>
      <b/>
      <sz val="18"/>
      <color rgb="FF14213D"/>
      <name val="Arial"/>
      <charset val="1"/>
    </font>
    <font>
      <i/>
      <sz val="11"/>
      <color rgb="FFD9792B"/>
      <name val="Arial"/>
      <charset val="1"/>
    </font>
    <font>
      <b/>
      <sz val="10"/>
      <color rgb="FFFFFFFF"/>
      <name val="Arial"/>
      <charset val="1"/>
    </font>
    <font>
      <b/>
      <sz val="10"/>
      <color rgb="FF14213D"/>
      <name val="Arial"/>
      <charset val="1"/>
    </font>
    <font>
      <sz val="10"/>
      <color rgb="FF1B1D24"/>
      <name val="Arial"/>
      <charset val="1"/>
    </font>
    <font>
      <b/>
      <sz val="13"/>
      <color rgb="FF14213D"/>
      <name val="Arial"/>
      <charset val="1"/>
    </font>
    <font>
      <b/>
      <sz val="10"/>
      <color rgb="FF1B1D24"/>
      <name val="Arial"/>
      <charset val="1"/>
    </font>
    <font>
      <sz val="10"/>
      <color rgb="FF14213D"/>
      <name val="Arial"/>
      <charset val="1"/>
    </font>
    <font>
      <b/>
      <sz val="16"/>
      <color rgb="FF14213D"/>
      <name val="Arial"/>
      <charset val="1"/>
    </font>
    <font>
      <i/>
      <sz val="10"/>
      <color rgb="FF5C677D"/>
      <name val="Arial"/>
      <charset val="1"/>
    </font>
    <font>
      <sz val="9"/>
      <color rgb="FF5C677D"/>
      <name val="Arial"/>
      <charset val="1"/>
    </font>
    <font>
      <i/>
      <sz val="10"/>
      <color rgb="FF1B1D24"/>
      <name val="Arial"/>
      <charset val="1"/>
    </font>
    <font>
      <b/>
      <sz val="10"/>
      <color rgb="FFD9792B"/>
      <name val="Arial"/>
      <charset val="1"/>
    </font>
    <font>
      <b/>
      <sz val="12"/>
      <color rgb="FF14213D"/>
      <name val="Arial"/>
      <charset val="1"/>
    </font>
    <font>
      <i/>
      <sz val="9"/>
      <color rgb="FF5C677D"/>
      <name val="Arial"/>
      <charset val="1"/>
    </font>
    <font>
      <sz val="10"/>
      <color rgb="FF5C677D"/>
      <name val="Arial"/>
      <charset val="1"/>
    </font>
    <font>
      <sz val="10"/>
      <color rgb="FF1B1D24"/>
      <name val="Courier New"/>
      <charset val="1"/>
    </font>
    <font>
      <b/>
      <sz val="10"/>
      <color rgb="FFC2453A"/>
      <name val="Arial"/>
      <charset val="1"/>
    </font>
  </fonts>
  <fills count="6">
    <fill>
      <patternFill patternType="none"/>
    </fill>
    <fill>
      <patternFill patternType="gray125"/>
    </fill>
    <fill>
      <patternFill patternType="solid">
        <fgColor rgb="FF14213D"/>
        <bgColor rgb="FF1B1D24"/>
      </patternFill>
    </fill>
    <fill>
      <patternFill patternType="solid">
        <fgColor rgb="FFEEF1F5"/>
        <bgColor rgb="FFFDF1E6"/>
      </patternFill>
    </fill>
    <fill>
      <patternFill patternType="solid">
        <fgColor rgb="FFFFF4CC"/>
        <bgColor rgb="FFFDF1E6"/>
      </patternFill>
    </fill>
    <fill>
      <patternFill patternType="solid">
        <fgColor rgb="FFFDF1E6"/>
        <bgColor rgb="FFFFF4CC"/>
      </patternFill>
    </fill>
  </fills>
  <borders count="2">
    <border>
      <left/>
      <right/>
      <top/>
      <bottom/>
      <diagonal/>
    </border>
    <border>
      <left style="thin">
        <color rgb="FFD3D9E2"/>
      </left>
      <right style="thin">
        <color rgb="FFD3D9E2"/>
      </right>
      <top style="thin">
        <color rgb="FFD3D9E2"/>
      </top>
      <bottom style="thin">
        <color rgb="FFD3D9E2"/>
      </bottom>
      <diagonal/>
    </border>
  </borders>
  <cellStyleXfs count="1">
    <xf numFmtId="0" fontId="0" fillId="0" borderId="0"/>
  </cellStyleXfs>
  <cellXfs count="46">
    <xf numFmtId="0" fontId="0" fillId="0" borderId="0" xfId="0"/>
    <xf numFmtId="165" fontId="7" fillId="3" borderId="1" xfId="0" applyNumberFormat="1" applyFont="1" applyFill="1" applyBorder="1" applyAlignment="1">
      <alignment vertical="center" wrapText="1"/>
    </xf>
    <xf numFmtId="164" fontId="7" fillId="3" borderId="1" xfId="0" applyNumberFormat="1" applyFont="1" applyFill="1" applyBorder="1" applyAlignment="1">
      <alignment vertical="center" wrapText="1"/>
    </xf>
    <xf numFmtId="0" fontId="7" fillId="3" borderId="1" xfId="0" applyFont="1" applyFill="1" applyBorder="1" applyAlignment="1">
      <alignment vertical="center" wrapText="1"/>
    </xf>
    <xf numFmtId="0" fontId="5" fillId="3" borderId="1" xfId="0" applyFont="1" applyFill="1" applyBorder="1" applyAlignment="1">
      <alignment vertical="center" wrapText="1"/>
    </xf>
    <xf numFmtId="0" fontId="1" fillId="0" borderId="0" xfId="0" applyFont="1"/>
    <xf numFmtId="0" fontId="2" fillId="0" borderId="0" xfId="0" applyFont="1"/>
    <xf numFmtId="0" fontId="3" fillId="2" borderId="1" xfId="0" applyFont="1" applyFill="1" applyBorder="1" applyAlignment="1">
      <alignment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6" fillId="0" borderId="0" xfId="0" applyFont="1"/>
    <xf numFmtId="0" fontId="7" fillId="3" borderId="1" xfId="0" applyFont="1" applyFill="1" applyBorder="1" applyAlignment="1">
      <alignment horizontal="left" vertical="center"/>
    </xf>
    <xf numFmtId="164" fontId="7" fillId="3" borderId="1" xfId="0" applyNumberFormat="1" applyFont="1" applyFill="1" applyBorder="1" applyAlignment="1">
      <alignment horizontal="left" vertical="center"/>
    </xf>
    <xf numFmtId="9" fontId="7" fillId="3" borderId="1" xfId="0" applyNumberFormat="1" applyFont="1" applyFill="1" applyBorder="1" applyAlignment="1">
      <alignment horizontal="left" vertical="center"/>
    </xf>
    <xf numFmtId="165" fontId="7" fillId="3" borderId="1" xfId="0" applyNumberFormat="1" applyFont="1" applyFill="1" applyBorder="1" applyAlignment="1">
      <alignment horizontal="left" vertical="center"/>
    </xf>
    <xf numFmtId="0" fontId="4"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5" fillId="4" borderId="1" xfId="0" applyFont="1" applyFill="1" applyBorder="1" applyAlignment="1">
      <alignment vertical="center" wrapText="1"/>
    </xf>
    <xf numFmtId="0" fontId="12" fillId="5" borderId="1" xfId="0" applyFont="1" applyFill="1" applyBorder="1" applyAlignment="1">
      <alignment vertical="center" wrapText="1"/>
    </xf>
    <xf numFmtId="0" fontId="7" fillId="0" borderId="1" xfId="0" applyFont="1" applyBorder="1" applyAlignment="1">
      <alignment vertical="center" wrapText="1"/>
    </xf>
    <xf numFmtId="0" fontId="7" fillId="3" borderId="1" xfId="0" applyFont="1" applyFill="1" applyBorder="1" applyAlignment="1">
      <alignment vertical="center" wrapText="1"/>
    </xf>
    <xf numFmtId="0" fontId="13" fillId="0" borderId="1" xfId="0" applyFont="1" applyBorder="1" applyAlignment="1">
      <alignment vertical="center" wrapText="1"/>
    </xf>
    <xf numFmtId="0" fontId="5" fillId="3" borderId="1" xfId="0" applyFont="1" applyFill="1" applyBorder="1" applyAlignment="1">
      <alignment vertical="center" wrapText="1"/>
    </xf>
    <xf numFmtId="0" fontId="14" fillId="0" borderId="0" xfId="0" applyFont="1"/>
    <xf numFmtId="0" fontId="15" fillId="0" borderId="0" xfId="0" applyFont="1"/>
    <xf numFmtId="0" fontId="16" fillId="0" borderId="1" xfId="0" applyFont="1" applyBorder="1" applyAlignment="1">
      <alignment vertical="center" wrapText="1"/>
    </xf>
    <xf numFmtId="14" fontId="12" fillId="5" borderId="1" xfId="0" applyNumberFormat="1" applyFont="1" applyFill="1" applyBorder="1" applyAlignment="1">
      <alignment vertical="center" wrapText="1"/>
    </xf>
    <xf numFmtId="164" fontId="5" fillId="3" borderId="1" xfId="0" applyNumberFormat="1" applyFont="1" applyFill="1" applyBorder="1" applyAlignment="1">
      <alignment vertical="center" wrapText="1"/>
    </xf>
    <xf numFmtId="14" fontId="5" fillId="4" borderId="1" xfId="0" applyNumberFormat="1" applyFont="1" applyFill="1" applyBorder="1" applyAlignment="1">
      <alignment vertical="center" wrapText="1"/>
    </xf>
    <xf numFmtId="164" fontId="7" fillId="3" borderId="1" xfId="0" applyNumberFormat="1" applyFont="1" applyFill="1" applyBorder="1" applyAlignment="1">
      <alignment vertical="center" wrapText="1"/>
    </xf>
    <xf numFmtId="0" fontId="16" fillId="0" borderId="1" xfId="0" applyFont="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17" fillId="0" borderId="1" xfId="0" applyFont="1" applyBorder="1" applyAlignment="1">
      <alignment vertical="top" wrapText="1"/>
    </xf>
    <xf numFmtId="20" fontId="5" fillId="4" borderId="1" xfId="0" applyNumberFormat="1" applyFont="1" applyFill="1" applyBorder="1" applyAlignment="1">
      <alignment vertical="center" wrapText="1"/>
    </xf>
    <xf numFmtId="164" fontId="12" fillId="5" borderId="1" xfId="0" applyNumberFormat="1" applyFont="1" applyFill="1" applyBorder="1" applyAlignment="1">
      <alignment vertical="center" wrapText="1"/>
    </xf>
    <xf numFmtId="165" fontId="5" fillId="3" borderId="1" xfId="0" applyNumberFormat="1" applyFont="1" applyFill="1" applyBorder="1" applyAlignment="1">
      <alignment vertical="center" wrapText="1"/>
    </xf>
    <xf numFmtId="164" fontId="5" fillId="4" borderId="1" xfId="0" applyNumberFormat="1" applyFont="1" applyFill="1" applyBorder="1" applyAlignment="1">
      <alignment vertical="center" wrapText="1"/>
    </xf>
    <xf numFmtId="0" fontId="4" fillId="0" borderId="0" xfId="0" applyFont="1" applyAlignment="1">
      <alignment horizontal="right"/>
    </xf>
    <xf numFmtId="166" fontId="5" fillId="3" borderId="1" xfId="0" applyNumberFormat="1" applyFont="1" applyFill="1" applyBorder="1" applyAlignment="1">
      <alignment vertical="center" wrapText="1"/>
    </xf>
    <xf numFmtId="9" fontId="7" fillId="3" borderId="1" xfId="0" applyNumberFormat="1" applyFont="1" applyFill="1" applyBorder="1" applyAlignment="1">
      <alignment vertical="center" wrapText="1"/>
    </xf>
    <xf numFmtId="0" fontId="18" fillId="0" borderId="1" xfId="0" applyFont="1" applyBorder="1" applyAlignment="1">
      <alignment vertical="center" wrapText="1"/>
    </xf>
    <xf numFmtId="0" fontId="18" fillId="0" borderId="0" xfId="0" applyFont="1"/>
  </cellXfs>
  <cellStyles count="1">
    <cellStyle name="Normal" xfId="0" builtinId="0"/>
  </cellStyles>
  <dxfs count="4">
    <dxf>
      <fill>
        <patternFill>
          <bgColor rgb="FFDDF0E8"/>
        </patternFill>
      </fill>
    </dxf>
    <dxf>
      <fill>
        <patternFill>
          <bgColor rgb="FFDDF0E8"/>
        </patternFill>
      </fill>
    </dxf>
    <dxf>
      <font>
        <b/>
        <color rgb="FFD9792B"/>
      </font>
    </dxf>
    <dxf>
      <font>
        <b/>
        <color rgb="FF2E8B6E"/>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C2453A"/>
      <rgbColor rgb="FFFFF4CC"/>
      <rgbColor rgb="FFDDF0E8"/>
      <rgbColor rgb="FF660066"/>
      <rgbColor rgb="FFFF8080"/>
      <rgbColor rgb="FF0066CC"/>
      <rgbColor rgb="FFD3D9E2"/>
      <rgbColor rgb="FF000080"/>
      <rgbColor rgb="FFFF00FF"/>
      <rgbColor rgb="FFFFFF00"/>
      <rgbColor rgb="FF00FFFF"/>
      <rgbColor rgb="FF800080"/>
      <rgbColor rgb="FF800000"/>
      <rgbColor rgb="FF008080"/>
      <rgbColor rgb="FF0000FF"/>
      <rgbColor rgb="FF00CCFF"/>
      <rgbColor rgb="FFEEF1F5"/>
      <rgbColor rgb="FFCCFFCC"/>
      <rgbColor rgb="FFFDF1E6"/>
      <rgbColor rgb="FF99CCFF"/>
      <rgbColor rgb="FFFF99CC"/>
      <rgbColor rgb="FFCC99FF"/>
      <rgbColor rgb="FFFFCC99"/>
      <rgbColor rgb="FF2F6DB5"/>
      <rgbColor rgb="FF33CCCC"/>
      <rgbColor rgb="FF99CC00"/>
      <rgbColor rgb="FFFFCC00"/>
      <rgbColor rgb="FFFF9900"/>
      <rgbColor rgb="FFD9792B"/>
      <rgbColor rgb="FF5C677D"/>
      <rgbColor rgb="FF969696"/>
      <rgbColor rgb="FF14213D"/>
      <rgbColor rgb="FF2E8B6E"/>
      <rgbColor rgb="FF003300"/>
      <rgbColor rgb="FF333300"/>
      <rgbColor rgb="FF993300"/>
      <rgbColor rgb="FF993366"/>
      <rgbColor rgb="FF6B4FA0"/>
      <rgbColor rgb="FF1B1D2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213D"/>
    <pageSetUpPr fitToPage="1"/>
  </sheetPr>
  <dimension ref="A1:B37"/>
  <sheetViews>
    <sheetView showGridLines="0" zoomScaleNormal="100" workbookViewId="0"/>
  </sheetViews>
  <sheetFormatPr baseColWidth="10" defaultColWidth="8.7109375" defaultRowHeight="15" x14ac:dyDescent="0.25"/>
  <cols>
    <col min="1" max="1" width="30" customWidth="1"/>
    <col min="2" max="2" width="86" customWidth="1"/>
  </cols>
  <sheetData>
    <row r="1" spans="1:2" ht="23.25" x14ac:dyDescent="0.35">
      <c r="A1" s="5" t="s">
        <v>0</v>
      </c>
    </row>
    <row r="2" spans="1:2" x14ac:dyDescent="0.25">
      <c r="A2" s="6" t="s">
        <v>1</v>
      </c>
    </row>
    <row r="4" spans="1:2" x14ac:dyDescent="0.25">
      <c r="A4" s="7" t="s">
        <v>2</v>
      </c>
      <c r="B4" s="7" t="s">
        <v>3</v>
      </c>
    </row>
    <row r="5" spans="1:2" ht="25.5" x14ac:dyDescent="0.25">
      <c r="A5" s="8" t="s">
        <v>4</v>
      </c>
      <c r="B5" s="9" t="s">
        <v>5</v>
      </c>
    </row>
    <row r="6" spans="1:2" x14ac:dyDescent="0.25">
      <c r="A6" s="8" t="s">
        <v>6</v>
      </c>
      <c r="B6" s="9" t="s">
        <v>7</v>
      </c>
    </row>
    <row r="7" spans="1:2" x14ac:dyDescent="0.25">
      <c r="A7" s="8" t="s">
        <v>8</v>
      </c>
      <c r="B7" s="9" t="s">
        <v>9</v>
      </c>
    </row>
    <row r="8" spans="1:2" x14ac:dyDescent="0.25">
      <c r="A8" s="8" t="s">
        <v>10</v>
      </c>
      <c r="B8" s="9" t="s">
        <v>11</v>
      </c>
    </row>
    <row r="9" spans="1:2" x14ac:dyDescent="0.25">
      <c r="A9" s="8" t="s">
        <v>12</v>
      </c>
      <c r="B9" s="9" t="s">
        <v>13</v>
      </c>
    </row>
    <row r="10" spans="1:2" x14ac:dyDescent="0.25">
      <c r="A10" s="8" t="s">
        <v>14</v>
      </c>
      <c r="B10" s="9" t="s">
        <v>15</v>
      </c>
    </row>
    <row r="11" spans="1:2" x14ac:dyDescent="0.25">
      <c r="A11" s="8" t="s">
        <v>16</v>
      </c>
      <c r="B11" s="9" t="s">
        <v>17</v>
      </c>
    </row>
    <row r="12" spans="1:2" x14ac:dyDescent="0.25">
      <c r="A12" s="8" t="s">
        <v>18</v>
      </c>
      <c r="B12" s="9" t="s">
        <v>19</v>
      </c>
    </row>
    <row r="13" spans="1:2" x14ac:dyDescent="0.25">
      <c r="A13" s="8" t="s">
        <v>20</v>
      </c>
      <c r="B13" s="9" t="s">
        <v>21</v>
      </c>
    </row>
    <row r="15" spans="1:2" ht="16.5" x14ac:dyDescent="0.25">
      <c r="A15" s="10" t="s">
        <v>22</v>
      </c>
    </row>
    <row r="16" spans="1:2" x14ac:dyDescent="0.25">
      <c r="A16" s="8" t="s">
        <v>23</v>
      </c>
      <c r="B16" s="11" t="str">
        <f>Charte!C17</f>
        <v>0 / 10</v>
      </c>
    </row>
    <row r="17" spans="1:2" x14ac:dyDescent="0.25">
      <c r="A17" s="8" t="s">
        <v>24</v>
      </c>
      <c r="B17" s="12">
        <f>'Banque idées'!J11</f>
        <v>2</v>
      </c>
    </row>
    <row r="18" spans="1:2" x14ac:dyDescent="0.25">
      <c r="A18" s="8" t="s">
        <v>25</v>
      </c>
      <c r="B18" s="11" t="str">
        <f>'Banque idées'!J14</f>
        <v>Lance le prompt « 30 idées »</v>
      </c>
    </row>
    <row r="19" spans="1:2" x14ac:dyDescent="0.25">
      <c r="A19" s="8" t="s">
        <v>26</v>
      </c>
      <c r="B19" s="13">
        <f>'Plan 14 jours'!C22</f>
        <v>0</v>
      </c>
    </row>
    <row r="20" spans="1:2" x14ac:dyDescent="0.25">
      <c r="A20" s="8" t="s">
        <v>27</v>
      </c>
      <c r="B20" s="11" t="str">
        <f>'Plan 14 jours'!C23</f>
        <v>Écrire la charte éditoriale et rassembler 10 exemples de posts</v>
      </c>
    </row>
    <row r="21" spans="1:2" x14ac:dyDescent="0.25">
      <c r="A21" s="8" t="s">
        <v>28</v>
      </c>
      <c r="B21" s="13">
        <f>Checklists!F12</f>
        <v>0</v>
      </c>
    </row>
    <row r="22" spans="1:2" x14ac:dyDescent="0.25">
      <c r="A22" s="8" t="s">
        <v>29</v>
      </c>
      <c r="B22" s="12">
        <f>'Suivi stats'!Q20</f>
        <v>3</v>
      </c>
    </row>
    <row r="23" spans="1:2" x14ac:dyDescent="0.25">
      <c r="A23" s="8" t="s">
        <v>30</v>
      </c>
      <c r="B23" s="14">
        <f>'Suivi stats'!Q22</f>
        <v>5.421130952380953E-2</v>
      </c>
    </row>
    <row r="24" spans="1:2" x14ac:dyDescent="0.25">
      <c r="A24" s="8" t="s">
        <v>31</v>
      </c>
      <c r="B24" s="12">
        <f>'Suivi stats'!Q23</f>
        <v>50</v>
      </c>
    </row>
    <row r="25" spans="1:2" x14ac:dyDescent="0.25">
      <c r="A25" s="8" t="s">
        <v>32</v>
      </c>
      <c r="B25" s="11" t="str">
        <f>'Suivi stats'!Q25</f>
        <v>3 erreurs avant de lancer sa boutique</v>
      </c>
    </row>
    <row r="27" spans="1:2" x14ac:dyDescent="0.25">
      <c r="A27" s="15" t="s">
        <v>33</v>
      </c>
    </row>
    <row r="28" spans="1:2" x14ac:dyDescent="0.25">
      <c r="A28" s="16" t="s">
        <v>34</v>
      </c>
    </row>
    <row r="29" spans="1:2" x14ac:dyDescent="0.25">
      <c r="A29" s="16" t="s">
        <v>35</v>
      </c>
    </row>
    <row r="30" spans="1:2" x14ac:dyDescent="0.25">
      <c r="A30" s="16" t="s">
        <v>36</v>
      </c>
    </row>
    <row r="31" spans="1:2" x14ac:dyDescent="0.25">
      <c r="A31" s="16" t="s">
        <v>37</v>
      </c>
    </row>
    <row r="32" spans="1:2" x14ac:dyDescent="0.25">
      <c r="A32" s="16" t="s">
        <v>38</v>
      </c>
    </row>
    <row r="33" spans="1:1" x14ac:dyDescent="0.25">
      <c r="A33" s="16"/>
    </row>
    <row r="34" spans="1:1" x14ac:dyDescent="0.25">
      <c r="A34" s="16" t="s">
        <v>39</v>
      </c>
    </row>
    <row r="35" spans="1:1" x14ac:dyDescent="0.25">
      <c r="A35" s="16"/>
    </row>
    <row r="36" spans="1:1" x14ac:dyDescent="0.25">
      <c r="A36" s="16" t="s">
        <v>40</v>
      </c>
    </row>
    <row r="37" spans="1:1" x14ac:dyDescent="0.25">
      <c r="A37" s="16" t="s">
        <v>41</v>
      </c>
    </row>
  </sheetData>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6DB5"/>
    <pageSetUpPr fitToPage="1"/>
  </sheetPr>
  <dimension ref="A1:D34"/>
  <sheetViews>
    <sheetView showGridLines="0" tabSelected="1" zoomScaleNormal="100" workbookViewId="0">
      <selection activeCell="M14" sqref="M14"/>
    </sheetView>
  </sheetViews>
  <sheetFormatPr baseColWidth="10" defaultColWidth="8.7109375" defaultRowHeight="15" x14ac:dyDescent="0.25"/>
  <cols>
    <col min="1" max="1" width="5" customWidth="1"/>
    <col min="2" max="2" width="34" customWidth="1"/>
    <col min="3" max="3" width="62" customWidth="1"/>
    <col min="4" max="4" width="52" customWidth="1"/>
  </cols>
  <sheetData>
    <row r="1" spans="1:4" ht="20.25" x14ac:dyDescent="0.3">
      <c r="A1" s="17" t="s">
        <v>42</v>
      </c>
    </row>
    <row r="2" spans="1:4" x14ac:dyDescent="0.25">
      <c r="A2" s="18" t="s">
        <v>43</v>
      </c>
    </row>
    <row r="3" spans="1:4" x14ac:dyDescent="0.25">
      <c r="A3" s="19" t="s">
        <v>44</v>
      </c>
    </row>
    <row r="5" spans="1:4" ht="30" customHeight="1" x14ac:dyDescent="0.25">
      <c r="A5" s="7" t="s">
        <v>45</v>
      </c>
      <c r="B5" s="7" t="s">
        <v>46</v>
      </c>
      <c r="C5" s="7" t="s">
        <v>47</v>
      </c>
      <c r="D5" s="7" t="s">
        <v>48</v>
      </c>
    </row>
    <row r="6" spans="1:4" ht="33.75" customHeight="1" x14ac:dyDescent="0.25">
      <c r="A6" s="8">
        <v>1</v>
      </c>
      <c r="B6" s="8" t="s">
        <v>49</v>
      </c>
      <c r="C6" s="20"/>
      <c r="D6" s="21" t="s">
        <v>50</v>
      </c>
    </row>
    <row r="7" spans="1:4" ht="33.75" customHeight="1" x14ac:dyDescent="0.25">
      <c r="A7" s="8">
        <v>2</v>
      </c>
      <c r="B7" s="8" t="s">
        <v>51</v>
      </c>
      <c r="C7" s="20"/>
      <c r="D7" s="21" t="s">
        <v>52</v>
      </c>
    </row>
    <row r="8" spans="1:4" ht="33.75" customHeight="1" x14ac:dyDescent="0.25">
      <c r="A8" s="8">
        <v>3</v>
      </c>
      <c r="B8" s="8" t="s">
        <v>53</v>
      </c>
      <c r="C8" s="20"/>
      <c r="D8" s="21" t="s">
        <v>54</v>
      </c>
    </row>
    <row r="9" spans="1:4" ht="33.75" customHeight="1" x14ac:dyDescent="0.25">
      <c r="A9" s="8">
        <v>4</v>
      </c>
      <c r="B9" s="8" t="s">
        <v>55</v>
      </c>
      <c r="C9" s="20"/>
      <c r="D9" s="21" t="s">
        <v>56</v>
      </c>
    </row>
    <row r="10" spans="1:4" ht="33.75" customHeight="1" x14ac:dyDescent="0.25">
      <c r="A10" s="8">
        <v>5</v>
      </c>
      <c r="B10" s="8" t="s">
        <v>57</v>
      </c>
      <c r="C10" s="20"/>
      <c r="D10" s="21" t="s">
        <v>58</v>
      </c>
    </row>
    <row r="11" spans="1:4" ht="33.75" customHeight="1" x14ac:dyDescent="0.25">
      <c r="A11" s="8">
        <v>6</v>
      </c>
      <c r="B11" s="8" t="s">
        <v>59</v>
      </c>
      <c r="C11" s="20"/>
      <c r="D11" s="21" t="s">
        <v>60</v>
      </c>
    </row>
    <row r="12" spans="1:4" ht="33.75" customHeight="1" x14ac:dyDescent="0.25">
      <c r="A12" s="8">
        <v>7</v>
      </c>
      <c r="B12" s="8" t="s">
        <v>61</v>
      </c>
      <c r="C12" s="20"/>
      <c r="D12" s="21" t="s">
        <v>62</v>
      </c>
    </row>
    <row r="13" spans="1:4" ht="33.75" customHeight="1" x14ac:dyDescent="0.25">
      <c r="A13" s="8">
        <v>8</v>
      </c>
      <c r="B13" s="8" t="s">
        <v>63</v>
      </c>
      <c r="C13" s="20"/>
      <c r="D13" s="21" t="s">
        <v>64</v>
      </c>
    </row>
    <row r="14" spans="1:4" ht="33.75" customHeight="1" x14ac:dyDescent="0.25">
      <c r="A14" s="8">
        <v>9</v>
      </c>
      <c r="B14" s="8" t="s">
        <v>65</v>
      </c>
      <c r="C14" s="20"/>
      <c r="D14" s="21" t="s">
        <v>66</v>
      </c>
    </row>
    <row r="15" spans="1:4" ht="120" customHeight="1" x14ac:dyDescent="0.25">
      <c r="A15" s="8">
        <v>10</v>
      </c>
      <c r="B15" s="8" t="s">
        <v>67</v>
      </c>
      <c r="C15" s="20"/>
      <c r="D15" s="21" t="s">
        <v>68</v>
      </c>
    </row>
    <row r="17" spans="2:4" x14ac:dyDescent="0.25">
      <c r="B17" s="22" t="s">
        <v>69</v>
      </c>
      <c r="C17" s="23" t="str">
        <f>COUNTA(C6:C15)&amp;" / 10"</f>
        <v>0 / 10</v>
      </c>
    </row>
    <row r="19" spans="2:4" x14ac:dyDescent="0.25">
      <c r="B19" s="24" t="s">
        <v>70</v>
      </c>
    </row>
    <row r="20" spans="2:4" ht="159.75" customHeight="1" x14ac:dyDescent="0.25">
      <c r="B20" s="18" t="s">
        <v>71</v>
      </c>
      <c r="C20" s="4" t="str">
        <f>"CHARTE ÉDITORIALE"&amp;CHAR(10)&amp;B6&amp;" : "&amp;C6&amp;CHAR(10)&amp;B7&amp;" : "&amp;C7&amp;CHAR(10)&amp;B8&amp;" : "&amp;C8&amp;CHAR(10)&amp;B9&amp;" : "&amp;C9&amp;CHAR(10)&amp;B10&amp;" : "&amp;C10&amp;CHAR(10)&amp;B11&amp;" : "&amp;C11&amp;CHAR(10)&amp;B12&amp;" : "&amp;C12&amp;CHAR(10)&amp;B13&amp;" : "&amp;C13&amp;CHAR(10)&amp;B14&amp;" : "&amp;C14&amp;CHAR(10)&amp;B15&amp;" : "&amp;C15</f>
        <v xml:space="preserve">CHARTE ÉDITORIALE
Qui je suis : 
Pour qui j’écris : 
Ma promesse : 
Mes piliers (3 à 5) : 
Mon ton : 
Ce que je ne dis jamais : 
Ma signature et mes appels à l’action : 
Mes hashtags : 
Mes couleurs et polices : 
10 exemples de mes meilleurs posts : </v>
      </c>
      <c r="D20" s="4"/>
    </row>
    <row r="23" spans="2:4" ht="15.75" x14ac:dyDescent="0.25">
      <c r="B23" s="26" t="s">
        <v>72</v>
      </c>
    </row>
    <row r="24" spans="2:4" ht="30" customHeight="1" x14ac:dyDescent="0.25">
      <c r="B24" s="7" t="s">
        <v>73</v>
      </c>
      <c r="C24" s="7" t="s">
        <v>74</v>
      </c>
      <c r="D24" s="7" t="s">
        <v>75</v>
      </c>
    </row>
    <row r="25" spans="2:4" x14ac:dyDescent="0.25">
      <c r="B25" s="20" t="s">
        <v>76</v>
      </c>
      <c r="C25" s="20" t="s">
        <v>77</v>
      </c>
      <c r="D25" s="20" t="s">
        <v>78</v>
      </c>
    </row>
    <row r="26" spans="2:4" x14ac:dyDescent="0.25">
      <c r="B26" s="20" t="s">
        <v>79</v>
      </c>
      <c r="C26" s="20" t="s">
        <v>80</v>
      </c>
      <c r="D26" s="20" t="s">
        <v>81</v>
      </c>
    </row>
    <row r="27" spans="2:4" x14ac:dyDescent="0.25">
      <c r="B27" s="20" t="s">
        <v>82</v>
      </c>
      <c r="C27" s="20" t="s">
        <v>83</v>
      </c>
      <c r="D27" s="20" t="s">
        <v>84</v>
      </c>
    </row>
    <row r="28" spans="2:4" x14ac:dyDescent="0.25">
      <c r="B28" s="20" t="s">
        <v>85</v>
      </c>
      <c r="C28" s="20" t="s">
        <v>86</v>
      </c>
      <c r="D28" s="20" t="s">
        <v>87</v>
      </c>
    </row>
    <row r="29" spans="2:4" x14ac:dyDescent="0.25">
      <c r="B29" s="20"/>
      <c r="C29" s="20" t="s">
        <v>88</v>
      </c>
      <c r="D29" s="20" t="s">
        <v>89</v>
      </c>
    </row>
    <row r="30" spans="2:4" x14ac:dyDescent="0.25">
      <c r="D30" s="20" t="s">
        <v>90</v>
      </c>
    </row>
    <row r="31" spans="2:4" x14ac:dyDescent="0.25">
      <c r="D31" s="20" t="s">
        <v>91</v>
      </c>
    </row>
    <row r="32" spans="2:4" x14ac:dyDescent="0.25">
      <c r="D32" s="20" t="s">
        <v>92</v>
      </c>
    </row>
    <row r="34" spans="2:2" x14ac:dyDescent="0.25">
      <c r="B34" s="27" t="s">
        <v>93</v>
      </c>
    </row>
  </sheetData>
  <mergeCells count="1">
    <mergeCell ref="C20:D20"/>
  </mergeCell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6DB5"/>
    <pageSetUpPr fitToPage="1"/>
  </sheetPr>
  <dimension ref="A1:L125"/>
  <sheetViews>
    <sheetView showGridLines="0" zoomScaleNormal="100" workbookViewId="0">
      <pane ySplit="5" topLeftCell="A6" activePane="bottomLeft" state="frozen"/>
      <selection pane="bottomLeft"/>
    </sheetView>
  </sheetViews>
  <sheetFormatPr baseColWidth="10" defaultColWidth="8.7109375" defaultRowHeight="15" x14ac:dyDescent="0.25"/>
  <cols>
    <col min="1" max="1" width="6" customWidth="1"/>
    <col min="2" max="2" width="22" customWidth="1"/>
    <col min="3" max="3" width="52" customWidth="1"/>
    <col min="4" max="4" width="22" customWidth="1"/>
    <col min="5" max="5" width="24" customWidth="1"/>
    <col min="6" max="7" width="14" customWidth="1"/>
    <col min="9" max="9" width="24" customWidth="1"/>
    <col min="10" max="10" width="11" customWidth="1"/>
    <col min="11" max="11" width="13" customWidth="1"/>
    <col min="12" max="12" width="11" customWidth="1"/>
  </cols>
  <sheetData>
    <row r="1" spans="1:12" ht="20.25" x14ac:dyDescent="0.3">
      <c r="A1" s="17" t="s">
        <v>94</v>
      </c>
    </row>
    <row r="2" spans="1:12" x14ac:dyDescent="0.25">
      <c r="A2" s="18" t="s">
        <v>95</v>
      </c>
    </row>
    <row r="3" spans="1:12" x14ac:dyDescent="0.25">
      <c r="A3" s="19" t="s">
        <v>44</v>
      </c>
    </row>
    <row r="5" spans="1:12" ht="30" customHeight="1" x14ac:dyDescent="0.25">
      <c r="A5" s="7" t="s">
        <v>45</v>
      </c>
      <c r="B5" s="7" t="s">
        <v>96</v>
      </c>
      <c r="C5" s="7" t="s">
        <v>97</v>
      </c>
      <c r="D5" s="7" t="s">
        <v>98</v>
      </c>
      <c r="E5" s="7" t="s">
        <v>99</v>
      </c>
      <c r="F5" s="7" t="s">
        <v>100</v>
      </c>
      <c r="G5" s="7" t="s">
        <v>101</v>
      </c>
      <c r="I5" s="7" t="s">
        <v>96</v>
      </c>
      <c r="J5" s="7" t="s">
        <v>102</v>
      </c>
      <c r="K5" s="7" t="s">
        <v>103</v>
      </c>
      <c r="L5" s="7" t="s">
        <v>104</v>
      </c>
    </row>
    <row r="6" spans="1:12" x14ac:dyDescent="0.25">
      <c r="A6" s="28">
        <v>1</v>
      </c>
      <c r="B6" s="21" t="s">
        <v>76</v>
      </c>
      <c r="C6" s="21" t="s">
        <v>105</v>
      </c>
      <c r="D6" s="21" t="s">
        <v>84</v>
      </c>
      <c r="E6" s="21" t="s">
        <v>106</v>
      </c>
      <c r="F6" s="21" t="s">
        <v>102</v>
      </c>
      <c r="G6" s="29"/>
      <c r="I6" s="23" t="str">
        <f>IF(Charte!B25="","",Charte!B25)</f>
        <v>Protéger</v>
      </c>
      <c r="J6" s="30">
        <f>IF(I6="","",COUNTIFS($B$6:$B$125,I6,$F$6:$F$125,"À faire"))</f>
        <v>1</v>
      </c>
      <c r="K6" s="30">
        <f>IF(I6="","",COUNTIFS($B$6:$B$125,I6,$F$6:$F$125,"Programmée"))</f>
        <v>0</v>
      </c>
      <c r="L6" s="30">
        <f>IF(I6="","",COUNTIFS($B$6:$B$125,I6,$F$6:$F$125,"Publiée"))</f>
        <v>0</v>
      </c>
    </row>
    <row r="7" spans="1:12" x14ac:dyDescent="0.25">
      <c r="A7" s="28">
        <v>2</v>
      </c>
      <c r="B7" s="21" t="s">
        <v>79</v>
      </c>
      <c r="C7" s="21" t="s">
        <v>107</v>
      </c>
      <c r="D7" s="21" t="s">
        <v>81</v>
      </c>
      <c r="E7" s="21" t="s">
        <v>108</v>
      </c>
      <c r="F7" s="21" t="s">
        <v>109</v>
      </c>
      <c r="G7" s="29"/>
      <c r="I7" s="23" t="str">
        <f>IF(Charte!B26="","",Charte!B26)</f>
        <v>Entreprendre</v>
      </c>
      <c r="J7" s="30">
        <f>IF(I7="","",COUNTIFS($B$6:$B$125,I7,$F$6:$F$125,"À faire"))</f>
        <v>0</v>
      </c>
      <c r="K7" s="30">
        <f>IF(I7="","",COUNTIFS($B$6:$B$125,I7,$F$6:$F$125,"Programmée"))</f>
        <v>1</v>
      </c>
      <c r="L7" s="30">
        <f>IF(I7="","",COUNTIFS($B$6:$B$125,I7,$F$6:$F$125,"Publiée"))</f>
        <v>0</v>
      </c>
    </row>
    <row r="8" spans="1:12" x14ac:dyDescent="0.25">
      <c r="A8" s="28">
        <v>3</v>
      </c>
      <c r="B8" s="21" t="s">
        <v>82</v>
      </c>
      <c r="C8" s="21" t="s">
        <v>110</v>
      </c>
      <c r="D8" s="21" t="s">
        <v>78</v>
      </c>
      <c r="E8" s="21" t="s">
        <v>111</v>
      </c>
      <c r="F8" s="21" t="s">
        <v>112</v>
      </c>
      <c r="G8" s="29"/>
      <c r="I8" s="23" t="str">
        <f>IF(Charte!B27="","",Charte!B27)</f>
        <v>Épargner et investir</v>
      </c>
      <c r="J8" s="30">
        <f>IF(I8="","",COUNTIFS($B$6:$B$125,I8,$F$6:$F$125,"À faire"))</f>
        <v>0</v>
      </c>
      <c r="K8" s="30">
        <f>IF(I8="","",COUNTIFS($B$6:$B$125,I8,$F$6:$F$125,"Programmée"))</f>
        <v>0</v>
      </c>
      <c r="L8" s="30">
        <f>IF(I8="","",COUNTIFS($B$6:$B$125,I8,$F$6:$F$125,"Publiée"))</f>
        <v>1</v>
      </c>
    </row>
    <row r="9" spans="1:12" x14ac:dyDescent="0.25">
      <c r="A9" s="28">
        <v>4</v>
      </c>
      <c r="B9" s="21" t="s">
        <v>85</v>
      </c>
      <c r="C9" s="21" t="s">
        <v>113</v>
      </c>
      <c r="D9" s="21" t="s">
        <v>89</v>
      </c>
      <c r="E9" s="21" t="s">
        <v>114</v>
      </c>
      <c r="F9" s="21" t="s">
        <v>102</v>
      </c>
      <c r="G9" s="29"/>
      <c r="I9" s="23" t="str">
        <f>IF(Charte!B28="","",Charte!B28)</f>
        <v>Bâtir</v>
      </c>
      <c r="J9" s="30">
        <f>IF(I9="","",COUNTIFS($B$6:$B$125,I9,$F$6:$F$125,"À faire"))</f>
        <v>1</v>
      </c>
      <c r="K9" s="30">
        <f>IF(I9="","",COUNTIFS($B$6:$B$125,I9,$F$6:$F$125,"Programmée"))</f>
        <v>0</v>
      </c>
      <c r="L9" s="30">
        <f>IF(I9="","",COUNTIFS($B$6:$B$125,I9,$F$6:$F$125,"Publiée"))</f>
        <v>0</v>
      </c>
    </row>
    <row r="10" spans="1:12" x14ac:dyDescent="0.25">
      <c r="A10" s="28">
        <v>5</v>
      </c>
      <c r="B10" s="20"/>
      <c r="C10" s="20"/>
      <c r="D10" s="20"/>
      <c r="E10" s="20"/>
      <c r="F10" s="20"/>
      <c r="G10" s="31"/>
      <c r="I10" s="23" t="str">
        <f>IF(Charte!B29="","",Charte!B29)</f>
        <v/>
      </c>
      <c r="J10" s="30" t="str">
        <f>IF(I10="","",COUNTIFS($B$6:$B$125,I10,$F$6:$F$125,"À faire"))</f>
        <v/>
      </c>
      <c r="K10" s="30" t="str">
        <f>IF(I10="","",COUNTIFS($B$6:$B$125,I10,$F$6:$F$125,"Programmée"))</f>
        <v/>
      </c>
      <c r="L10" s="30" t="str">
        <f>IF(I10="","",COUNTIFS($B$6:$B$125,I10,$F$6:$F$125,"Publiée"))</f>
        <v/>
      </c>
    </row>
    <row r="11" spans="1:12" x14ac:dyDescent="0.25">
      <c r="A11" s="28">
        <v>6</v>
      </c>
      <c r="B11" s="20"/>
      <c r="C11" s="20"/>
      <c r="D11" s="20"/>
      <c r="E11" s="20"/>
      <c r="F11" s="20"/>
      <c r="G11" s="31"/>
      <c r="I11" s="23" t="s">
        <v>115</v>
      </c>
      <c r="J11" s="32">
        <f>COUNTIF($F$6:$F$125,"À faire")</f>
        <v>2</v>
      </c>
      <c r="K11" s="32">
        <f>COUNTIF($F$6:$F$125,"Programmée")</f>
        <v>1</v>
      </c>
      <c r="L11" s="32">
        <f>COUNTIF($F$6:$F$125,"Publiée")</f>
        <v>1</v>
      </c>
    </row>
    <row r="12" spans="1:12" x14ac:dyDescent="0.25">
      <c r="A12" s="28">
        <v>7</v>
      </c>
      <c r="B12" s="20"/>
      <c r="C12" s="20"/>
      <c r="D12" s="20"/>
      <c r="E12" s="20"/>
      <c r="F12" s="20"/>
      <c r="G12" s="31"/>
    </row>
    <row r="13" spans="1:12" x14ac:dyDescent="0.25">
      <c r="A13" s="28">
        <v>8</v>
      </c>
      <c r="B13" s="20"/>
      <c r="C13" s="20"/>
      <c r="D13" s="20"/>
      <c r="E13" s="20"/>
      <c r="F13" s="20"/>
      <c r="G13" s="31"/>
      <c r="I13" s="22" t="s">
        <v>116</v>
      </c>
      <c r="J13" s="32">
        <f>J11</f>
        <v>2</v>
      </c>
    </row>
    <row r="14" spans="1:12" x14ac:dyDescent="0.25">
      <c r="A14" s="28">
        <v>9</v>
      </c>
      <c r="B14" s="20"/>
      <c r="C14" s="20"/>
      <c r="D14" s="20"/>
      <c r="E14" s="20"/>
      <c r="F14" s="20"/>
      <c r="G14" s="31"/>
      <c r="I14" s="22" t="s">
        <v>117</v>
      </c>
      <c r="J14" s="3" t="str">
        <f>IF(J11&gt;=30,"Stock suffisant",IF(J11&gt;=14,"À compléter","Lance le prompt « 30 idées »"))</f>
        <v>Lance le prompt « 30 idées »</v>
      </c>
      <c r="K14" s="3"/>
      <c r="L14" s="3"/>
    </row>
    <row r="15" spans="1:12" x14ac:dyDescent="0.25">
      <c r="A15" s="28">
        <v>10</v>
      </c>
      <c r="B15" s="20"/>
      <c r="C15" s="20"/>
      <c r="D15" s="20"/>
      <c r="E15" s="20"/>
      <c r="F15" s="20"/>
      <c r="G15" s="31"/>
    </row>
    <row r="16" spans="1:12" x14ac:dyDescent="0.25">
      <c r="A16" s="28">
        <v>11</v>
      </c>
      <c r="B16" s="20"/>
      <c r="C16" s="20"/>
      <c r="D16" s="20"/>
      <c r="E16" s="20"/>
      <c r="F16" s="20"/>
      <c r="G16" s="31"/>
    </row>
    <row r="17" spans="1:7" x14ac:dyDescent="0.25">
      <c r="A17" s="28">
        <v>12</v>
      </c>
      <c r="B17" s="20"/>
      <c r="C17" s="20"/>
      <c r="D17" s="20"/>
      <c r="E17" s="20"/>
      <c r="F17" s="20"/>
      <c r="G17" s="31"/>
    </row>
    <row r="18" spans="1:7" x14ac:dyDescent="0.25">
      <c r="A18" s="28">
        <v>13</v>
      </c>
      <c r="B18" s="20"/>
      <c r="C18" s="20"/>
      <c r="D18" s="20"/>
      <c r="E18" s="20"/>
      <c r="F18" s="20"/>
      <c r="G18" s="31"/>
    </row>
    <row r="19" spans="1:7" x14ac:dyDescent="0.25">
      <c r="A19" s="28">
        <v>14</v>
      </c>
      <c r="B19" s="20"/>
      <c r="C19" s="20"/>
      <c r="D19" s="20"/>
      <c r="E19" s="20"/>
      <c r="F19" s="20"/>
      <c r="G19" s="31"/>
    </row>
    <row r="20" spans="1:7" x14ac:dyDescent="0.25">
      <c r="A20" s="28">
        <v>15</v>
      </c>
      <c r="B20" s="20"/>
      <c r="C20" s="20"/>
      <c r="D20" s="20"/>
      <c r="E20" s="20"/>
      <c r="F20" s="20"/>
      <c r="G20" s="31"/>
    </row>
    <row r="21" spans="1:7" x14ac:dyDescent="0.25">
      <c r="A21" s="28">
        <v>16</v>
      </c>
      <c r="B21" s="20"/>
      <c r="C21" s="20"/>
      <c r="D21" s="20"/>
      <c r="E21" s="20"/>
      <c r="F21" s="20"/>
      <c r="G21" s="31"/>
    </row>
    <row r="22" spans="1:7" x14ac:dyDescent="0.25">
      <c r="A22" s="28">
        <v>17</v>
      </c>
      <c r="B22" s="20"/>
      <c r="C22" s="20"/>
      <c r="D22" s="20"/>
      <c r="E22" s="20"/>
      <c r="F22" s="20"/>
      <c r="G22" s="31"/>
    </row>
    <row r="23" spans="1:7" x14ac:dyDescent="0.25">
      <c r="A23" s="28">
        <v>18</v>
      </c>
      <c r="B23" s="20"/>
      <c r="C23" s="20"/>
      <c r="D23" s="20"/>
      <c r="E23" s="20"/>
      <c r="F23" s="20"/>
      <c r="G23" s="31"/>
    </row>
    <row r="24" spans="1:7" x14ac:dyDescent="0.25">
      <c r="A24" s="28">
        <v>19</v>
      </c>
      <c r="B24" s="20"/>
      <c r="C24" s="20"/>
      <c r="D24" s="20"/>
      <c r="E24" s="20"/>
      <c r="F24" s="20"/>
      <c r="G24" s="31"/>
    </row>
    <row r="25" spans="1:7" x14ac:dyDescent="0.25">
      <c r="A25" s="28">
        <v>20</v>
      </c>
      <c r="B25" s="20"/>
      <c r="C25" s="20"/>
      <c r="D25" s="20"/>
      <c r="E25" s="20"/>
      <c r="F25" s="20"/>
      <c r="G25" s="31"/>
    </row>
    <row r="26" spans="1:7" x14ac:dyDescent="0.25">
      <c r="A26" s="28">
        <v>21</v>
      </c>
      <c r="B26" s="20"/>
      <c r="C26" s="20"/>
      <c r="D26" s="20"/>
      <c r="E26" s="20"/>
      <c r="F26" s="20"/>
      <c r="G26" s="31"/>
    </row>
    <row r="27" spans="1:7" x14ac:dyDescent="0.25">
      <c r="A27" s="28">
        <v>22</v>
      </c>
      <c r="B27" s="20"/>
      <c r="C27" s="20"/>
      <c r="D27" s="20"/>
      <c r="E27" s="20"/>
      <c r="F27" s="20"/>
      <c r="G27" s="31"/>
    </row>
    <row r="28" spans="1:7" x14ac:dyDescent="0.25">
      <c r="A28" s="28">
        <v>23</v>
      </c>
      <c r="B28" s="20"/>
      <c r="C28" s="20"/>
      <c r="D28" s="20"/>
      <c r="E28" s="20"/>
      <c r="F28" s="20"/>
      <c r="G28" s="31"/>
    </row>
    <row r="29" spans="1:7" x14ac:dyDescent="0.25">
      <c r="A29" s="28">
        <v>24</v>
      </c>
      <c r="B29" s="20"/>
      <c r="C29" s="20"/>
      <c r="D29" s="20"/>
      <c r="E29" s="20"/>
      <c r="F29" s="20"/>
      <c r="G29" s="31"/>
    </row>
    <row r="30" spans="1:7" x14ac:dyDescent="0.25">
      <c r="A30" s="28">
        <v>25</v>
      </c>
      <c r="B30" s="20"/>
      <c r="C30" s="20"/>
      <c r="D30" s="20"/>
      <c r="E30" s="20"/>
      <c r="F30" s="20"/>
      <c r="G30" s="31"/>
    </row>
    <row r="31" spans="1:7" x14ac:dyDescent="0.25">
      <c r="A31" s="28">
        <v>26</v>
      </c>
      <c r="B31" s="20"/>
      <c r="C31" s="20"/>
      <c r="D31" s="20"/>
      <c r="E31" s="20"/>
      <c r="F31" s="20"/>
      <c r="G31" s="31"/>
    </row>
    <row r="32" spans="1:7" x14ac:dyDescent="0.25">
      <c r="A32" s="28">
        <v>27</v>
      </c>
      <c r="B32" s="20"/>
      <c r="C32" s="20"/>
      <c r="D32" s="20"/>
      <c r="E32" s="20"/>
      <c r="F32" s="20"/>
      <c r="G32" s="31"/>
    </row>
    <row r="33" spans="1:7" x14ac:dyDescent="0.25">
      <c r="A33" s="28">
        <v>28</v>
      </c>
      <c r="B33" s="20"/>
      <c r="C33" s="20"/>
      <c r="D33" s="20"/>
      <c r="E33" s="20"/>
      <c r="F33" s="20"/>
      <c r="G33" s="31"/>
    </row>
    <row r="34" spans="1:7" x14ac:dyDescent="0.25">
      <c r="A34" s="28">
        <v>29</v>
      </c>
      <c r="B34" s="20"/>
      <c r="C34" s="20"/>
      <c r="D34" s="20"/>
      <c r="E34" s="20"/>
      <c r="F34" s="20"/>
      <c r="G34" s="31"/>
    </row>
    <row r="35" spans="1:7" x14ac:dyDescent="0.25">
      <c r="A35" s="28">
        <v>30</v>
      </c>
      <c r="B35" s="20"/>
      <c r="C35" s="20"/>
      <c r="D35" s="20"/>
      <c r="E35" s="20"/>
      <c r="F35" s="20"/>
      <c r="G35" s="31"/>
    </row>
    <row r="36" spans="1:7" x14ac:dyDescent="0.25">
      <c r="A36" s="28">
        <v>31</v>
      </c>
      <c r="B36" s="20"/>
      <c r="C36" s="20"/>
      <c r="D36" s="20"/>
      <c r="E36" s="20"/>
      <c r="F36" s="20"/>
      <c r="G36" s="31"/>
    </row>
    <row r="37" spans="1:7" x14ac:dyDescent="0.25">
      <c r="A37" s="28">
        <v>32</v>
      </c>
      <c r="B37" s="20"/>
      <c r="C37" s="20"/>
      <c r="D37" s="20"/>
      <c r="E37" s="20"/>
      <c r="F37" s="20"/>
      <c r="G37" s="31"/>
    </row>
    <row r="38" spans="1:7" x14ac:dyDescent="0.25">
      <c r="A38" s="28">
        <v>33</v>
      </c>
      <c r="B38" s="20"/>
      <c r="C38" s="20"/>
      <c r="D38" s="20"/>
      <c r="E38" s="20"/>
      <c r="F38" s="20"/>
      <c r="G38" s="31"/>
    </row>
    <row r="39" spans="1:7" x14ac:dyDescent="0.25">
      <c r="A39" s="28">
        <v>34</v>
      </c>
      <c r="B39" s="20"/>
      <c r="C39" s="20"/>
      <c r="D39" s="20"/>
      <c r="E39" s="20"/>
      <c r="F39" s="20"/>
      <c r="G39" s="31"/>
    </row>
    <row r="40" spans="1:7" x14ac:dyDescent="0.25">
      <c r="A40" s="28">
        <v>35</v>
      </c>
      <c r="B40" s="20"/>
      <c r="C40" s="20"/>
      <c r="D40" s="20"/>
      <c r="E40" s="20"/>
      <c r="F40" s="20"/>
      <c r="G40" s="31"/>
    </row>
    <row r="41" spans="1:7" x14ac:dyDescent="0.25">
      <c r="A41" s="28">
        <v>36</v>
      </c>
      <c r="B41" s="20"/>
      <c r="C41" s="20"/>
      <c r="D41" s="20"/>
      <c r="E41" s="20"/>
      <c r="F41" s="20"/>
      <c r="G41" s="31"/>
    </row>
    <row r="42" spans="1:7" x14ac:dyDescent="0.25">
      <c r="A42" s="28">
        <v>37</v>
      </c>
      <c r="B42" s="20"/>
      <c r="C42" s="20"/>
      <c r="D42" s="20"/>
      <c r="E42" s="20"/>
      <c r="F42" s="20"/>
      <c r="G42" s="31"/>
    </row>
    <row r="43" spans="1:7" x14ac:dyDescent="0.25">
      <c r="A43" s="28">
        <v>38</v>
      </c>
      <c r="B43" s="20"/>
      <c r="C43" s="20"/>
      <c r="D43" s="20"/>
      <c r="E43" s="20"/>
      <c r="F43" s="20"/>
      <c r="G43" s="31"/>
    </row>
    <row r="44" spans="1:7" x14ac:dyDescent="0.25">
      <c r="A44" s="28">
        <v>39</v>
      </c>
      <c r="B44" s="20"/>
      <c r="C44" s="20"/>
      <c r="D44" s="20"/>
      <c r="E44" s="20"/>
      <c r="F44" s="20"/>
      <c r="G44" s="31"/>
    </row>
    <row r="45" spans="1:7" x14ac:dyDescent="0.25">
      <c r="A45" s="28">
        <v>40</v>
      </c>
      <c r="B45" s="20"/>
      <c r="C45" s="20"/>
      <c r="D45" s="20"/>
      <c r="E45" s="20"/>
      <c r="F45" s="20"/>
      <c r="G45" s="31"/>
    </row>
    <row r="46" spans="1:7" x14ac:dyDescent="0.25">
      <c r="A46" s="28">
        <v>41</v>
      </c>
      <c r="B46" s="20"/>
      <c r="C46" s="20"/>
      <c r="D46" s="20"/>
      <c r="E46" s="20"/>
      <c r="F46" s="20"/>
      <c r="G46" s="31"/>
    </row>
    <row r="47" spans="1:7" x14ac:dyDescent="0.25">
      <c r="A47" s="28">
        <v>42</v>
      </c>
      <c r="B47" s="20"/>
      <c r="C47" s="20"/>
      <c r="D47" s="20"/>
      <c r="E47" s="20"/>
      <c r="F47" s="20"/>
      <c r="G47" s="31"/>
    </row>
    <row r="48" spans="1:7" x14ac:dyDescent="0.25">
      <c r="A48" s="28">
        <v>43</v>
      </c>
      <c r="B48" s="20"/>
      <c r="C48" s="20"/>
      <c r="D48" s="20"/>
      <c r="E48" s="20"/>
      <c r="F48" s="20"/>
      <c r="G48" s="31"/>
    </row>
    <row r="49" spans="1:7" x14ac:dyDescent="0.25">
      <c r="A49" s="28">
        <v>44</v>
      </c>
      <c r="B49" s="20"/>
      <c r="C49" s="20"/>
      <c r="D49" s="20"/>
      <c r="E49" s="20"/>
      <c r="F49" s="20"/>
      <c r="G49" s="31"/>
    </row>
    <row r="50" spans="1:7" x14ac:dyDescent="0.25">
      <c r="A50" s="28">
        <v>45</v>
      </c>
      <c r="B50" s="20"/>
      <c r="C50" s="20"/>
      <c r="D50" s="20"/>
      <c r="E50" s="20"/>
      <c r="F50" s="20"/>
      <c r="G50" s="31"/>
    </row>
    <row r="51" spans="1:7" x14ac:dyDescent="0.25">
      <c r="A51" s="28">
        <v>46</v>
      </c>
      <c r="B51" s="20"/>
      <c r="C51" s="20"/>
      <c r="D51" s="20"/>
      <c r="E51" s="20"/>
      <c r="F51" s="20"/>
      <c r="G51" s="31"/>
    </row>
    <row r="52" spans="1:7" x14ac:dyDescent="0.25">
      <c r="A52" s="28">
        <v>47</v>
      </c>
      <c r="B52" s="20"/>
      <c r="C52" s="20"/>
      <c r="D52" s="20"/>
      <c r="E52" s="20"/>
      <c r="F52" s="20"/>
      <c r="G52" s="31"/>
    </row>
    <row r="53" spans="1:7" x14ac:dyDescent="0.25">
      <c r="A53" s="28">
        <v>48</v>
      </c>
      <c r="B53" s="20"/>
      <c r="C53" s="20"/>
      <c r="D53" s="20"/>
      <c r="E53" s="20"/>
      <c r="F53" s="20"/>
      <c r="G53" s="31"/>
    </row>
    <row r="54" spans="1:7" x14ac:dyDescent="0.25">
      <c r="A54" s="28">
        <v>49</v>
      </c>
      <c r="B54" s="20"/>
      <c r="C54" s="20"/>
      <c r="D54" s="20"/>
      <c r="E54" s="20"/>
      <c r="F54" s="20"/>
      <c r="G54" s="31"/>
    </row>
    <row r="55" spans="1:7" x14ac:dyDescent="0.25">
      <c r="A55" s="28">
        <v>50</v>
      </c>
      <c r="B55" s="20"/>
      <c r="C55" s="20"/>
      <c r="D55" s="20"/>
      <c r="E55" s="20"/>
      <c r="F55" s="20"/>
      <c r="G55" s="31"/>
    </row>
    <row r="56" spans="1:7" x14ac:dyDescent="0.25">
      <c r="A56" s="28">
        <v>51</v>
      </c>
      <c r="B56" s="20"/>
      <c r="C56" s="20"/>
      <c r="D56" s="20"/>
      <c r="E56" s="20"/>
      <c r="F56" s="20"/>
      <c r="G56" s="31"/>
    </row>
    <row r="57" spans="1:7" x14ac:dyDescent="0.25">
      <c r="A57" s="28">
        <v>52</v>
      </c>
      <c r="B57" s="20"/>
      <c r="C57" s="20"/>
      <c r="D57" s="20"/>
      <c r="E57" s="20"/>
      <c r="F57" s="20"/>
      <c r="G57" s="31"/>
    </row>
    <row r="58" spans="1:7" x14ac:dyDescent="0.25">
      <c r="A58" s="28">
        <v>53</v>
      </c>
      <c r="B58" s="20"/>
      <c r="C58" s="20"/>
      <c r="D58" s="20"/>
      <c r="E58" s="20"/>
      <c r="F58" s="20"/>
      <c r="G58" s="31"/>
    </row>
    <row r="59" spans="1:7" x14ac:dyDescent="0.25">
      <c r="A59" s="28">
        <v>54</v>
      </c>
      <c r="B59" s="20"/>
      <c r="C59" s="20"/>
      <c r="D59" s="20"/>
      <c r="E59" s="20"/>
      <c r="F59" s="20"/>
      <c r="G59" s="31"/>
    </row>
    <row r="60" spans="1:7" x14ac:dyDescent="0.25">
      <c r="A60" s="28">
        <v>55</v>
      </c>
      <c r="B60" s="20"/>
      <c r="C60" s="20"/>
      <c r="D60" s="20"/>
      <c r="E60" s="20"/>
      <c r="F60" s="20"/>
      <c r="G60" s="31"/>
    </row>
    <row r="61" spans="1:7" x14ac:dyDescent="0.25">
      <c r="A61" s="28">
        <v>56</v>
      </c>
      <c r="B61" s="20"/>
      <c r="C61" s="20"/>
      <c r="D61" s="20"/>
      <c r="E61" s="20"/>
      <c r="F61" s="20"/>
      <c r="G61" s="31"/>
    </row>
    <row r="62" spans="1:7" x14ac:dyDescent="0.25">
      <c r="A62" s="28">
        <v>57</v>
      </c>
      <c r="B62" s="20"/>
      <c r="C62" s="20"/>
      <c r="D62" s="20"/>
      <c r="E62" s="20"/>
      <c r="F62" s="20"/>
      <c r="G62" s="31"/>
    </row>
    <row r="63" spans="1:7" x14ac:dyDescent="0.25">
      <c r="A63" s="28">
        <v>58</v>
      </c>
      <c r="B63" s="20"/>
      <c r="C63" s="20"/>
      <c r="D63" s="20"/>
      <c r="E63" s="20"/>
      <c r="F63" s="20"/>
      <c r="G63" s="31"/>
    </row>
    <row r="64" spans="1:7" x14ac:dyDescent="0.25">
      <c r="A64" s="28">
        <v>59</v>
      </c>
      <c r="B64" s="20"/>
      <c r="C64" s="20"/>
      <c r="D64" s="20"/>
      <c r="E64" s="20"/>
      <c r="F64" s="20"/>
      <c r="G64" s="31"/>
    </row>
    <row r="65" spans="1:7" x14ac:dyDescent="0.25">
      <c r="A65" s="28">
        <v>60</v>
      </c>
      <c r="B65" s="20"/>
      <c r="C65" s="20"/>
      <c r="D65" s="20"/>
      <c r="E65" s="20"/>
      <c r="F65" s="20"/>
      <c r="G65" s="31"/>
    </row>
    <row r="66" spans="1:7" x14ac:dyDescent="0.25">
      <c r="A66" s="28">
        <v>61</v>
      </c>
      <c r="B66" s="20"/>
      <c r="C66" s="20"/>
      <c r="D66" s="20"/>
      <c r="E66" s="20"/>
      <c r="F66" s="20"/>
      <c r="G66" s="31"/>
    </row>
    <row r="67" spans="1:7" x14ac:dyDescent="0.25">
      <c r="A67" s="28">
        <v>62</v>
      </c>
      <c r="B67" s="20"/>
      <c r="C67" s="20"/>
      <c r="D67" s="20"/>
      <c r="E67" s="20"/>
      <c r="F67" s="20"/>
      <c r="G67" s="31"/>
    </row>
    <row r="68" spans="1:7" x14ac:dyDescent="0.25">
      <c r="A68" s="28">
        <v>63</v>
      </c>
      <c r="B68" s="20"/>
      <c r="C68" s="20"/>
      <c r="D68" s="20"/>
      <c r="E68" s="20"/>
      <c r="F68" s="20"/>
      <c r="G68" s="31"/>
    </row>
    <row r="69" spans="1:7" x14ac:dyDescent="0.25">
      <c r="A69" s="28">
        <v>64</v>
      </c>
      <c r="B69" s="20"/>
      <c r="C69" s="20"/>
      <c r="D69" s="20"/>
      <c r="E69" s="20"/>
      <c r="F69" s="20"/>
      <c r="G69" s="31"/>
    </row>
    <row r="70" spans="1:7" x14ac:dyDescent="0.25">
      <c r="A70" s="28">
        <v>65</v>
      </c>
      <c r="B70" s="20"/>
      <c r="C70" s="20"/>
      <c r="D70" s="20"/>
      <c r="E70" s="20"/>
      <c r="F70" s="20"/>
      <c r="G70" s="31"/>
    </row>
    <row r="71" spans="1:7" x14ac:dyDescent="0.25">
      <c r="A71" s="28">
        <v>66</v>
      </c>
      <c r="B71" s="20"/>
      <c r="C71" s="20"/>
      <c r="D71" s="20"/>
      <c r="E71" s="20"/>
      <c r="F71" s="20"/>
      <c r="G71" s="31"/>
    </row>
    <row r="72" spans="1:7" x14ac:dyDescent="0.25">
      <c r="A72" s="28">
        <v>67</v>
      </c>
      <c r="B72" s="20"/>
      <c r="C72" s="20"/>
      <c r="D72" s="20"/>
      <c r="E72" s="20"/>
      <c r="F72" s="20"/>
      <c r="G72" s="31"/>
    </row>
    <row r="73" spans="1:7" x14ac:dyDescent="0.25">
      <c r="A73" s="28">
        <v>68</v>
      </c>
      <c r="B73" s="20"/>
      <c r="C73" s="20"/>
      <c r="D73" s="20"/>
      <c r="E73" s="20"/>
      <c r="F73" s="20"/>
      <c r="G73" s="31"/>
    </row>
    <row r="74" spans="1:7" x14ac:dyDescent="0.25">
      <c r="A74" s="28">
        <v>69</v>
      </c>
      <c r="B74" s="20"/>
      <c r="C74" s="20"/>
      <c r="D74" s="20"/>
      <c r="E74" s="20"/>
      <c r="F74" s="20"/>
      <c r="G74" s="31"/>
    </row>
    <row r="75" spans="1:7" x14ac:dyDescent="0.25">
      <c r="A75" s="28">
        <v>70</v>
      </c>
      <c r="B75" s="20"/>
      <c r="C75" s="20"/>
      <c r="D75" s="20"/>
      <c r="E75" s="20"/>
      <c r="F75" s="20"/>
      <c r="G75" s="31"/>
    </row>
    <row r="76" spans="1:7" x14ac:dyDescent="0.25">
      <c r="A76" s="28">
        <v>71</v>
      </c>
      <c r="B76" s="20"/>
      <c r="C76" s="20"/>
      <c r="D76" s="20"/>
      <c r="E76" s="20"/>
      <c r="F76" s="20"/>
      <c r="G76" s="31"/>
    </row>
    <row r="77" spans="1:7" x14ac:dyDescent="0.25">
      <c r="A77" s="28">
        <v>72</v>
      </c>
      <c r="B77" s="20"/>
      <c r="C77" s="20"/>
      <c r="D77" s="20"/>
      <c r="E77" s="20"/>
      <c r="F77" s="20"/>
      <c r="G77" s="31"/>
    </row>
    <row r="78" spans="1:7" x14ac:dyDescent="0.25">
      <c r="A78" s="28">
        <v>73</v>
      </c>
      <c r="B78" s="20"/>
      <c r="C78" s="20"/>
      <c r="D78" s="20"/>
      <c r="E78" s="20"/>
      <c r="F78" s="20"/>
      <c r="G78" s="31"/>
    </row>
    <row r="79" spans="1:7" x14ac:dyDescent="0.25">
      <c r="A79" s="28">
        <v>74</v>
      </c>
      <c r="B79" s="20"/>
      <c r="C79" s="20"/>
      <c r="D79" s="20"/>
      <c r="E79" s="20"/>
      <c r="F79" s="20"/>
      <c r="G79" s="31"/>
    </row>
    <row r="80" spans="1:7" x14ac:dyDescent="0.25">
      <c r="A80" s="28">
        <v>75</v>
      </c>
      <c r="B80" s="20"/>
      <c r="C80" s="20"/>
      <c r="D80" s="20"/>
      <c r="E80" s="20"/>
      <c r="F80" s="20"/>
      <c r="G80" s="31"/>
    </row>
    <row r="81" spans="1:7" x14ac:dyDescent="0.25">
      <c r="A81" s="28">
        <v>76</v>
      </c>
      <c r="B81" s="20"/>
      <c r="C81" s="20"/>
      <c r="D81" s="20"/>
      <c r="E81" s="20"/>
      <c r="F81" s="20"/>
      <c r="G81" s="31"/>
    </row>
    <row r="82" spans="1:7" x14ac:dyDescent="0.25">
      <c r="A82" s="28">
        <v>77</v>
      </c>
      <c r="B82" s="20"/>
      <c r="C82" s="20"/>
      <c r="D82" s="20"/>
      <c r="E82" s="20"/>
      <c r="F82" s="20"/>
      <c r="G82" s="31"/>
    </row>
    <row r="83" spans="1:7" x14ac:dyDescent="0.25">
      <c r="A83" s="28">
        <v>78</v>
      </c>
      <c r="B83" s="20"/>
      <c r="C83" s="20"/>
      <c r="D83" s="20"/>
      <c r="E83" s="20"/>
      <c r="F83" s="20"/>
      <c r="G83" s="31"/>
    </row>
    <row r="84" spans="1:7" x14ac:dyDescent="0.25">
      <c r="A84" s="28">
        <v>79</v>
      </c>
      <c r="B84" s="20"/>
      <c r="C84" s="20"/>
      <c r="D84" s="20"/>
      <c r="E84" s="20"/>
      <c r="F84" s="20"/>
      <c r="G84" s="31"/>
    </row>
    <row r="85" spans="1:7" x14ac:dyDescent="0.25">
      <c r="A85" s="28">
        <v>80</v>
      </c>
      <c r="B85" s="20"/>
      <c r="C85" s="20"/>
      <c r="D85" s="20"/>
      <c r="E85" s="20"/>
      <c r="F85" s="20"/>
      <c r="G85" s="31"/>
    </row>
    <row r="86" spans="1:7" x14ac:dyDescent="0.25">
      <c r="A86" s="28">
        <v>81</v>
      </c>
      <c r="B86" s="20"/>
      <c r="C86" s="20"/>
      <c r="D86" s="20"/>
      <c r="E86" s="20"/>
      <c r="F86" s="20"/>
      <c r="G86" s="31"/>
    </row>
    <row r="87" spans="1:7" x14ac:dyDescent="0.25">
      <c r="A87" s="28">
        <v>82</v>
      </c>
      <c r="B87" s="20"/>
      <c r="C87" s="20"/>
      <c r="D87" s="20"/>
      <c r="E87" s="20"/>
      <c r="F87" s="20"/>
      <c r="G87" s="31"/>
    </row>
    <row r="88" spans="1:7" x14ac:dyDescent="0.25">
      <c r="A88" s="28">
        <v>83</v>
      </c>
      <c r="B88" s="20"/>
      <c r="C88" s="20"/>
      <c r="D88" s="20"/>
      <c r="E88" s="20"/>
      <c r="F88" s="20"/>
      <c r="G88" s="31"/>
    </row>
    <row r="89" spans="1:7" x14ac:dyDescent="0.25">
      <c r="A89" s="28">
        <v>84</v>
      </c>
      <c r="B89" s="20"/>
      <c r="C89" s="20"/>
      <c r="D89" s="20"/>
      <c r="E89" s="20"/>
      <c r="F89" s="20"/>
      <c r="G89" s="31"/>
    </row>
    <row r="90" spans="1:7" x14ac:dyDescent="0.25">
      <c r="A90" s="28">
        <v>85</v>
      </c>
      <c r="B90" s="20"/>
      <c r="C90" s="20"/>
      <c r="D90" s="20"/>
      <c r="E90" s="20"/>
      <c r="F90" s="20"/>
      <c r="G90" s="31"/>
    </row>
    <row r="91" spans="1:7" x14ac:dyDescent="0.25">
      <c r="A91" s="28">
        <v>86</v>
      </c>
      <c r="B91" s="20"/>
      <c r="C91" s="20"/>
      <c r="D91" s="20"/>
      <c r="E91" s="20"/>
      <c r="F91" s="20"/>
      <c r="G91" s="31"/>
    </row>
    <row r="92" spans="1:7" x14ac:dyDescent="0.25">
      <c r="A92" s="28">
        <v>87</v>
      </c>
      <c r="B92" s="20"/>
      <c r="C92" s="20"/>
      <c r="D92" s="20"/>
      <c r="E92" s="20"/>
      <c r="F92" s="20"/>
      <c r="G92" s="31"/>
    </row>
    <row r="93" spans="1:7" x14ac:dyDescent="0.25">
      <c r="A93" s="28">
        <v>88</v>
      </c>
      <c r="B93" s="20"/>
      <c r="C93" s="20"/>
      <c r="D93" s="20"/>
      <c r="E93" s="20"/>
      <c r="F93" s="20"/>
      <c r="G93" s="31"/>
    </row>
    <row r="94" spans="1:7" x14ac:dyDescent="0.25">
      <c r="A94" s="28">
        <v>89</v>
      </c>
      <c r="B94" s="20"/>
      <c r="C94" s="20"/>
      <c r="D94" s="20"/>
      <c r="E94" s="20"/>
      <c r="F94" s="20"/>
      <c r="G94" s="31"/>
    </row>
    <row r="95" spans="1:7" x14ac:dyDescent="0.25">
      <c r="A95" s="28">
        <v>90</v>
      </c>
      <c r="B95" s="20"/>
      <c r="C95" s="20"/>
      <c r="D95" s="20"/>
      <c r="E95" s="20"/>
      <c r="F95" s="20"/>
      <c r="G95" s="31"/>
    </row>
    <row r="96" spans="1:7" x14ac:dyDescent="0.25">
      <c r="A96" s="28">
        <v>91</v>
      </c>
      <c r="B96" s="20"/>
      <c r="C96" s="20"/>
      <c r="D96" s="20"/>
      <c r="E96" s="20"/>
      <c r="F96" s="20"/>
      <c r="G96" s="31"/>
    </row>
    <row r="97" spans="1:7" x14ac:dyDescent="0.25">
      <c r="A97" s="28">
        <v>92</v>
      </c>
      <c r="B97" s="20"/>
      <c r="C97" s="20"/>
      <c r="D97" s="20"/>
      <c r="E97" s="20"/>
      <c r="F97" s="20"/>
      <c r="G97" s="31"/>
    </row>
    <row r="98" spans="1:7" x14ac:dyDescent="0.25">
      <c r="A98" s="28">
        <v>93</v>
      </c>
      <c r="B98" s="20"/>
      <c r="C98" s="20"/>
      <c r="D98" s="20"/>
      <c r="E98" s="20"/>
      <c r="F98" s="20"/>
      <c r="G98" s="31"/>
    </row>
    <row r="99" spans="1:7" x14ac:dyDescent="0.25">
      <c r="A99" s="28">
        <v>94</v>
      </c>
      <c r="B99" s="20"/>
      <c r="C99" s="20"/>
      <c r="D99" s="20"/>
      <c r="E99" s="20"/>
      <c r="F99" s="20"/>
      <c r="G99" s="31"/>
    </row>
    <row r="100" spans="1:7" x14ac:dyDescent="0.25">
      <c r="A100" s="28">
        <v>95</v>
      </c>
      <c r="B100" s="20"/>
      <c r="C100" s="20"/>
      <c r="D100" s="20"/>
      <c r="E100" s="20"/>
      <c r="F100" s="20"/>
      <c r="G100" s="31"/>
    </row>
    <row r="101" spans="1:7" x14ac:dyDescent="0.25">
      <c r="A101" s="28">
        <v>96</v>
      </c>
      <c r="B101" s="20"/>
      <c r="C101" s="20"/>
      <c r="D101" s="20"/>
      <c r="E101" s="20"/>
      <c r="F101" s="20"/>
      <c r="G101" s="31"/>
    </row>
    <row r="102" spans="1:7" x14ac:dyDescent="0.25">
      <c r="A102" s="28">
        <v>97</v>
      </c>
      <c r="B102" s="20"/>
      <c r="C102" s="20"/>
      <c r="D102" s="20"/>
      <c r="E102" s="20"/>
      <c r="F102" s="20"/>
      <c r="G102" s="31"/>
    </row>
    <row r="103" spans="1:7" x14ac:dyDescent="0.25">
      <c r="A103" s="28">
        <v>98</v>
      </c>
      <c r="B103" s="20"/>
      <c r="C103" s="20"/>
      <c r="D103" s="20"/>
      <c r="E103" s="20"/>
      <c r="F103" s="20"/>
      <c r="G103" s="31"/>
    </row>
    <row r="104" spans="1:7" x14ac:dyDescent="0.25">
      <c r="A104" s="28">
        <v>99</v>
      </c>
      <c r="B104" s="20"/>
      <c r="C104" s="20"/>
      <c r="D104" s="20"/>
      <c r="E104" s="20"/>
      <c r="F104" s="20"/>
      <c r="G104" s="31"/>
    </row>
    <row r="105" spans="1:7" x14ac:dyDescent="0.25">
      <c r="A105" s="28">
        <v>100</v>
      </c>
      <c r="B105" s="20"/>
      <c r="C105" s="20"/>
      <c r="D105" s="20"/>
      <c r="E105" s="20"/>
      <c r="F105" s="20"/>
      <c r="G105" s="31"/>
    </row>
    <row r="106" spans="1:7" x14ac:dyDescent="0.25">
      <c r="A106" s="28">
        <v>101</v>
      </c>
      <c r="B106" s="20"/>
      <c r="C106" s="20"/>
      <c r="D106" s="20"/>
      <c r="E106" s="20"/>
      <c r="F106" s="20"/>
      <c r="G106" s="31"/>
    </row>
    <row r="107" spans="1:7" x14ac:dyDescent="0.25">
      <c r="A107" s="28">
        <v>102</v>
      </c>
      <c r="B107" s="20"/>
      <c r="C107" s="20"/>
      <c r="D107" s="20"/>
      <c r="E107" s="20"/>
      <c r="F107" s="20"/>
      <c r="G107" s="31"/>
    </row>
    <row r="108" spans="1:7" x14ac:dyDescent="0.25">
      <c r="A108" s="28">
        <v>103</v>
      </c>
      <c r="B108" s="20"/>
      <c r="C108" s="20"/>
      <c r="D108" s="20"/>
      <c r="E108" s="20"/>
      <c r="F108" s="20"/>
      <c r="G108" s="31"/>
    </row>
    <row r="109" spans="1:7" x14ac:dyDescent="0.25">
      <c r="A109" s="28">
        <v>104</v>
      </c>
      <c r="B109" s="20"/>
      <c r="C109" s="20"/>
      <c r="D109" s="20"/>
      <c r="E109" s="20"/>
      <c r="F109" s="20"/>
      <c r="G109" s="31"/>
    </row>
    <row r="110" spans="1:7" x14ac:dyDescent="0.25">
      <c r="A110" s="28">
        <v>105</v>
      </c>
      <c r="B110" s="20"/>
      <c r="C110" s="20"/>
      <c r="D110" s="20"/>
      <c r="E110" s="20"/>
      <c r="F110" s="20"/>
      <c r="G110" s="31"/>
    </row>
    <row r="111" spans="1:7" x14ac:dyDescent="0.25">
      <c r="A111" s="28">
        <v>106</v>
      </c>
      <c r="B111" s="20"/>
      <c r="C111" s="20"/>
      <c r="D111" s="20"/>
      <c r="E111" s="20"/>
      <c r="F111" s="20"/>
      <c r="G111" s="31"/>
    </row>
    <row r="112" spans="1:7" x14ac:dyDescent="0.25">
      <c r="A112" s="28">
        <v>107</v>
      </c>
      <c r="B112" s="20"/>
      <c r="C112" s="20"/>
      <c r="D112" s="20"/>
      <c r="E112" s="20"/>
      <c r="F112" s="20"/>
      <c r="G112" s="31"/>
    </row>
    <row r="113" spans="1:7" x14ac:dyDescent="0.25">
      <c r="A113" s="28">
        <v>108</v>
      </c>
      <c r="B113" s="20"/>
      <c r="C113" s="20"/>
      <c r="D113" s="20"/>
      <c r="E113" s="20"/>
      <c r="F113" s="20"/>
      <c r="G113" s="31"/>
    </row>
    <row r="114" spans="1:7" x14ac:dyDescent="0.25">
      <c r="A114" s="28">
        <v>109</v>
      </c>
      <c r="B114" s="20"/>
      <c r="C114" s="20"/>
      <c r="D114" s="20"/>
      <c r="E114" s="20"/>
      <c r="F114" s="20"/>
      <c r="G114" s="31"/>
    </row>
    <row r="115" spans="1:7" x14ac:dyDescent="0.25">
      <c r="A115" s="28">
        <v>110</v>
      </c>
      <c r="B115" s="20"/>
      <c r="C115" s="20"/>
      <c r="D115" s="20"/>
      <c r="E115" s="20"/>
      <c r="F115" s="20"/>
      <c r="G115" s="31"/>
    </row>
    <row r="116" spans="1:7" x14ac:dyDescent="0.25">
      <c r="A116" s="28">
        <v>111</v>
      </c>
      <c r="B116" s="20"/>
      <c r="C116" s="20"/>
      <c r="D116" s="20"/>
      <c r="E116" s="20"/>
      <c r="F116" s="20"/>
      <c r="G116" s="31"/>
    </row>
    <row r="117" spans="1:7" x14ac:dyDescent="0.25">
      <c r="A117" s="28">
        <v>112</v>
      </c>
      <c r="B117" s="20"/>
      <c r="C117" s="20"/>
      <c r="D117" s="20"/>
      <c r="E117" s="20"/>
      <c r="F117" s="20"/>
      <c r="G117" s="31"/>
    </row>
    <row r="118" spans="1:7" x14ac:dyDescent="0.25">
      <c r="A118" s="28">
        <v>113</v>
      </c>
      <c r="B118" s="20"/>
      <c r="C118" s="20"/>
      <c r="D118" s="20"/>
      <c r="E118" s="20"/>
      <c r="F118" s="20"/>
      <c r="G118" s="31"/>
    </row>
    <row r="119" spans="1:7" x14ac:dyDescent="0.25">
      <c r="A119" s="28">
        <v>114</v>
      </c>
      <c r="B119" s="20"/>
      <c r="C119" s="20"/>
      <c r="D119" s="20"/>
      <c r="E119" s="20"/>
      <c r="F119" s="20"/>
      <c r="G119" s="31"/>
    </row>
    <row r="120" spans="1:7" x14ac:dyDescent="0.25">
      <c r="A120" s="28">
        <v>115</v>
      </c>
      <c r="B120" s="20"/>
      <c r="C120" s="20"/>
      <c r="D120" s="20"/>
      <c r="E120" s="20"/>
      <c r="F120" s="20"/>
      <c r="G120" s="31"/>
    </row>
    <row r="121" spans="1:7" x14ac:dyDescent="0.25">
      <c r="A121" s="28">
        <v>116</v>
      </c>
      <c r="B121" s="20"/>
      <c r="C121" s="20"/>
      <c r="D121" s="20"/>
      <c r="E121" s="20"/>
      <c r="F121" s="20"/>
      <c r="G121" s="31"/>
    </row>
    <row r="122" spans="1:7" x14ac:dyDescent="0.25">
      <c r="A122" s="28">
        <v>117</v>
      </c>
      <c r="B122" s="20"/>
      <c r="C122" s="20"/>
      <c r="D122" s="20"/>
      <c r="E122" s="20"/>
      <c r="F122" s="20"/>
      <c r="G122" s="31"/>
    </row>
    <row r="123" spans="1:7" x14ac:dyDescent="0.25">
      <c r="A123" s="28">
        <v>118</v>
      </c>
      <c r="B123" s="20"/>
      <c r="C123" s="20"/>
      <c r="D123" s="20"/>
      <c r="E123" s="20"/>
      <c r="F123" s="20"/>
      <c r="G123" s="31"/>
    </row>
    <row r="124" spans="1:7" x14ac:dyDescent="0.25">
      <c r="A124" s="28">
        <v>119</v>
      </c>
      <c r="B124" s="20"/>
      <c r="C124" s="20"/>
      <c r="D124" s="20"/>
      <c r="E124" s="20"/>
      <c r="F124" s="20"/>
      <c r="G124" s="31"/>
    </row>
    <row r="125" spans="1:7" x14ac:dyDescent="0.25">
      <c r="A125" s="28">
        <v>120</v>
      </c>
      <c r="B125" s="20"/>
      <c r="C125" s="20"/>
      <c r="D125" s="20"/>
      <c r="E125" s="20"/>
      <c r="F125" s="20"/>
      <c r="G125" s="31"/>
    </row>
  </sheetData>
  <mergeCells count="1">
    <mergeCell ref="J14:L14"/>
  </mergeCells>
  <conditionalFormatting sqref="F6:F125">
    <cfRule type="cellIs" dxfId="3" priority="2" operator="equal">
      <formula>"Publiée"</formula>
    </cfRule>
    <cfRule type="cellIs" dxfId="2" priority="3" operator="equal">
      <formula>"Programmée"</formula>
    </cfRule>
  </conditionalFormatting>
  <dataValidations count="1">
    <dataValidation type="list" allowBlank="1" sqref="F6:F125" xr:uid="{00000000-0002-0000-0200-000002000000}">
      <formula1>"À faire,Programmée,Publiée,Abandonnée"</formula1>
      <formula2>0</formula2>
    </dataValidation>
  </dataValidation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2">
        <x14:dataValidation type="list" allowBlank="1" xr:uid="{00000000-0002-0000-0200-000000000000}">
          <x14:formula1>
            <xm:f>Charte!$B$25:$B$29</xm:f>
          </x14:formula1>
          <x14:formula2>
            <xm:f>0</xm:f>
          </x14:formula2>
          <xm:sqref>B6:B125</xm:sqref>
        </x14:dataValidation>
        <x14:dataValidation type="list" allowBlank="1" xr:uid="{00000000-0002-0000-0200-000001000000}">
          <x14:formula1>
            <xm:f>Charte!$D$25:$D$32</xm:f>
          </x14:formula1>
          <x14:formula2>
            <xm:f>0</xm:f>
          </x14:formula2>
          <xm:sqref>D6:D125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8B6E"/>
    <pageSetUpPr fitToPage="1"/>
  </sheetPr>
  <dimension ref="A1:H22"/>
  <sheetViews>
    <sheetView showGridLines="0" topLeftCell="A4" zoomScaleNormal="100" workbookViewId="0"/>
  </sheetViews>
  <sheetFormatPr baseColWidth="10" defaultColWidth="8.7109375" defaultRowHeight="15" x14ac:dyDescent="0.25"/>
  <cols>
    <col min="1" max="1" width="14" customWidth="1"/>
    <col min="2" max="2" width="24" customWidth="1"/>
    <col min="3" max="3" width="22" customWidth="1"/>
    <col min="4" max="7" width="13" customWidth="1"/>
    <col min="8" max="8" width="40" customWidth="1"/>
  </cols>
  <sheetData>
    <row r="1" spans="1:8" ht="20.25" x14ac:dyDescent="0.3">
      <c r="A1" s="17" t="s">
        <v>118</v>
      </c>
    </row>
    <row r="2" spans="1:8" x14ac:dyDescent="0.25">
      <c r="A2" s="18" t="s">
        <v>119</v>
      </c>
    </row>
    <row r="3" spans="1:8" x14ac:dyDescent="0.25">
      <c r="A3" s="19" t="s">
        <v>44</v>
      </c>
    </row>
    <row r="5" spans="1:8" ht="30" customHeight="1" x14ac:dyDescent="0.25">
      <c r="A5" s="7" t="s">
        <v>120</v>
      </c>
      <c r="B5" s="7" t="s">
        <v>121</v>
      </c>
      <c r="C5" s="7" t="s">
        <v>96</v>
      </c>
      <c r="D5" s="7" t="s">
        <v>77</v>
      </c>
      <c r="E5" s="7" t="s">
        <v>80</v>
      </c>
      <c r="F5" s="7" t="s">
        <v>83</v>
      </c>
      <c r="G5" s="7" t="s">
        <v>86</v>
      </c>
      <c r="H5" s="7" t="s">
        <v>122</v>
      </c>
    </row>
    <row r="6" spans="1:8" ht="24" customHeight="1" x14ac:dyDescent="0.25">
      <c r="A6" s="8" t="s">
        <v>123</v>
      </c>
      <c r="B6" s="21" t="s">
        <v>78</v>
      </c>
      <c r="C6" s="21" t="s">
        <v>85</v>
      </c>
      <c r="D6" s="21" t="s">
        <v>124</v>
      </c>
      <c r="E6" s="21" t="s">
        <v>124</v>
      </c>
      <c r="F6" s="21" t="s">
        <v>124</v>
      </c>
      <c r="G6" s="21" t="s">
        <v>124</v>
      </c>
      <c r="H6" s="20"/>
    </row>
    <row r="7" spans="1:8" ht="24" customHeight="1" x14ac:dyDescent="0.25">
      <c r="A7" s="8" t="s">
        <v>125</v>
      </c>
      <c r="B7" s="21" t="s">
        <v>81</v>
      </c>
      <c r="C7" s="21" t="s">
        <v>79</v>
      </c>
      <c r="D7" s="21" t="s">
        <v>124</v>
      </c>
      <c r="E7" s="21" t="s">
        <v>124</v>
      </c>
      <c r="F7" s="21" t="s">
        <v>124</v>
      </c>
      <c r="G7" s="21" t="s">
        <v>124</v>
      </c>
      <c r="H7" s="20"/>
    </row>
    <row r="8" spans="1:8" ht="24" customHeight="1" x14ac:dyDescent="0.25">
      <c r="A8" s="8" t="s">
        <v>126</v>
      </c>
      <c r="B8" s="21" t="s">
        <v>84</v>
      </c>
      <c r="C8" s="21" t="s">
        <v>76</v>
      </c>
      <c r="D8" s="21" t="s">
        <v>124</v>
      </c>
      <c r="E8" s="21" t="s">
        <v>124</v>
      </c>
      <c r="F8" s="21" t="s">
        <v>124</v>
      </c>
      <c r="G8" s="21" t="s">
        <v>124</v>
      </c>
      <c r="H8" s="20"/>
    </row>
    <row r="9" spans="1:8" ht="24" customHeight="1" x14ac:dyDescent="0.25">
      <c r="A9" s="8" t="s">
        <v>127</v>
      </c>
      <c r="B9" s="21" t="s">
        <v>87</v>
      </c>
      <c r="C9" s="21" t="s">
        <v>82</v>
      </c>
      <c r="D9" s="21" t="s">
        <v>124</v>
      </c>
      <c r="E9" s="21" t="s">
        <v>124</v>
      </c>
      <c r="F9" s="21" t="s">
        <v>124</v>
      </c>
      <c r="G9" s="21" t="s">
        <v>124</v>
      </c>
      <c r="H9" s="20"/>
    </row>
    <row r="10" spans="1:8" ht="24" customHeight="1" x14ac:dyDescent="0.25">
      <c r="A10" s="8" t="s">
        <v>128</v>
      </c>
      <c r="B10" s="21" t="s">
        <v>89</v>
      </c>
      <c r="C10" s="21" t="s">
        <v>76</v>
      </c>
      <c r="D10" s="21" t="s">
        <v>124</v>
      </c>
      <c r="E10" s="21" t="s">
        <v>124</v>
      </c>
      <c r="F10" s="21" t="s">
        <v>124</v>
      </c>
      <c r="G10" s="21" t="s">
        <v>124</v>
      </c>
      <c r="H10" s="20"/>
    </row>
    <row r="11" spans="1:8" ht="24" customHeight="1" x14ac:dyDescent="0.25">
      <c r="A11" s="8" t="s">
        <v>129</v>
      </c>
      <c r="B11" s="21" t="s">
        <v>90</v>
      </c>
      <c r="C11" s="21" t="s">
        <v>79</v>
      </c>
      <c r="D11" s="21" t="s">
        <v>124</v>
      </c>
      <c r="E11" s="21" t="s">
        <v>124</v>
      </c>
      <c r="F11" s="21" t="s">
        <v>124</v>
      </c>
      <c r="G11" s="21" t="s">
        <v>130</v>
      </c>
      <c r="H11" s="20"/>
    </row>
    <row r="12" spans="1:8" ht="24" customHeight="1" x14ac:dyDescent="0.25">
      <c r="A12" s="8" t="s">
        <v>131</v>
      </c>
      <c r="B12" s="21" t="s">
        <v>91</v>
      </c>
      <c r="C12" s="21" t="s">
        <v>85</v>
      </c>
      <c r="D12" s="21" t="s">
        <v>124</v>
      </c>
      <c r="E12" s="21" t="s">
        <v>124</v>
      </c>
      <c r="F12" s="21" t="s">
        <v>124</v>
      </c>
      <c r="G12" s="21" t="s">
        <v>130</v>
      </c>
      <c r="H12" s="20"/>
    </row>
    <row r="13" spans="1:8" ht="25.5" x14ac:dyDescent="0.25">
      <c r="A13" s="22" t="s">
        <v>132</v>
      </c>
      <c r="D13" s="32">
        <f>COUNTIF(D6:D12,"Oui")</f>
        <v>7</v>
      </c>
      <c r="E13" s="32">
        <f>COUNTIF(E6:E12,"Oui")</f>
        <v>7</v>
      </c>
      <c r="F13" s="32">
        <f>COUNTIF(F6:F12,"Oui")</f>
        <v>7</v>
      </c>
      <c r="G13" s="32">
        <f>COUNTIF(G6:G12,"Oui")</f>
        <v>5</v>
      </c>
      <c r="H13" s="23" t="str">
        <f>SUM(D13:G13)&amp;" publications par semaine au total"</f>
        <v>26 publications par semaine au total</v>
      </c>
    </row>
    <row r="15" spans="1:8" ht="25.5" x14ac:dyDescent="0.25">
      <c r="A15" s="22" t="s">
        <v>133</v>
      </c>
    </row>
    <row r="16" spans="1:8" x14ac:dyDescent="0.25">
      <c r="B16" s="25" t="str">
        <f>IF(Charte!B25="","",Charte!B25)</f>
        <v>Protéger</v>
      </c>
      <c r="C16" s="25" t="str">
        <f>IF(B16="","",COUNTIF($C$6:$C$12,B16)&amp;" jour(s)")</f>
        <v>2 jour(s)</v>
      </c>
    </row>
    <row r="17" spans="1:3" x14ac:dyDescent="0.25">
      <c r="B17" s="25" t="str">
        <f>IF(Charte!B26="","",Charte!B26)</f>
        <v>Entreprendre</v>
      </c>
      <c r="C17" s="25" t="str">
        <f>IF(B17="","",COUNTIF($C$6:$C$12,B17)&amp;" jour(s)")</f>
        <v>2 jour(s)</v>
      </c>
    </row>
    <row r="18" spans="1:3" x14ac:dyDescent="0.25">
      <c r="B18" s="25" t="str">
        <f>IF(Charte!B27="","",Charte!B27)</f>
        <v>Épargner et investir</v>
      </c>
      <c r="C18" s="25" t="str">
        <f>IF(B18="","",COUNTIF($C$6:$C$12,B18)&amp;" jour(s)")</f>
        <v>1 jour(s)</v>
      </c>
    </row>
    <row r="19" spans="1:3" x14ac:dyDescent="0.25">
      <c r="B19" s="25" t="str">
        <f>IF(Charte!B28="","",Charte!B28)</f>
        <v>Bâtir</v>
      </c>
      <c r="C19" s="25" t="str">
        <f>IF(B19="","",COUNTIF($C$6:$C$12,B19)&amp;" jour(s)")</f>
        <v>2 jour(s)</v>
      </c>
    </row>
    <row r="20" spans="1:3" x14ac:dyDescent="0.25">
      <c r="B20" s="25" t="str">
        <f>IF(Charte!B29="","",Charte!B29)</f>
        <v/>
      </c>
      <c r="C20" s="25" t="str">
        <f>IF(B20="","",COUNTIF($C$6:$C$12,B20)&amp;" jour(s)")</f>
        <v/>
      </c>
    </row>
    <row r="22" spans="1:3" x14ac:dyDescent="0.25">
      <c r="A22" s="27" t="s">
        <v>134</v>
      </c>
    </row>
  </sheetData>
  <dataValidations count="1">
    <dataValidation type="list" allowBlank="1" sqref="D6:G12" xr:uid="{00000000-0002-0000-0300-000002000000}">
      <formula1>"Oui,Non"</formula1>
      <formula2>0</formula2>
    </dataValidation>
  </dataValidation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2">
        <x14:dataValidation type="list" allowBlank="1" xr:uid="{00000000-0002-0000-0300-000000000000}">
          <x14:formula1>
            <xm:f>Charte!$D$25:$D$32</xm:f>
          </x14:formula1>
          <x14:formula2>
            <xm:f>0</xm:f>
          </x14:formula2>
          <xm:sqref>B6:B12</xm:sqref>
        </x14:dataValidation>
        <x14:dataValidation type="list" allowBlank="1" xr:uid="{00000000-0002-0000-0300-000001000000}">
          <x14:formula1>
            <xm:f>Charte!$B$25:$B$29</xm:f>
          </x14:formula1>
          <x14:formula2>
            <xm:f>0</xm:f>
          </x14:formula2>
          <xm:sqref>C6:C12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8B6E"/>
    <pageSetUpPr fitToPage="1"/>
  </sheetPr>
  <dimension ref="A1:E23"/>
  <sheetViews>
    <sheetView showGridLines="0" zoomScaleNormal="100" workbookViewId="0">
      <pane ySplit="5" topLeftCell="A6" activePane="bottomLeft" state="frozen"/>
      <selection pane="bottomLeft" activeCell="E8" sqref="E8"/>
    </sheetView>
  </sheetViews>
  <sheetFormatPr baseColWidth="10" defaultColWidth="8.7109375" defaultRowHeight="15" x14ac:dyDescent="0.25"/>
  <cols>
    <col min="1" max="1" width="5" customWidth="1"/>
    <col min="2" max="2" width="30" customWidth="1"/>
    <col min="3" max="3" width="12" customWidth="1"/>
    <col min="4" max="4" width="26" customWidth="1"/>
    <col min="5" max="5" width="95" customWidth="1"/>
  </cols>
  <sheetData>
    <row r="1" spans="1:5" ht="20.25" x14ac:dyDescent="0.3">
      <c r="A1" s="17" t="s">
        <v>135</v>
      </c>
    </row>
    <row r="2" spans="1:5" x14ac:dyDescent="0.25">
      <c r="A2" s="18" t="s">
        <v>136</v>
      </c>
    </row>
    <row r="5" spans="1:5" ht="30" customHeight="1" x14ac:dyDescent="0.25">
      <c r="A5" s="7" t="s">
        <v>45</v>
      </c>
      <c r="B5" s="7" t="s">
        <v>137</v>
      </c>
      <c r="C5" s="7" t="s">
        <v>138</v>
      </c>
      <c r="D5" s="7" t="s">
        <v>139</v>
      </c>
      <c r="E5" s="7" t="s">
        <v>140</v>
      </c>
    </row>
    <row r="6" spans="1:5" ht="33" customHeight="1" x14ac:dyDescent="0.25">
      <c r="A6" s="33">
        <v>1</v>
      </c>
      <c r="B6" s="34" t="s">
        <v>141</v>
      </c>
      <c r="C6" s="35" t="s">
        <v>142</v>
      </c>
      <c r="D6" s="35" t="s">
        <v>143</v>
      </c>
      <c r="E6" s="36" t="s">
        <v>144</v>
      </c>
    </row>
    <row r="7" spans="1:5" ht="181.5" customHeight="1" x14ac:dyDescent="0.25">
      <c r="A7" s="33">
        <v>2</v>
      </c>
      <c r="B7" s="34" t="s">
        <v>145</v>
      </c>
      <c r="C7" s="35" t="s">
        <v>146</v>
      </c>
      <c r="D7" s="35" t="s">
        <v>147</v>
      </c>
      <c r="E7" s="36" t="s">
        <v>148</v>
      </c>
    </row>
    <row r="8" spans="1:5" ht="100.5" customHeight="1" x14ac:dyDescent="0.25">
      <c r="A8" s="33">
        <v>3</v>
      </c>
      <c r="B8" s="34" t="s">
        <v>149</v>
      </c>
      <c r="C8" s="35" t="s">
        <v>146</v>
      </c>
      <c r="D8" s="35" t="s">
        <v>150</v>
      </c>
      <c r="E8" s="36" t="s">
        <v>151</v>
      </c>
    </row>
    <row r="9" spans="1:5" ht="46.5" customHeight="1" x14ac:dyDescent="0.25">
      <c r="A9" s="33">
        <v>4</v>
      </c>
      <c r="B9" s="34" t="s">
        <v>152</v>
      </c>
      <c r="C9" s="35" t="s">
        <v>146</v>
      </c>
      <c r="D9" s="35" t="s">
        <v>153</v>
      </c>
      <c r="E9" s="36" t="s">
        <v>154</v>
      </c>
    </row>
    <row r="10" spans="1:5" ht="46.5" customHeight="1" x14ac:dyDescent="0.25">
      <c r="A10" s="33">
        <v>5</v>
      </c>
      <c r="B10" s="34" t="s">
        <v>155</v>
      </c>
      <c r="C10" s="35" t="s">
        <v>146</v>
      </c>
      <c r="D10" s="35" t="s">
        <v>156</v>
      </c>
      <c r="E10" s="36" t="s">
        <v>157</v>
      </c>
    </row>
    <row r="11" spans="1:5" ht="33" customHeight="1" x14ac:dyDescent="0.25">
      <c r="A11" s="33">
        <v>6</v>
      </c>
      <c r="B11" s="34" t="s">
        <v>158</v>
      </c>
      <c r="C11" s="35" t="s">
        <v>146</v>
      </c>
      <c r="D11" s="35" t="s">
        <v>159</v>
      </c>
      <c r="E11" s="36" t="s">
        <v>160</v>
      </c>
    </row>
    <row r="12" spans="1:5" ht="100.5" customHeight="1" x14ac:dyDescent="0.25">
      <c r="A12" s="33">
        <v>7</v>
      </c>
      <c r="B12" s="34" t="s">
        <v>161</v>
      </c>
      <c r="C12" s="35" t="s">
        <v>162</v>
      </c>
      <c r="D12" s="35" t="s">
        <v>163</v>
      </c>
      <c r="E12" s="36" t="s">
        <v>164</v>
      </c>
    </row>
    <row r="13" spans="1:5" ht="60" customHeight="1" x14ac:dyDescent="0.25">
      <c r="A13" s="33">
        <v>8</v>
      </c>
      <c r="B13" s="34" t="s">
        <v>165</v>
      </c>
      <c r="C13" s="35" t="s">
        <v>162</v>
      </c>
      <c r="D13" s="35" t="s">
        <v>147</v>
      </c>
      <c r="E13" s="36" t="s">
        <v>166</v>
      </c>
    </row>
    <row r="14" spans="1:5" ht="33" customHeight="1" x14ac:dyDescent="0.25">
      <c r="A14" s="33">
        <v>9</v>
      </c>
      <c r="B14" s="34" t="s">
        <v>167</v>
      </c>
      <c r="C14" s="35" t="s">
        <v>162</v>
      </c>
      <c r="D14" s="35" t="s">
        <v>168</v>
      </c>
      <c r="E14" s="36" t="s">
        <v>169</v>
      </c>
    </row>
    <row r="15" spans="1:5" ht="114" customHeight="1" x14ac:dyDescent="0.25">
      <c r="A15" s="33">
        <v>10</v>
      </c>
      <c r="B15" s="34" t="s">
        <v>170</v>
      </c>
      <c r="C15" s="35" t="s">
        <v>171</v>
      </c>
      <c r="D15" s="35" t="s">
        <v>147</v>
      </c>
      <c r="E15" s="36" t="s">
        <v>172</v>
      </c>
    </row>
    <row r="16" spans="1:5" ht="46.5" customHeight="1" x14ac:dyDescent="0.25">
      <c r="A16" s="33">
        <v>11</v>
      </c>
      <c r="B16" s="34" t="s">
        <v>173</v>
      </c>
      <c r="C16" s="35" t="s">
        <v>171</v>
      </c>
      <c r="D16" s="35" t="s">
        <v>174</v>
      </c>
      <c r="E16" s="36" t="s">
        <v>175</v>
      </c>
    </row>
    <row r="17" spans="1:5" ht="195" customHeight="1" x14ac:dyDescent="0.25">
      <c r="A17" s="33">
        <v>12</v>
      </c>
      <c r="B17" s="34" t="s">
        <v>176</v>
      </c>
      <c r="C17" s="35" t="s">
        <v>177</v>
      </c>
      <c r="D17" s="35" t="s">
        <v>178</v>
      </c>
      <c r="E17" s="36" t="s">
        <v>179</v>
      </c>
    </row>
    <row r="18" spans="1:5" ht="168" customHeight="1" x14ac:dyDescent="0.25">
      <c r="A18" s="33">
        <v>13</v>
      </c>
      <c r="B18" s="34" t="s">
        <v>180</v>
      </c>
      <c r="C18" s="35" t="s">
        <v>181</v>
      </c>
      <c r="D18" s="35" t="s">
        <v>182</v>
      </c>
      <c r="E18" s="36" t="s">
        <v>183</v>
      </c>
    </row>
    <row r="19" spans="1:5" ht="46.5" customHeight="1" x14ac:dyDescent="0.25">
      <c r="A19" s="33">
        <v>14</v>
      </c>
      <c r="B19" s="34" t="s">
        <v>184</v>
      </c>
      <c r="C19" s="35" t="s">
        <v>185</v>
      </c>
      <c r="D19" s="35" t="s">
        <v>186</v>
      </c>
      <c r="E19" s="36" t="s">
        <v>187</v>
      </c>
    </row>
    <row r="20" spans="1:5" ht="46.5" customHeight="1" x14ac:dyDescent="0.25">
      <c r="A20" s="33">
        <v>15</v>
      </c>
      <c r="B20" s="34" t="s">
        <v>188</v>
      </c>
      <c r="C20" s="35" t="s">
        <v>185</v>
      </c>
      <c r="D20" s="35" t="s">
        <v>189</v>
      </c>
      <c r="E20" s="36" t="s">
        <v>190</v>
      </c>
    </row>
    <row r="21" spans="1:5" ht="33" customHeight="1" x14ac:dyDescent="0.25">
      <c r="A21" s="33">
        <v>16</v>
      </c>
      <c r="B21" s="34" t="s">
        <v>191</v>
      </c>
      <c r="C21" s="35" t="s">
        <v>185</v>
      </c>
      <c r="D21" s="35" t="s">
        <v>192</v>
      </c>
      <c r="E21" s="36" t="s">
        <v>193</v>
      </c>
    </row>
    <row r="22" spans="1:5" ht="33" customHeight="1" x14ac:dyDescent="0.25">
      <c r="A22" s="33">
        <v>17</v>
      </c>
      <c r="B22" s="34" t="s">
        <v>194</v>
      </c>
      <c r="C22" s="35" t="s">
        <v>185</v>
      </c>
      <c r="D22" s="35" t="s">
        <v>195</v>
      </c>
      <c r="E22" s="36" t="s">
        <v>196</v>
      </c>
    </row>
    <row r="23" spans="1:5" ht="46.5" customHeight="1" x14ac:dyDescent="0.25">
      <c r="A23" s="33">
        <v>18</v>
      </c>
      <c r="B23" s="34" t="s">
        <v>197</v>
      </c>
      <c r="C23" s="35" t="s">
        <v>185</v>
      </c>
      <c r="D23" s="35" t="s">
        <v>198</v>
      </c>
      <c r="E23" s="36" t="s">
        <v>199</v>
      </c>
    </row>
  </sheetData>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453A"/>
    <pageSetUpPr fitToPage="1"/>
  </sheetPr>
  <dimension ref="A1:F14"/>
  <sheetViews>
    <sheetView showGridLines="0" zoomScaleNormal="100" workbookViewId="0"/>
  </sheetViews>
  <sheetFormatPr baseColWidth="10" defaultColWidth="8.7109375" defaultRowHeight="15" x14ac:dyDescent="0.25"/>
  <cols>
    <col min="1" max="3" width="16" customWidth="1"/>
    <col min="4" max="5" width="18" customWidth="1"/>
    <col min="6" max="6" width="46" customWidth="1"/>
  </cols>
  <sheetData>
    <row r="1" spans="1:6" ht="20.25" x14ac:dyDescent="0.3">
      <c r="A1" s="17" t="s">
        <v>200</v>
      </c>
    </row>
    <row r="2" spans="1:6" x14ac:dyDescent="0.25">
      <c r="A2" s="18" t="s">
        <v>201</v>
      </c>
    </row>
    <row r="3" spans="1:6" x14ac:dyDescent="0.25">
      <c r="A3" s="19" t="s">
        <v>44</v>
      </c>
    </row>
    <row r="5" spans="1:6" ht="30" customHeight="1" x14ac:dyDescent="0.25">
      <c r="A5" s="7" t="s">
        <v>202</v>
      </c>
      <c r="B5" s="7" t="s">
        <v>203</v>
      </c>
      <c r="C5" s="7" t="s">
        <v>204</v>
      </c>
      <c r="D5" s="7" t="s">
        <v>205</v>
      </c>
      <c r="E5" s="7" t="s">
        <v>206</v>
      </c>
      <c r="F5" s="7" t="s">
        <v>207</v>
      </c>
    </row>
    <row r="6" spans="1:6" x14ac:dyDescent="0.25">
      <c r="A6" s="8" t="s">
        <v>77</v>
      </c>
      <c r="B6" s="37"/>
      <c r="C6" s="37"/>
      <c r="D6" s="20"/>
      <c r="E6" s="31"/>
      <c r="F6" s="20"/>
    </row>
    <row r="7" spans="1:6" x14ac:dyDescent="0.25">
      <c r="A7" s="8" t="s">
        <v>80</v>
      </c>
      <c r="B7" s="37"/>
      <c r="C7" s="37"/>
      <c r="D7" s="20"/>
      <c r="E7" s="31"/>
      <c r="F7" s="20"/>
    </row>
    <row r="8" spans="1:6" x14ac:dyDescent="0.25">
      <c r="A8" s="8" t="s">
        <v>83</v>
      </c>
      <c r="B8" s="37"/>
      <c r="C8" s="37"/>
      <c r="D8" s="20"/>
      <c r="E8" s="31"/>
      <c r="F8" s="20"/>
    </row>
    <row r="9" spans="1:6" x14ac:dyDescent="0.25">
      <c r="A9" s="8" t="s">
        <v>86</v>
      </c>
      <c r="B9" s="37"/>
      <c r="C9" s="37"/>
      <c r="D9" s="20"/>
      <c r="E9" s="31"/>
      <c r="F9" s="20"/>
    </row>
    <row r="10" spans="1:6" x14ac:dyDescent="0.25">
      <c r="A10" s="8" t="s">
        <v>88</v>
      </c>
      <c r="B10" s="37"/>
      <c r="C10" s="37"/>
      <c r="D10" s="20"/>
      <c r="E10" s="31"/>
      <c r="F10" s="20"/>
    </row>
    <row r="11" spans="1:6" x14ac:dyDescent="0.25">
      <c r="A11" s="8" t="s">
        <v>208</v>
      </c>
      <c r="B11" s="37"/>
      <c r="C11" s="37"/>
      <c r="D11" s="20"/>
      <c r="E11" s="31"/>
      <c r="F11" s="20"/>
    </row>
    <row r="13" spans="1:6" x14ac:dyDescent="0.25">
      <c r="A13" s="27" t="s">
        <v>209</v>
      </c>
    </row>
    <row r="14" spans="1:6" x14ac:dyDescent="0.25">
      <c r="A14" s="27" t="s">
        <v>210</v>
      </c>
    </row>
  </sheetData>
  <dataValidations count="1">
    <dataValidation type="list" allowBlank="1" sqref="D6:D11" xr:uid="{00000000-0002-0000-0500-000000000000}">
      <formula1>"Lundi,Mardi,Mercredi,Jeudi,Vendredi,Samedi,Dimanche"</formula1>
      <formula2>0</formula2>
    </dataValidation>
  </dataValidation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B4FA0"/>
    <pageSetUpPr fitToPage="1"/>
  </sheetPr>
  <dimension ref="A1:T155"/>
  <sheetViews>
    <sheetView showGridLines="0" zoomScaleNormal="100" workbookViewId="0">
      <pane ySplit="5" topLeftCell="A6" activePane="bottomLeft" state="frozen"/>
      <selection pane="bottomLeft"/>
    </sheetView>
  </sheetViews>
  <sheetFormatPr baseColWidth="10" defaultColWidth="8.7109375" defaultRowHeight="15" x14ac:dyDescent="0.25"/>
  <cols>
    <col min="1" max="2" width="12" customWidth="1"/>
    <col min="3" max="3" width="20" customWidth="1"/>
    <col min="4" max="4" width="18" customWidth="1"/>
    <col min="5" max="5" width="34" customWidth="1"/>
    <col min="6" max="12" width="11" customWidth="1"/>
    <col min="13" max="14" width="12" customWidth="1"/>
    <col min="16" max="16" width="24" customWidth="1"/>
    <col min="17" max="17" width="10" customWidth="1"/>
    <col min="18" max="18" width="14" customWidth="1"/>
    <col min="19" max="19" width="16" customWidth="1"/>
    <col min="20" max="20" width="14" customWidth="1"/>
  </cols>
  <sheetData>
    <row r="1" spans="1:20" ht="20.25" x14ac:dyDescent="0.3">
      <c r="A1" s="17" t="s">
        <v>211</v>
      </c>
    </row>
    <row r="2" spans="1:20" x14ac:dyDescent="0.25">
      <c r="A2" s="18" t="s">
        <v>212</v>
      </c>
    </row>
    <row r="3" spans="1:20" x14ac:dyDescent="0.25">
      <c r="A3" s="19" t="s">
        <v>44</v>
      </c>
    </row>
    <row r="4" spans="1:20" ht="15.75" x14ac:dyDescent="0.25">
      <c r="P4" s="26" t="s">
        <v>213</v>
      </c>
    </row>
    <row r="5" spans="1:20" ht="30" customHeight="1" x14ac:dyDescent="0.25">
      <c r="A5" s="7" t="s">
        <v>214</v>
      </c>
      <c r="B5" s="7" t="s">
        <v>202</v>
      </c>
      <c r="C5" s="7" t="s">
        <v>96</v>
      </c>
      <c r="D5" s="7" t="s">
        <v>121</v>
      </c>
      <c r="E5" s="7" t="s">
        <v>215</v>
      </c>
      <c r="F5" s="7" t="s">
        <v>216</v>
      </c>
      <c r="G5" s="7" t="s">
        <v>217</v>
      </c>
      <c r="H5" s="7" t="s">
        <v>218</v>
      </c>
      <c r="I5" s="7" t="s">
        <v>219</v>
      </c>
      <c r="J5" s="7" t="s">
        <v>220</v>
      </c>
      <c r="K5" s="7" t="s">
        <v>221</v>
      </c>
      <c r="L5" s="7" t="s">
        <v>222</v>
      </c>
      <c r="M5" s="7" t="s">
        <v>223</v>
      </c>
      <c r="N5" s="7" t="s">
        <v>224</v>
      </c>
      <c r="P5" s="7" t="s">
        <v>225</v>
      </c>
      <c r="Q5" s="7" t="s">
        <v>226</v>
      </c>
      <c r="R5" s="7" t="s">
        <v>227</v>
      </c>
      <c r="S5" s="7" t="s">
        <v>30</v>
      </c>
      <c r="T5" s="7" t="s">
        <v>31</v>
      </c>
    </row>
    <row r="6" spans="1:20" x14ac:dyDescent="0.25">
      <c r="A6" s="29">
        <v>46300</v>
      </c>
      <c r="B6" s="21" t="s">
        <v>77</v>
      </c>
      <c r="C6" s="21" t="s">
        <v>76</v>
      </c>
      <c r="D6" s="21" t="s">
        <v>84</v>
      </c>
      <c r="E6" s="21" t="s">
        <v>105</v>
      </c>
      <c r="F6" s="38">
        <v>5000</v>
      </c>
      <c r="G6" s="38">
        <v>200</v>
      </c>
      <c r="H6" s="38">
        <v>30</v>
      </c>
      <c r="I6" s="38">
        <v>20</v>
      </c>
      <c r="J6" s="38">
        <v>15</v>
      </c>
      <c r="K6" s="38">
        <v>12</v>
      </c>
      <c r="L6" s="38">
        <v>25</v>
      </c>
      <c r="M6" s="39">
        <f t="shared" ref="M6:M37" si="0">IF(OR(F6="",F6=0),"",(G6+H6+I6)/F6)</f>
        <v>0.05</v>
      </c>
      <c r="N6" s="39">
        <f t="shared" ref="N6:N37" si="1">IF(OR(F6="",F6=0),"",(I6+J6)/F6)</f>
        <v>7.0000000000000001E-3</v>
      </c>
      <c r="P6" s="23" t="str">
        <f>IF(Charte!C25="","",Charte!C25)</f>
        <v>Facebook</v>
      </c>
      <c r="Q6" s="30">
        <f>IF(P6="","",COUNTIFS($B$6:$B$155,P6,$F$6:$F$155,"&gt;0"))</f>
        <v>1</v>
      </c>
      <c r="R6" s="30">
        <f>IF(P6="","",SUMIFS($F$6:$F$155,$B$6:$B$155,P6))</f>
        <v>5000</v>
      </c>
      <c r="S6" s="39">
        <f>IF(P6="","",IFERROR(AVERAGEIFS($M$6:$M$155,$B$6:$B$155,P6),""))</f>
        <v>0.05</v>
      </c>
      <c r="T6" s="30">
        <f>IF(P6="","",SUMIFS($L$6:$L$155,$B$6:$B$155,P6))</f>
        <v>25</v>
      </c>
    </row>
    <row r="7" spans="1:20" x14ac:dyDescent="0.25">
      <c r="A7" s="29">
        <v>46301</v>
      </c>
      <c r="B7" s="21" t="s">
        <v>80</v>
      </c>
      <c r="C7" s="21" t="s">
        <v>79</v>
      </c>
      <c r="D7" s="21" t="s">
        <v>81</v>
      </c>
      <c r="E7" s="21" t="s">
        <v>107</v>
      </c>
      <c r="F7" s="38">
        <v>3200</v>
      </c>
      <c r="G7" s="38">
        <v>180</v>
      </c>
      <c r="H7" s="38">
        <v>22</v>
      </c>
      <c r="I7" s="38">
        <v>35</v>
      </c>
      <c r="J7" s="38">
        <v>60</v>
      </c>
      <c r="K7" s="38">
        <v>8</v>
      </c>
      <c r="L7" s="38">
        <v>18</v>
      </c>
      <c r="M7" s="39">
        <f t="shared" si="0"/>
        <v>7.4062500000000003E-2</v>
      </c>
      <c r="N7" s="39">
        <f t="shared" si="1"/>
        <v>2.9687499999999999E-2</v>
      </c>
      <c r="P7" s="23" t="str">
        <f>IF(Charte!C26="","",Charte!C26)</f>
        <v>Instagram</v>
      </c>
      <c r="Q7" s="30">
        <f>IF(P7="","",COUNTIFS($B$6:$B$155,P7,$F$6:$F$155,"&gt;0"))</f>
        <v>1</v>
      </c>
      <c r="R7" s="30">
        <f>IF(P7="","",SUMIFS($F$6:$F$155,$B$6:$B$155,P7))</f>
        <v>3200</v>
      </c>
      <c r="S7" s="39">
        <f>IF(P7="","",IFERROR(AVERAGEIFS($M$6:$M$155,$B$6:$B$155,P7),""))</f>
        <v>7.4062500000000003E-2</v>
      </c>
      <c r="T7" s="30">
        <f>IF(P7="","",SUMIFS($L$6:$L$155,$B$6:$B$155,P7))</f>
        <v>18</v>
      </c>
    </row>
    <row r="8" spans="1:20" x14ac:dyDescent="0.25">
      <c r="A8" s="29">
        <v>46303</v>
      </c>
      <c r="B8" s="21" t="s">
        <v>86</v>
      </c>
      <c r="C8" s="21" t="s">
        <v>82</v>
      </c>
      <c r="D8" s="21" t="s">
        <v>78</v>
      </c>
      <c r="E8" s="21" t="s">
        <v>110</v>
      </c>
      <c r="F8" s="38">
        <v>2100</v>
      </c>
      <c r="G8" s="38">
        <v>64</v>
      </c>
      <c r="H8" s="38">
        <v>11</v>
      </c>
      <c r="I8" s="38">
        <v>6</v>
      </c>
      <c r="J8" s="38">
        <v>4</v>
      </c>
      <c r="K8" s="38">
        <v>5</v>
      </c>
      <c r="L8" s="38">
        <v>7</v>
      </c>
      <c r="M8" s="39">
        <f t="shared" si="0"/>
        <v>3.8571428571428569E-2</v>
      </c>
      <c r="N8" s="39">
        <f t="shared" si="1"/>
        <v>4.7619047619047623E-3</v>
      </c>
      <c r="P8" s="23" t="str">
        <f>IF(Charte!C27="","",Charte!C27)</f>
        <v>TikTok</v>
      </c>
      <c r="Q8" s="30">
        <f>IF(P8="","",COUNTIFS($B$6:$B$155,P8,$F$6:$F$155,"&gt;0"))</f>
        <v>0</v>
      </c>
      <c r="R8" s="30">
        <f>IF(P8="","",SUMIFS($F$6:$F$155,$B$6:$B$155,P8))</f>
        <v>0</v>
      </c>
      <c r="S8" s="39" t="str">
        <f>IF(P8="","",IFERROR(AVERAGEIFS($M$6:$M$155,$B$6:$B$155,P8),""))</f>
        <v/>
      </c>
      <c r="T8" s="30">
        <f>IF(P8="","",SUMIFS($L$6:$L$155,$B$6:$B$155,P8))</f>
        <v>0</v>
      </c>
    </row>
    <row r="9" spans="1:20" x14ac:dyDescent="0.25">
      <c r="A9" s="31"/>
      <c r="B9" s="20"/>
      <c r="C9" s="20"/>
      <c r="D9" s="20"/>
      <c r="E9" s="20"/>
      <c r="F9" s="40"/>
      <c r="G9" s="40"/>
      <c r="H9" s="40"/>
      <c r="I9" s="40"/>
      <c r="J9" s="40"/>
      <c r="K9" s="40"/>
      <c r="L9" s="40"/>
      <c r="M9" s="39" t="str">
        <f t="shared" si="0"/>
        <v/>
      </c>
      <c r="N9" s="39" t="str">
        <f t="shared" si="1"/>
        <v/>
      </c>
      <c r="P9" s="23" t="str">
        <f>IF(Charte!C28="","",Charte!C28)</f>
        <v>LinkedIn</v>
      </c>
      <c r="Q9" s="30">
        <f>IF(P9="","",COUNTIFS($B$6:$B$155,P9,$F$6:$F$155,"&gt;0"))</f>
        <v>1</v>
      </c>
      <c r="R9" s="30">
        <f>IF(P9="","",SUMIFS($F$6:$F$155,$B$6:$B$155,P9))</f>
        <v>2100</v>
      </c>
      <c r="S9" s="39">
        <f>IF(P9="","",IFERROR(AVERAGEIFS($M$6:$M$155,$B$6:$B$155,P9),""))</f>
        <v>3.8571428571428569E-2</v>
      </c>
      <c r="T9" s="30">
        <f>IF(P9="","",SUMIFS($L$6:$L$155,$B$6:$B$155,P9))</f>
        <v>7</v>
      </c>
    </row>
    <row r="10" spans="1:20" x14ac:dyDescent="0.25">
      <c r="A10" s="31"/>
      <c r="B10" s="20"/>
      <c r="C10" s="20"/>
      <c r="D10" s="20"/>
      <c r="E10" s="20"/>
      <c r="F10" s="40"/>
      <c r="G10" s="40"/>
      <c r="H10" s="40"/>
      <c r="I10" s="40"/>
      <c r="J10" s="40"/>
      <c r="K10" s="40"/>
      <c r="L10" s="40"/>
      <c r="M10" s="39" t="str">
        <f t="shared" si="0"/>
        <v/>
      </c>
      <c r="N10" s="39" t="str">
        <f t="shared" si="1"/>
        <v/>
      </c>
      <c r="P10" s="23" t="str">
        <f>IF(Charte!C29="","",Charte!C29)</f>
        <v>YouTube</v>
      </c>
      <c r="Q10" s="30">
        <f>IF(P10="","",COUNTIFS($B$6:$B$155,P10,$F$6:$F$155,"&gt;0"))</f>
        <v>0</v>
      </c>
      <c r="R10" s="30">
        <f>IF(P10="","",SUMIFS($F$6:$F$155,$B$6:$B$155,P10))</f>
        <v>0</v>
      </c>
      <c r="S10" s="39" t="str">
        <f>IF(P10="","",IFERROR(AVERAGEIFS($M$6:$M$155,$B$6:$B$155,P10),""))</f>
        <v/>
      </c>
      <c r="T10" s="30">
        <f>IF(P10="","",SUMIFS($L$6:$L$155,$B$6:$B$155,P10))</f>
        <v>0</v>
      </c>
    </row>
    <row r="11" spans="1:20" x14ac:dyDescent="0.25">
      <c r="A11" s="31"/>
      <c r="B11" s="20"/>
      <c r="C11" s="20"/>
      <c r="D11" s="20"/>
      <c r="E11" s="20"/>
      <c r="F11" s="40"/>
      <c r="G11" s="40"/>
      <c r="H11" s="40"/>
      <c r="I11" s="40"/>
      <c r="J11" s="40"/>
      <c r="K11" s="40"/>
      <c r="L11" s="40"/>
      <c r="M11" s="39" t="str">
        <f t="shared" si="0"/>
        <v/>
      </c>
      <c r="N11" s="39" t="str">
        <f t="shared" si="1"/>
        <v/>
      </c>
    </row>
    <row r="12" spans="1:20" ht="30" customHeight="1" x14ac:dyDescent="0.25">
      <c r="A12" s="31"/>
      <c r="B12" s="20"/>
      <c r="C12" s="20"/>
      <c r="D12" s="20"/>
      <c r="E12" s="20"/>
      <c r="F12" s="40"/>
      <c r="G12" s="40"/>
      <c r="H12" s="40"/>
      <c r="I12" s="40"/>
      <c r="J12" s="40"/>
      <c r="K12" s="40"/>
      <c r="L12" s="40"/>
      <c r="M12" s="39" t="str">
        <f t="shared" si="0"/>
        <v/>
      </c>
      <c r="N12" s="39" t="str">
        <f t="shared" si="1"/>
        <v/>
      </c>
      <c r="P12" s="7" t="s">
        <v>228</v>
      </c>
      <c r="Q12" s="7" t="s">
        <v>226</v>
      </c>
      <c r="R12" s="7" t="s">
        <v>227</v>
      </c>
      <c r="S12" s="7" t="s">
        <v>30</v>
      </c>
      <c r="T12" s="7" t="s">
        <v>31</v>
      </c>
    </row>
    <row r="13" spans="1:20" x14ac:dyDescent="0.25">
      <c r="A13" s="31"/>
      <c r="B13" s="20"/>
      <c r="C13" s="20"/>
      <c r="D13" s="20"/>
      <c r="E13" s="20"/>
      <c r="F13" s="40"/>
      <c r="G13" s="40"/>
      <c r="H13" s="40"/>
      <c r="I13" s="40"/>
      <c r="J13" s="40"/>
      <c r="K13" s="40"/>
      <c r="L13" s="40"/>
      <c r="M13" s="39" t="str">
        <f t="shared" si="0"/>
        <v/>
      </c>
      <c r="N13" s="39" t="str">
        <f t="shared" si="1"/>
        <v/>
      </c>
      <c r="P13" s="23" t="str">
        <f>IF(Charte!B25="","",Charte!B25)</f>
        <v>Protéger</v>
      </c>
      <c r="Q13" s="30">
        <f>IF(P13="","",COUNTIFS($C$6:$C$155,P13,$F$6:$F$155,"&gt;0"))</f>
        <v>1</v>
      </c>
      <c r="R13" s="30">
        <f>IF(P13="","",SUMIFS($F$6:$F$155,$C$6:$C$155,P13))</f>
        <v>5000</v>
      </c>
      <c r="S13" s="39">
        <f>IF(P13="","",IFERROR(AVERAGEIFS($M$6:$M$155,$C$6:$C$155,P13),""))</f>
        <v>0.05</v>
      </c>
      <c r="T13" s="30">
        <f>IF(P13="","",SUMIFS($L$6:$L$155,$C$6:$C$155,P13))</f>
        <v>25</v>
      </c>
    </row>
    <row r="14" spans="1:20" x14ac:dyDescent="0.25">
      <c r="A14" s="31"/>
      <c r="B14" s="20"/>
      <c r="C14" s="20"/>
      <c r="D14" s="20"/>
      <c r="E14" s="20"/>
      <c r="F14" s="40"/>
      <c r="G14" s="40"/>
      <c r="H14" s="40"/>
      <c r="I14" s="40"/>
      <c r="J14" s="40"/>
      <c r="K14" s="40"/>
      <c r="L14" s="40"/>
      <c r="M14" s="39" t="str">
        <f t="shared" si="0"/>
        <v/>
      </c>
      <c r="N14" s="39" t="str">
        <f t="shared" si="1"/>
        <v/>
      </c>
      <c r="P14" s="23" t="str">
        <f>IF(Charte!B26="","",Charte!B26)</f>
        <v>Entreprendre</v>
      </c>
      <c r="Q14" s="30">
        <f>IF(P14="","",COUNTIFS($C$6:$C$155,P14,$F$6:$F$155,"&gt;0"))</f>
        <v>1</v>
      </c>
      <c r="R14" s="30">
        <f>IF(P14="","",SUMIFS($F$6:$F$155,$C$6:$C$155,P14))</f>
        <v>3200</v>
      </c>
      <c r="S14" s="39">
        <f>IF(P14="","",IFERROR(AVERAGEIFS($M$6:$M$155,$C$6:$C$155,P14),""))</f>
        <v>7.4062500000000003E-2</v>
      </c>
      <c r="T14" s="30">
        <f>IF(P14="","",SUMIFS($L$6:$L$155,$C$6:$C$155,P14))</f>
        <v>18</v>
      </c>
    </row>
    <row r="15" spans="1:20" x14ac:dyDescent="0.25">
      <c r="A15" s="31"/>
      <c r="B15" s="20"/>
      <c r="C15" s="20"/>
      <c r="D15" s="20"/>
      <c r="E15" s="20"/>
      <c r="F15" s="40"/>
      <c r="G15" s="40"/>
      <c r="H15" s="40"/>
      <c r="I15" s="40"/>
      <c r="J15" s="40"/>
      <c r="K15" s="40"/>
      <c r="L15" s="40"/>
      <c r="M15" s="39" t="str">
        <f t="shared" si="0"/>
        <v/>
      </c>
      <c r="N15" s="39" t="str">
        <f t="shared" si="1"/>
        <v/>
      </c>
      <c r="P15" s="23" t="str">
        <f>IF(Charte!B27="","",Charte!B27)</f>
        <v>Épargner et investir</v>
      </c>
      <c r="Q15" s="30">
        <f>IF(P15="","",COUNTIFS($C$6:$C$155,P15,$F$6:$F$155,"&gt;0"))</f>
        <v>1</v>
      </c>
      <c r="R15" s="30">
        <f>IF(P15="","",SUMIFS($F$6:$F$155,$C$6:$C$155,P15))</f>
        <v>2100</v>
      </c>
      <c r="S15" s="39">
        <f>IF(P15="","",IFERROR(AVERAGEIFS($M$6:$M$155,$C$6:$C$155,P15),""))</f>
        <v>3.8571428571428569E-2</v>
      </c>
      <c r="T15" s="30">
        <f>IF(P15="","",SUMIFS($L$6:$L$155,$C$6:$C$155,P15))</f>
        <v>7</v>
      </c>
    </row>
    <row r="16" spans="1:20" x14ac:dyDescent="0.25">
      <c r="A16" s="31"/>
      <c r="B16" s="20"/>
      <c r="C16" s="20"/>
      <c r="D16" s="20"/>
      <c r="E16" s="20"/>
      <c r="F16" s="40"/>
      <c r="G16" s="40"/>
      <c r="H16" s="40"/>
      <c r="I16" s="40"/>
      <c r="J16" s="40"/>
      <c r="K16" s="40"/>
      <c r="L16" s="40"/>
      <c r="M16" s="39" t="str">
        <f t="shared" si="0"/>
        <v/>
      </c>
      <c r="N16" s="39" t="str">
        <f t="shared" si="1"/>
        <v/>
      </c>
      <c r="P16" s="23" t="str">
        <f>IF(Charte!B28="","",Charte!B28)</f>
        <v>Bâtir</v>
      </c>
      <c r="Q16" s="30">
        <f>IF(P16="","",COUNTIFS($C$6:$C$155,P16,$F$6:$F$155,"&gt;0"))</f>
        <v>0</v>
      </c>
      <c r="R16" s="30">
        <f>IF(P16="","",SUMIFS($F$6:$F$155,$C$6:$C$155,P16))</f>
        <v>0</v>
      </c>
      <c r="S16" s="39" t="str">
        <f>IF(P16="","",IFERROR(AVERAGEIFS($M$6:$M$155,$C$6:$C$155,P16),""))</f>
        <v/>
      </c>
      <c r="T16" s="30">
        <f>IF(P16="","",SUMIFS($L$6:$L$155,$C$6:$C$155,P16))</f>
        <v>0</v>
      </c>
    </row>
    <row r="17" spans="1:20" x14ac:dyDescent="0.25">
      <c r="A17" s="31"/>
      <c r="B17" s="20"/>
      <c r="C17" s="20"/>
      <c r="D17" s="20"/>
      <c r="E17" s="20"/>
      <c r="F17" s="40"/>
      <c r="G17" s="40"/>
      <c r="H17" s="40"/>
      <c r="I17" s="40"/>
      <c r="J17" s="40"/>
      <c r="K17" s="40"/>
      <c r="L17" s="40"/>
      <c r="M17" s="39" t="str">
        <f t="shared" si="0"/>
        <v/>
      </c>
      <c r="N17" s="39" t="str">
        <f t="shared" si="1"/>
        <v/>
      </c>
      <c r="P17" s="23" t="str">
        <f>IF(Charte!B29="","",Charte!B29)</f>
        <v/>
      </c>
      <c r="Q17" s="30" t="str">
        <f>IF(P17="","",COUNTIFS($C$6:$C$155,P17,$F$6:$F$155,"&gt;0"))</f>
        <v/>
      </c>
      <c r="R17" s="30" t="str">
        <f>IF(P17="","",SUMIFS($F$6:$F$155,$C$6:$C$155,P17))</f>
        <v/>
      </c>
      <c r="S17" s="39" t="str">
        <f>IF(P17="","",IFERROR(AVERAGEIFS($M$6:$M$155,$C$6:$C$155,P17),""))</f>
        <v/>
      </c>
      <c r="T17" s="30" t="str">
        <f>IF(P17="","",SUMIFS($L$6:$L$155,$C$6:$C$155,P17))</f>
        <v/>
      </c>
    </row>
    <row r="18" spans="1:20" x14ac:dyDescent="0.25">
      <c r="A18" s="31"/>
      <c r="B18" s="20"/>
      <c r="C18" s="20"/>
      <c r="D18" s="20"/>
      <c r="E18" s="20"/>
      <c r="F18" s="40"/>
      <c r="G18" s="40"/>
      <c r="H18" s="40"/>
      <c r="I18" s="40"/>
      <c r="J18" s="40"/>
      <c r="K18" s="40"/>
      <c r="L18" s="40"/>
      <c r="M18" s="39" t="str">
        <f t="shared" si="0"/>
        <v/>
      </c>
      <c r="N18" s="39" t="str">
        <f t="shared" si="1"/>
        <v/>
      </c>
    </row>
    <row r="19" spans="1:20" ht="30" customHeight="1" x14ac:dyDescent="0.25">
      <c r="A19" s="31"/>
      <c r="B19" s="20"/>
      <c r="C19" s="20"/>
      <c r="D19" s="20"/>
      <c r="E19" s="20"/>
      <c r="F19" s="40"/>
      <c r="G19" s="40"/>
      <c r="H19" s="40"/>
      <c r="I19" s="40"/>
      <c r="J19" s="40"/>
      <c r="K19" s="40"/>
      <c r="L19" s="40"/>
      <c r="M19" s="39" t="str">
        <f t="shared" si="0"/>
        <v/>
      </c>
      <c r="N19" s="39" t="str">
        <f t="shared" si="1"/>
        <v/>
      </c>
      <c r="P19" s="7" t="s">
        <v>229</v>
      </c>
      <c r="Q19" s="7" t="s">
        <v>230</v>
      </c>
      <c r="R19" s="7"/>
      <c r="S19" s="7"/>
      <c r="T19" s="7"/>
    </row>
    <row r="20" spans="1:20" x14ac:dyDescent="0.25">
      <c r="A20" s="31"/>
      <c r="B20" s="20"/>
      <c r="C20" s="20"/>
      <c r="D20" s="20"/>
      <c r="E20" s="20"/>
      <c r="F20" s="40"/>
      <c r="G20" s="40"/>
      <c r="H20" s="40"/>
      <c r="I20" s="40"/>
      <c r="J20" s="40"/>
      <c r="K20" s="40"/>
      <c r="L20" s="40"/>
      <c r="M20" s="39" t="str">
        <f t="shared" si="0"/>
        <v/>
      </c>
      <c r="N20" s="39" t="str">
        <f t="shared" si="1"/>
        <v/>
      </c>
      <c r="P20" s="22" t="s">
        <v>29</v>
      </c>
      <c r="Q20" s="2">
        <f>COUNTIF(F6:F155,"&gt;0")</f>
        <v>3</v>
      </c>
      <c r="R20" s="2"/>
      <c r="S20" s="2"/>
      <c r="T20" s="2"/>
    </row>
    <row r="21" spans="1:20" x14ac:dyDescent="0.25">
      <c r="A21" s="31"/>
      <c r="B21" s="20"/>
      <c r="C21" s="20"/>
      <c r="D21" s="20"/>
      <c r="E21" s="20"/>
      <c r="F21" s="40"/>
      <c r="G21" s="40"/>
      <c r="H21" s="40"/>
      <c r="I21" s="40"/>
      <c r="J21" s="40"/>
      <c r="K21" s="40"/>
      <c r="L21" s="40"/>
      <c r="M21" s="39" t="str">
        <f t="shared" si="0"/>
        <v/>
      </c>
      <c r="N21" s="39" t="str">
        <f t="shared" si="1"/>
        <v/>
      </c>
      <c r="P21" s="22" t="s">
        <v>227</v>
      </c>
      <c r="Q21" s="2">
        <f>SUM(F6:F155)</f>
        <v>10300</v>
      </c>
      <c r="R21" s="2"/>
      <c r="S21" s="2"/>
      <c r="T21" s="2"/>
    </row>
    <row r="22" spans="1:20" x14ac:dyDescent="0.25">
      <c r="A22" s="31"/>
      <c r="B22" s="20"/>
      <c r="C22" s="20"/>
      <c r="D22" s="20"/>
      <c r="E22" s="20"/>
      <c r="F22" s="40"/>
      <c r="G22" s="40"/>
      <c r="H22" s="40"/>
      <c r="I22" s="40"/>
      <c r="J22" s="40"/>
      <c r="K22" s="40"/>
      <c r="L22" s="40"/>
      <c r="M22" s="39" t="str">
        <f t="shared" si="0"/>
        <v/>
      </c>
      <c r="N22" s="39" t="str">
        <f t="shared" si="1"/>
        <v/>
      </c>
      <c r="P22" s="22" t="s">
        <v>30</v>
      </c>
      <c r="Q22" s="1">
        <f>IFERROR(AVERAGE(M6:M155),"")</f>
        <v>5.421130952380953E-2</v>
      </c>
      <c r="R22" s="1"/>
      <c r="S22" s="1"/>
      <c r="T22" s="1"/>
    </row>
    <row r="23" spans="1:20" x14ac:dyDescent="0.25">
      <c r="A23" s="31"/>
      <c r="B23" s="20"/>
      <c r="C23" s="20"/>
      <c r="D23" s="20"/>
      <c r="E23" s="20"/>
      <c r="F23" s="40"/>
      <c r="G23" s="40"/>
      <c r="H23" s="40"/>
      <c r="I23" s="40"/>
      <c r="J23" s="40"/>
      <c r="K23" s="40"/>
      <c r="L23" s="40"/>
      <c r="M23" s="39" t="str">
        <f t="shared" si="0"/>
        <v/>
      </c>
      <c r="N23" s="39" t="str">
        <f t="shared" si="1"/>
        <v/>
      </c>
      <c r="P23" s="22" t="s">
        <v>31</v>
      </c>
      <c r="Q23" s="2">
        <f>SUM(L6:L155)</f>
        <v>50</v>
      </c>
      <c r="R23" s="2"/>
      <c r="S23" s="2"/>
      <c r="T23" s="2"/>
    </row>
    <row r="24" spans="1:20" x14ac:dyDescent="0.25">
      <c r="A24" s="31"/>
      <c r="B24" s="20"/>
      <c r="C24" s="20"/>
      <c r="D24" s="20"/>
      <c r="E24" s="20"/>
      <c r="F24" s="40"/>
      <c r="G24" s="40"/>
      <c r="H24" s="40"/>
      <c r="I24" s="40"/>
      <c r="J24" s="40"/>
      <c r="K24" s="40"/>
      <c r="L24" s="40"/>
      <c r="M24" s="39" t="str">
        <f t="shared" si="0"/>
        <v/>
      </c>
      <c r="N24" s="39" t="str">
        <f t="shared" si="1"/>
        <v/>
      </c>
      <c r="P24" s="22" t="s">
        <v>231</v>
      </c>
      <c r="Q24" s="2">
        <f>SUM(K6:K155)</f>
        <v>25</v>
      </c>
      <c r="R24" s="2"/>
      <c r="S24" s="2"/>
      <c r="T24" s="2"/>
    </row>
    <row r="25" spans="1:20" ht="25.5" x14ac:dyDescent="0.25">
      <c r="A25" s="31"/>
      <c r="B25" s="20"/>
      <c r="C25" s="20"/>
      <c r="D25" s="20"/>
      <c r="E25" s="20"/>
      <c r="F25" s="40"/>
      <c r="G25" s="40"/>
      <c r="H25" s="40"/>
      <c r="I25" s="40"/>
      <c r="J25" s="40"/>
      <c r="K25" s="40"/>
      <c r="L25" s="40"/>
      <c r="M25" s="39" t="str">
        <f t="shared" si="0"/>
        <v/>
      </c>
      <c r="N25" s="39" t="str">
        <f t="shared" si="1"/>
        <v/>
      </c>
      <c r="P25" s="22" t="s">
        <v>32</v>
      </c>
      <c r="Q25" s="3" t="str">
        <f>IFERROR(INDEX(E6:E155,MATCH(MAX(M6:M155),M6:M155,0)),"")</f>
        <v>3 erreurs avant de lancer sa boutique</v>
      </c>
      <c r="R25" s="3"/>
      <c r="S25" s="3"/>
      <c r="T25" s="3"/>
    </row>
    <row r="26" spans="1:20" x14ac:dyDescent="0.25">
      <c r="A26" s="31"/>
      <c r="B26" s="20"/>
      <c r="C26" s="20"/>
      <c r="D26" s="20"/>
      <c r="E26" s="20"/>
      <c r="F26" s="40"/>
      <c r="G26" s="40"/>
      <c r="H26" s="40"/>
      <c r="I26" s="40"/>
      <c r="J26" s="40"/>
      <c r="K26" s="40"/>
      <c r="L26" s="40"/>
      <c r="M26" s="39" t="str">
        <f t="shared" si="0"/>
        <v/>
      </c>
      <c r="N26" s="39" t="str">
        <f t="shared" si="1"/>
        <v/>
      </c>
      <c r="P26" s="22" t="s">
        <v>232</v>
      </c>
      <c r="Q26" s="3" t="str">
        <f>IFERROR(INDEX(E6:E155,MATCH(MAX(N6:N155),N6:N155,0)),"")</f>
        <v>3 erreurs avant de lancer sa boutique</v>
      </c>
      <c r="R26" s="3"/>
      <c r="S26" s="3"/>
      <c r="T26" s="3"/>
    </row>
    <row r="27" spans="1:20" x14ac:dyDescent="0.25">
      <c r="A27" s="31"/>
      <c r="B27" s="20"/>
      <c r="C27" s="20"/>
      <c r="D27" s="20"/>
      <c r="E27" s="20"/>
      <c r="F27" s="40"/>
      <c r="G27" s="40"/>
      <c r="H27" s="40"/>
      <c r="I27" s="40"/>
      <c r="J27" s="40"/>
      <c r="K27" s="40"/>
      <c r="L27" s="40"/>
      <c r="M27" s="39" t="str">
        <f t="shared" si="0"/>
        <v/>
      </c>
      <c r="N27" s="39" t="str">
        <f t="shared" si="1"/>
        <v/>
      </c>
    </row>
    <row r="28" spans="1:20" x14ac:dyDescent="0.25">
      <c r="A28" s="31"/>
      <c r="B28" s="20"/>
      <c r="C28" s="20"/>
      <c r="D28" s="20"/>
      <c r="E28" s="20"/>
      <c r="F28" s="40"/>
      <c r="G28" s="40"/>
      <c r="H28" s="40"/>
      <c r="I28" s="40"/>
      <c r="J28" s="40"/>
      <c r="K28" s="40"/>
      <c r="L28" s="40"/>
      <c r="M28" s="39" t="str">
        <f t="shared" si="0"/>
        <v/>
      </c>
      <c r="N28" s="39" t="str">
        <f t="shared" si="1"/>
        <v/>
      </c>
      <c r="P28" s="27" t="s">
        <v>233</v>
      </c>
    </row>
    <row r="29" spans="1:20" x14ac:dyDescent="0.25">
      <c r="A29" s="31"/>
      <c r="B29" s="20"/>
      <c r="C29" s="20"/>
      <c r="D29" s="20"/>
      <c r="E29" s="20"/>
      <c r="F29" s="40"/>
      <c r="G29" s="40"/>
      <c r="H29" s="40"/>
      <c r="I29" s="40"/>
      <c r="J29" s="40"/>
      <c r="K29" s="40"/>
      <c r="L29" s="40"/>
      <c r="M29" s="39" t="str">
        <f t="shared" si="0"/>
        <v/>
      </c>
      <c r="N29" s="39" t="str">
        <f t="shared" si="1"/>
        <v/>
      </c>
    </row>
    <row r="30" spans="1:20" x14ac:dyDescent="0.25">
      <c r="A30" s="31"/>
      <c r="B30" s="20"/>
      <c r="C30" s="20"/>
      <c r="D30" s="20"/>
      <c r="E30" s="20"/>
      <c r="F30" s="40"/>
      <c r="G30" s="40"/>
      <c r="H30" s="40"/>
      <c r="I30" s="40"/>
      <c r="J30" s="40"/>
      <c r="K30" s="40"/>
      <c r="L30" s="40"/>
      <c r="M30" s="39" t="str">
        <f t="shared" si="0"/>
        <v/>
      </c>
      <c r="N30" s="39" t="str">
        <f t="shared" si="1"/>
        <v/>
      </c>
    </row>
    <row r="31" spans="1:20" x14ac:dyDescent="0.25">
      <c r="A31" s="31"/>
      <c r="B31" s="20"/>
      <c r="C31" s="20"/>
      <c r="D31" s="20"/>
      <c r="E31" s="20"/>
      <c r="F31" s="40"/>
      <c r="G31" s="40"/>
      <c r="H31" s="40"/>
      <c r="I31" s="40"/>
      <c r="J31" s="40"/>
      <c r="K31" s="40"/>
      <c r="L31" s="40"/>
      <c r="M31" s="39" t="str">
        <f t="shared" si="0"/>
        <v/>
      </c>
      <c r="N31" s="39" t="str">
        <f t="shared" si="1"/>
        <v/>
      </c>
    </row>
    <row r="32" spans="1:20" x14ac:dyDescent="0.25">
      <c r="A32" s="31"/>
      <c r="B32" s="20"/>
      <c r="C32" s="20"/>
      <c r="D32" s="20"/>
      <c r="E32" s="20"/>
      <c r="F32" s="40"/>
      <c r="G32" s="40"/>
      <c r="H32" s="40"/>
      <c r="I32" s="40"/>
      <c r="J32" s="40"/>
      <c r="K32" s="40"/>
      <c r="L32" s="40"/>
      <c r="M32" s="39" t="str">
        <f t="shared" si="0"/>
        <v/>
      </c>
      <c r="N32" s="39" t="str">
        <f t="shared" si="1"/>
        <v/>
      </c>
    </row>
    <row r="33" spans="1:14" x14ac:dyDescent="0.25">
      <c r="A33" s="31"/>
      <c r="B33" s="20"/>
      <c r="C33" s="20"/>
      <c r="D33" s="20"/>
      <c r="E33" s="20"/>
      <c r="F33" s="40"/>
      <c r="G33" s="40"/>
      <c r="H33" s="40"/>
      <c r="I33" s="40"/>
      <c r="J33" s="40"/>
      <c r="K33" s="40"/>
      <c r="L33" s="40"/>
      <c r="M33" s="39" t="str">
        <f t="shared" si="0"/>
        <v/>
      </c>
      <c r="N33" s="39" t="str">
        <f t="shared" si="1"/>
        <v/>
      </c>
    </row>
    <row r="34" spans="1:14" x14ac:dyDescent="0.25">
      <c r="A34" s="31"/>
      <c r="B34" s="20"/>
      <c r="C34" s="20"/>
      <c r="D34" s="20"/>
      <c r="E34" s="20"/>
      <c r="F34" s="40"/>
      <c r="G34" s="40"/>
      <c r="H34" s="40"/>
      <c r="I34" s="40"/>
      <c r="J34" s="40"/>
      <c r="K34" s="40"/>
      <c r="L34" s="40"/>
      <c r="M34" s="39" t="str">
        <f t="shared" si="0"/>
        <v/>
      </c>
      <c r="N34" s="39" t="str">
        <f t="shared" si="1"/>
        <v/>
      </c>
    </row>
    <row r="35" spans="1:14" x14ac:dyDescent="0.25">
      <c r="A35" s="31"/>
      <c r="B35" s="20"/>
      <c r="C35" s="20"/>
      <c r="D35" s="20"/>
      <c r="E35" s="20"/>
      <c r="F35" s="40"/>
      <c r="G35" s="40"/>
      <c r="H35" s="40"/>
      <c r="I35" s="40"/>
      <c r="J35" s="40"/>
      <c r="K35" s="40"/>
      <c r="L35" s="40"/>
      <c r="M35" s="39" t="str">
        <f t="shared" si="0"/>
        <v/>
      </c>
      <c r="N35" s="39" t="str">
        <f t="shared" si="1"/>
        <v/>
      </c>
    </row>
    <row r="36" spans="1:14" x14ac:dyDescent="0.25">
      <c r="A36" s="31"/>
      <c r="B36" s="20"/>
      <c r="C36" s="20"/>
      <c r="D36" s="20"/>
      <c r="E36" s="20"/>
      <c r="F36" s="40"/>
      <c r="G36" s="40"/>
      <c r="H36" s="40"/>
      <c r="I36" s="40"/>
      <c r="J36" s="40"/>
      <c r="K36" s="40"/>
      <c r="L36" s="40"/>
      <c r="M36" s="39" t="str">
        <f t="shared" si="0"/>
        <v/>
      </c>
      <c r="N36" s="39" t="str">
        <f t="shared" si="1"/>
        <v/>
      </c>
    </row>
    <row r="37" spans="1:14" x14ac:dyDescent="0.25">
      <c r="A37" s="31"/>
      <c r="B37" s="20"/>
      <c r="C37" s="20"/>
      <c r="D37" s="20"/>
      <c r="E37" s="20"/>
      <c r="F37" s="40"/>
      <c r="G37" s="40"/>
      <c r="H37" s="40"/>
      <c r="I37" s="40"/>
      <c r="J37" s="40"/>
      <c r="K37" s="40"/>
      <c r="L37" s="40"/>
      <c r="M37" s="39" t="str">
        <f t="shared" si="0"/>
        <v/>
      </c>
      <c r="N37" s="39" t="str">
        <f t="shared" si="1"/>
        <v/>
      </c>
    </row>
    <row r="38" spans="1:14" x14ac:dyDescent="0.25">
      <c r="A38" s="31"/>
      <c r="B38" s="20"/>
      <c r="C38" s="20"/>
      <c r="D38" s="20"/>
      <c r="E38" s="20"/>
      <c r="F38" s="40"/>
      <c r="G38" s="40"/>
      <c r="H38" s="40"/>
      <c r="I38" s="40"/>
      <c r="J38" s="40"/>
      <c r="K38" s="40"/>
      <c r="L38" s="40"/>
      <c r="M38" s="39" t="str">
        <f t="shared" ref="M38:M69" si="2">IF(OR(F38="",F38=0),"",(G38+H38+I38)/F38)</f>
        <v/>
      </c>
      <c r="N38" s="39" t="str">
        <f t="shared" ref="N38:N69" si="3">IF(OR(F38="",F38=0),"",(I38+J38)/F38)</f>
        <v/>
      </c>
    </row>
    <row r="39" spans="1:14" x14ac:dyDescent="0.25">
      <c r="A39" s="31"/>
      <c r="B39" s="20"/>
      <c r="C39" s="20"/>
      <c r="D39" s="20"/>
      <c r="E39" s="20"/>
      <c r="F39" s="40"/>
      <c r="G39" s="40"/>
      <c r="H39" s="40"/>
      <c r="I39" s="40"/>
      <c r="J39" s="40"/>
      <c r="K39" s="40"/>
      <c r="L39" s="40"/>
      <c r="M39" s="39" t="str">
        <f t="shared" si="2"/>
        <v/>
      </c>
      <c r="N39" s="39" t="str">
        <f t="shared" si="3"/>
        <v/>
      </c>
    </row>
    <row r="40" spans="1:14" x14ac:dyDescent="0.25">
      <c r="A40" s="31"/>
      <c r="B40" s="20"/>
      <c r="C40" s="20"/>
      <c r="D40" s="20"/>
      <c r="E40" s="20"/>
      <c r="F40" s="40"/>
      <c r="G40" s="40"/>
      <c r="H40" s="40"/>
      <c r="I40" s="40"/>
      <c r="J40" s="40"/>
      <c r="K40" s="40"/>
      <c r="L40" s="40"/>
      <c r="M40" s="39" t="str">
        <f t="shared" si="2"/>
        <v/>
      </c>
      <c r="N40" s="39" t="str">
        <f t="shared" si="3"/>
        <v/>
      </c>
    </row>
    <row r="41" spans="1:14" x14ac:dyDescent="0.25">
      <c r="A41" s="31"/>
      <c r="B41" s="20"/>
      <c r="C41" s="20"/>
      <c r="D41" s="20"/>
      <c r="E41" s="20"/>
      <c r="F41" s="40"/>
      <c r="G41" s="40"/>
      <c r="H41" s="40"/>
      <c r="I41" s="40"/>
      <c r="J41" s="40"/>
      <c r="K41" s="40"/>
      <c r="L41" s="40"/>
      <c r="M41" s="39" t="str">
        <f t="shared" si="2"/>
        <v/>
      </c>
      <c r="N41" s="39" t="str">
        <f t="shared" si="3"/>
        <v/>
      </c>
    </row>
    <row r="42" spans="1:14" x14ac:dyDescent="0.25">
      <c r="A42" s="31"/>
      <c r="B42" s="20"/>
      <c r="C42" s="20"/>
      <c r="D42" s="20"/>
      <c r="E42" s="20"/>
      <c r="F42" s="40"/>
      <c r="G42" s="40"/>
      <c r="H42" s="40"/>
      <c r="I42" s="40"/>
      <c r="J42" s="40"/>
      <c r="K42" s="40"/>
      <c r="L42" s="40"/>
      <c r="M42" s="39" t="str">
        <f t="shared" si="2"/>
        <v/>
      </c>
      <c r="N42" s="39" t="str">
        <f t="shared" si="3"/>
        <v/>
      </c>
    </row>
    <row r="43" spans="1:14" x14ac:dyDescent="0.25">
      <c r="A43" s="31"/>
      <c r="B43" s="20"/>
      <c r="C43" s="20"/>
      <c r="D43" s="20"/>
      <c r="E43" s="20"/>
      <c r="F43" s="40"/>
      <c r="G43" s="40"/>
      <c r="H43" s="40"/>
      <c r="I43" s="40"/>
      <c r="J43" s="40"/>
      <c r="K43" s="40"/>
      <c r="L43" s="40"/>
      <c r="M43" s="39" t="str">
        <f t="shared" si="2"/>
        <v/>
      </c>
      <c r="N43" s="39" t="str">
        <f t="shared" si="3"/>
        <v/>
      </c>
    </row>
    <row r="44" spans="1:14" x14ac:dyDescent="0.25">
      <c r="A44" s="31"/>
      <c r="B44" s="20"/>
      <c r="C44" s="20"/>
      <c r="D44" s="20"/>
      <c r="E44" s="20"/>
      <c r="F44" s="40"/>
      <c r="G44" s="40"/>
      <c r="H44" s="40"/>
      <c r="I44" s="40"/>
      <c r="J44" s="40"/>
      <c r="K44" s="40"/>
      <c r="L44" s="40"/>
      <c r="M44" s="39" t="str">
        <f t="shared" si="2"/>
        <v/>
      </c>
      <c r="N44" s="39" t="str">
        <f t="shared" si="3"/>
        <v/>
      </c>
    </row>
    <row r="45" spans="1:14" x14ac:dyDescent="0.25">
      <c r="A45" s="31"/>
      <c r="B45" s="20"/>
      <c r="C45" s="20"/>
      <c r="D45" s="20"/>
      <c r="E45" s="20"/>
      <c r="F45" s="40"/>
      <c r="G45" s="40"/>
      <c r="H45" s="40"/>
      <c r="I45" s="40"/>
      <c r="J45" s="40"/>
      <c r="K45" s="40"/>
      <c r="L45" s="40"/>
      <c r="M45" s="39" t="str">
        <f t="shared" si="2"/>
        <v/>
      </c>
      <c r="N45" s="39" t="str">
        <f t="shared" si="3"/>
        <v/>
      </c>
    </row>
    <row r="46" spans="1:14" x14ac:dyDescent="0.25">
      <c r="A46" s="31"/>
      <c r="B46" s="20"/>
      <c r="C46" s="20"/>
      <c r="D46" s="20"/>
      <c r="E46" s="20"/>
      <c r="F46" s="40"/>
      <c r="G46" s="40"/>
      <c r="H46" s="40"/>
      <c r="I46" s="40"/>
      <c r="J46" s="40"/>
      <c r="K46" s="40"/>
      <c r="L46" s="40"/>
      <c r="M46" s="39" t="str">
        <f t="shared" si="2"/>
        <v/>
      </c>
      <c r="N46" s="39" t="str">
        <f t="shared" si="3"/>
        <v/>
      </c>
    </row>
    <row r="47" spans="1:14" x14ac:dyDescent="0.25">
      <c r="A47" s="31"/>
      <c r="B47" s="20"/>
      <c r="C47" s="20"/>
      <c r="D47" s="20"/>
      <c r="E47" s="20"/>
      <c r="F47" s="40"/>
      <c r="G47" s="40"/>
      <c r="H47" s="40"/>
      <c r="I47" s="40"/>
      <c r="J47" s="40"/>
      <c r="K47" s="40"/>
      <c r="L47" s="40"/>
      <c r="M47" s="39" t="str">
        <f t="shared" si="2"/>
        <v/>
      </c>
      <c r="N47" s="39" t="str">
        <f t="shared" si="3"/>
        <v/>
      </c>
    </row>
    <row r="48" spans="1:14" x14ac:dyDescent="0.25">
      <c r="A48" s="31"/>
      <c r="B48" s="20"/>
      <c r="C48" s="20"/>
      <c r="D48" s="20"/>
      <c r="E48" s="20"/>
      <c r="F48" s="40"/>
      <c r="G48" s="40"/>
      <c r="H48" s="40"/>
      <c r="I48" s="40"/>
      <c r="J48" s="40"/>
      <c r="K48" s="40"/>
      <c r="L48" s="40"/>
      <c r="M48" s="39" t="str">
        <f t="shared" si="2"/>
        <v/>
      </c>
      <c r="N48" s="39" t="str">
        <f t="shared" si="3"/>
        <v/>
      </c>
    </row>
    <row r="49" spans="1:14" x14ac:dyDescent="0.25">
      <c r="A49" s="31"/>
      <c r="B49" s="20"/>
      <c r="C49" s="20"/>
      <c r="D49" s="20"/>
      <c r="E49" s="20"/>
      <c r="F49" s="40"/>
      <c r="G49" s="40"/>
      <c r="H49" s="40"/>
      <c r="I49" s="40"/>
      <c r="J49" s="40"/>
      <c r="K49" s="40"/>
      <c r="L49" s="40"/>
      <c r="M49" s="39" t="str">
        <f t="shared" si="2"/>
        <v/>
      </c>
      <c r="N49" s="39" t="str">
        <f t="shared" si="3"/>
        <v/>
      </c>
    </row>
    <row r="50" spans="1:14" x14ac:dyDescent="0.25">
      <c r="A50" s="31"/>
      <c r="B50" s="20"/>
      <c r="C50" s="20"/>
      <c r="D50" s="20"/>
      <c r="E50" s="20"/>
      <c r="F50" s="40"/>
      <c r="G50" s="40"/>
      <c r="H50" s="40"/>
      <c r="I50" s="40"/>
      <c r="J50" s="40"/>
      <c r="K50" s="40"/>
      <c r="L50" s="40"/>
      <c r="M50" s="39" t="str">
        <f t="shared" si="2"/>
        <v/>
      </c>
      <c r="N50" s="39" t="str">
        <f t="shared" si="3"/>
        <v/>
      </c>
    </row>
    <row r="51" spans="1:14" x14ac:dyDescent="0.25">
      <c r="A51" s="31"/>
      <c r="B51" s="20"/>
      <c r="C51" s="20"/>
      <c r="D51" s="20"/>
      <c r="E51" s="20"/>
      <c r="F51" s="40"/>
      <c r="G51" s="40"/>
      <c r="H51" s="40"/>
      <c r="I51" s="40"/>
      <c r="J51" s="40"/>
      <c r="K51" s="40"/>
      <c r="L51" s="40"/>
      <c r="M51" s="39" t="str">
        <f t="shared" si="2"/>
        <v/>
      </c>
      <c r="N51" s="39" t="str">
        <f t="shared" si="3"/>
        <v/>
      </c>
    </row>
    <row r="52" spans="1:14" x14ac:dyDescent="0.25">
      <c r="A52" s="31"/>
      <c r="B52" s="20"/>
      <c r="C52" s="20"/>
      <c r="D52" s="20"/>
      <c r="E52" s="20"/>
      <c r="F52" s="40"/>
      <c r="G52" s="40"/>
      <c r="H52" s="40"/>
      <c r="I52" s="40"/>
      <c r="J52" s="40"/>
      <c r="K52" s="40"/>
      <c r="L52" s="40"/>
      <c r="M52" s="39" t="str">
        <f t="shared" si="2"/>
        <v/>
      </c>
      <c r="N52" s="39" t="str">
        <f t="shared" si="3"/>
        <v/>
      </c>
    </row>
    <row r="53" spans="1:14" x14ac:dyDescent="0.25">
      <c r="A53" s="31"/>
      <c r="B53" s="20"/>
      <c r="C53" s="20"/>
      <c r="D53" s="20"/>
      <c r="E53" s="20"/>
      <c r="F53" s="40"/>
      <c r="G53" s="40"/>
      <c r="H53" s="40"/>
      <c r="I53" s="40"/>
      <c r="J53" s="40"/>
      <c r="K53" s="40"/>
      <c r="L53" s="40"/>
      <c r="M53" s="39" t="str">
        <f t="shared" si="2"/>
        <v/>
      </c>
      <c r="N53" s="39" t="str">
        <f t="shared" si="3"/>
        <v/>
      </c>
    </row>
    <row r="54" spans="1:14" x14ac:dyDescent="0.25">
      <c r="A54" s="31"/>
      <c r="B54" s="20"/>
      <c r="C54" s="20"/>
      <c r="D54" s="20"/>
      <c r="E54" s="20"/>
      <c r="F54" s="40"/>
      <c r="G54" s="40"/>
      <c r="H54" s="40"/>
      <c r="I54" s="40"/>
      <c r="J54" s="40"/>
      <c r="K54" s="40"/>
      <c r="L54" s="40"/>
      <c r="M54" s="39" t="str">
        <f t="shared" si="2"/>
        <v/>
      </c>
      <c r="N54" s="39" t="str">
        <f t="shared" si="3"/>
        <v/>
      </c>
    </row>
    <row r="55" spans="1:14" x14ac:dyDescent="0.25">
      <c r="A55" s="31"/>
      <c r="B55" s="20"/>
      <c r="C55" s="20"/>
      <c r="D55" s="20"/>
      <c r="E55" s="20"/>
      <c r="F55" s="40"/>
      <c r="G55" s="40"/>
      <c r="H55" s="40"/>
      <c r="I55" s="40"/>
      <c r="J55" s="40"/>
      <c r="K55" s="40"/>
      <c r="L55" s="40"/>
      <c r="M55" s="39" t="str">
        <f t="shared" si="2"/>
        <v/>
      </c>
      <c r="N55" s="39" t="str">
        <f t="shared" si="3"/>
        <v/>
      </c>
    </row>
    <row r="56" spans="1:14" x14ac:dyDescent="0.25">
      <c r="A56" s="31"/>
      <c r="B56" s="20"/>
      <c r="C56" s="20"/>
      <c r="D56" s="20"/>
      <c r="E56" s="20"/>
      <c r="F56" s="40"/>
      <c r="G56" s="40"/>
      <c r="H56" s="40"/>
      <c r="I56" s="40"/>
      <c r="J56" s="40"/>
      <c r="K56" s="40"/>
      <c r="L56" s="40"/>
      <c r="M56" s="39" t="str">
        <f t="shared" si="2"/>
        <v/>
      </c>
      <c r="N56" s="39" t="str">
        <f t="shared" si="3"/>
        <v/>
      </c>
    </row>
    <row r="57" spans="1:14" x14ac:dyDescent="0.25">
      <c r="A57" s="31"/>
      <c r="B57" s="20"/>
      <c r="C57" s="20"/>
      <c r="D57" s="20"/>
      <c r="E57" s="20"/>
      <c r="F57" s="40"/>
      <c r="G57" s="40"/>
      <c r="H57" s="40"/>
      <c r="I57" s="40"/>
      <c r="J57" s="40"/>
      <c r="K57" s="40"/>
      <c r="L57" s="40"/>
      <c r="M57" s="39" t="str">
        <f t="shared" si="2"/>
        <v/>
      </c>
      <c r="N57" s="39" t="str">
        <f t="shared" si="3"/>
        <v/>
      </c>
    </row>
    <row r="58" spans="1:14" x14ac:dyDescent="0.25">
      <c r="A58" s="31"/>
      <c r="B58" s="20"/>
      <c r="C58" s="20"/>
      <c r="D58" s="20"/>
      <c r="E58" s="20"/>
      <c r="F58" s="40"/>
      <c r="G58" s="40"/>
      <c r="H58" s="40"/>
      <c r="I58" s="40"/>
      <c r="J58" s="40"/>
      <c r="K58" s="40"/>
      <c r="L58" s="40"/>
      <c r="M58" s="39" t="str">
        <f t="shared" si="2"/>
        <v/>
      </c>
      <c r="N58" s="39" t="str">
        <f t="shared" si="3"/>
        <v/>
      </c>
    </row>
    <row r="59" spans="1:14" x14ac:dyDescent="0.25">
      <c r="A59" s="31"/>
      <c r="B59" s="20"/>
      <c r="C59" s="20"/>
      <c r="D59" s="20"/>
      <c r="E59" s="20"/>
      <c r="F59" s="40"/>
      <c r="G59" s="40"/>
      <c r="H59" s="40"/>
      <c r="I59" s="40"/>
      <c r="J59" s="40"/>
      <c r="K59" s="40"/>
      <c r="L59" s="40"/>
      <c r="M59" s="39" t="str">
        <f t="shared" si="2"/>
        <v/>
      </c>
      <c r="N59" s="39" t="str">
        <f t="shared" si="3"/>
        <v/>
      </c>
    </row>
    <row r="60" spans="1:14" x14ac:dyDescent="0.25">
      <c r="A60" s="31"/>
      <c r="B60" s="20"/>
      <c r="C60" s="20"/>
      <c r="D60" s="20"/>
      <c r="E60" s="20"/>
      <c r="F60" s="40"/>
      <c r="G60" s="40"/>
      <c r="H60" s="40"/>
      <c r="I60" s="40"/>
      <c r="J60" s="40"/>
      <c r="K60" s="40"/>
      <c r="L60" s="40"/>
      <c r="M60" s="39" t="str">
        <f t="shared" si="2"/>
        <v/>
      </c>
      <c r="N60" s="39" t="str">
        <f t="shared" si="3"/>
        <v/>
      </c>
    </row>
    <row r="61" spans="1:14" x14ac:dyDescent="0.25">
      <c r="A61" s="31"/>
      <c r="B61" s="20"/>
      <c r="C61" s="20"/>
      <c r="D61" s="20"/>
      <c r="E61" s="20"/>
      <c r="F61" s="40"/>
      <c r="G61" s="40"/>
      <c r="H61" s="40"/>
      <c r="I61" s="40"/>
      <c r="J61" s="40"/>
      <c r="K61" s="40"/>
      <c r="L61" s="40"/>
      <c r="M61" s="39" t="str">
        <f t="shared" si="2"/>
        <v/>
      </c>
      <c r="N61" s="39" t="str">
        <f t="shared" si="3"/>
        <v/>
      </c>
    </row>
    <row r="62" spans="1:14" x14ac:dyDescent="0.25">
      <c r="A62" s="31"/>
      <c r="B62" s="20"/>
      <c r="C62" s="20"/>
      <c r="D62" s="20"/>
      <c r="E62" s="20"/>
      <c r="F62" s="40"/>
      <c r="G62" s="40"/>
      <c r="H62" s="40"/>
      <c r="I62" s="40"/>
      <c r="J62" s="40"/>
      <c r="K62" s="40"/>
      <c r="L62" s="40"/>
      <c r="M62" s="39" t="str">
        <f t="shared" si="2"/>
        <v/>
      </c>
      <c r="N62" s="39" t="str">
        <f t="shared" si="3"/>
        <v/>
      </c>
    </row>
    <row r="63" spans="1:14" x14ac:dyDescent="0.25">
      <c r="A63" s="31"/>
      <c r="B63" s="20"/>
      <c r="C63" s="20"/>
      <c r="D63" s="20"/>
      <c r="E63" s="20"/>
      <c r="F63" s="40"/>
      <c r="G63" s="40"/>
      <c r="H63" s="40"/>
      <c r="I63" s="40"/>
      <c r="J63" s="40"/>
      <c r="K63" s="40"/>
      <c r="L63" s="40"/>
      <c r="M63" s="39" t="str">
        <f t="shared" si="2"/>
        <v/>
      </c>
      <c r="N63" s="39" t="str">
        <f t="shared" si="3"/>
        <v/>
      </c>
    </row>
    <row r="64" spans="1:14" x14ac:dyDescent="0.25">
      <c r="A64" s="31"/>
      <c r="B64" s="20"/>
      <c r="C64" s="20"/>
      <c r="D64" s="20"/>
      <c r="E64" s="20"/>
      <c r="F64" s="40"/>
      <c r="G64" s="40"/>
      <c r="H64" s="40"/>
      <c r="I64" s="40"/>
      <c r="J64" s="40"/>
      <c r="K64" s="40"/>
      <c r="L64" s="40"/>
      <c r="M64" s="39" t="str">
        <f t="shared" si="2"/>
        <v/>
      </c>
      <c r="N64" s="39" t="str">
        <f t="shared" si="3"/>
        <v/>
      </c>
    </row>
    <row r="65" spans="1:14" x14ac:dyDescent="0.25">
      <c r="A65" s="31"/>
      <c r="B65" s="20"/>
      <c r="C65" s="20"/>
      <c r="D65" s="20"/>
      <c r="E65" s="20"/>
      <c r="F65" s="40"/>
      <c r="G65" s="40"/>
      <c r="H65" s="40"/>
      <c r="I65" s="40"/>
      <c r="J65" s="40"/>
      <c r="K65" s="40"/>
      <c r="L65" s="40"/>
      <c r="M65" s="39" t="str">
        <f t="shared" si="2"/>
        <v/>
      </c>
      <c r="N65" s="39" t="str">
        <f t="shared" si="3"/>
        <v/>
      </c>
    </row>
    <row r="66" spans="1:14" x14ac:dyDescent="0.25">
      <c r="A66" s="31"/>
      <c r="B66" s="20"/>
      <c r="C66" s="20"/>
      <c r="D66" s="20"/>
      <c r="E66" s="20"/>
      <c r="F66" s="40"/>
      <c r="G66" s="40"/>
      <c r="H66" s="40"/>
      <c r="I66" s="40"/>
      <c r="J66" s="40"/>
      <c r="K66" s="40"/>
      <c r="L66" s="40"/>
      <c r="M66" s="39" t="str">
        <f t="shared" si="2"/>
        <v/>
      </c>
      <c r="N66" s="39" t="str">
        <f t="shared" si="3"/>
        <v/>
      </c>
    </row>
    <row r="67" spans="1:14" x14ac:dyDescent="0.25">
      <c r="A67" s="31"/>
      <c r="B67" s="20"/>
      <c r="C67" s="20"/>
      <c r="D67" s="20"/>
      <c r="E67" s="20"/>
      <c r="F67" s="40"/>
      <c r="G67" s="40"/>
      <c r="H67" s="40"/>
      <c r="I67" s="40"/>
      <c r="J67" s="40"/>
      <c r="K67" s="40"/>
      <c r="L67" s="40"/>
      <c r="M67" s="39" t="str">
        <f t="shared" si="2"/>
        <v/>
      </c>
      <c r="N67" s="39" t="str">
        <f t="shared" si="3"/>
        <v/>
      </c>
    </row>
    <row r="68" spans="1:14" x14ac:dyDescent="0.25">
      <c r="A68" s="31"/>
      <c r="B68" s="20"/>
      <c r="C68" s="20"/>
      <c r="D68" s="20"/>
      <c r="E68" s="20"/>
      <c r="F68" s="40"/>
      <c r="G68" s="40"/>
      <c r="H68" s="40"/>
      <c r="I68" s="40"/>
      <c r="J68" s="40"/>
      <c r="K68" s="40"/>
      <c r="L68" s="40"/>
      <c r="M68" s="39" t="str">
        <f t="shared" si="2"/>
        <v/>
      </c>
      <c r="N68" s="39" t="str">
        <f t="shared" si="3"/>
        <v/>
      </c>
    </row>
    <row r="69" spans="1:14" x14ac:dyDescent="0.25">
      <c r="A69" s="31"/>
      <c r="B69" s="20"/>
      <c r="C69" s="20"/>
      <c r="D69" s="20"/>
      <c r="E69" s="20"/>
      <c r="F69" s="40"/>
      <c r="G69" s="40"/>
      <c r="H69" s="40"/>
      <c r="I69" s="40"/>
      <c r="J69" s="40"/>
      <c r="K69" s="40"/>
      <c r="L69" s="40"/>
      <c r="M69" s="39" t="str">
        <f t="shared" si="2"/>
        <v/>
      </c>
      <c r="N69" s="39" t="str">
        <f t="shared" si="3"/>
        <v/>
      </c>
    </row>
    <row r="70" spans="1:14" x14ac:dyDescent="0.25">
      <c r="A70" s="31"/>
      <c r="B70" s="20"/>
      <c r="C70" s="20"/>
      <c r="D70" s="20"/>
      <c r="E70" s="20"/>
      <c r="F70" s="40"/>
      <c r="G70" s="40"/>
      <c r="H70" s="40"/>
      <c r="I70" s="40"/>
      <c r="J70" s="40"/>
      <c r="K70" s="40"/>
      <c r="L70" s="40"/>
      <c r="M70" s="39" t="str">
        <f t="shared" ref="M70:M101" si="4">IF(OR(F70="",F70=0),"",(G70+H70+I70)/F70)</f>
        <v/>
      </c>
      <c r="N70" s="39" t="str">
        <f t="shared" ref="N70:N101" si="5">IF(OR(F70="",F70=0),"",(I70+J70)/F70)</f>
        <v/>
      </c>
    </row>
    <row r="71" spans="1:14" x14ac:dyDescent="0.25">
      <c r="A71" s="31"/>
      <c r="B71" s="20"/>
      <c r="C71" s="20"/>
      <c r="D71" s="20"/>
      <c r="E71" s="20"/>
      <c r="F71" s="40"/>
      <c r="G71" s="40"/>
      <c r="H71" s="40"/>
      <c r="I71" s="40"/>
      <c r="J71" s="40"/>
      <c r="K71" s="40"/>
      <c r="L71" s="40"/>
      <c r="M71" s="39" t="str">
        <f t="shared" si="4"/>
        <v/>
      </c>
      <c r="N71" s="39" t="str">
        <f t="shared" si="5"/>
        <v/>
      </c>
    </row>
    <row r="72" spans="1:14" x14ac:dyDescent="0.25">
      <c r="A72" s="31"/>
      <c r="B72" s="20"/>
      <c r="C72" s="20"/>
      <c r="D72" s="20"/>
      <c r="E72" s="20"/>
      <c r="F72" s="40"/>
      <c r="G72" s="40"/>
      <c r="H72" s="40"/>
      <c r="I72" s="40"/>
      <c r="J72" s="40"/>
      <c r="K72" s="40"/>
      <c r="L72" s="40"/>
      <c r="M72" s="39" t="str">
        <f t="shared" si="4"/>
        <v/>
      </c>
      <c r="N72" s="39" t="str">
        <f t="shared" si="5"/>
        <v/>
      </c>
    </row>
    <row r="73" spans="1:14" x14ac:dyDescent="0.25">
      <c r="A73" s="31"/>
      <c r="B73" s="20"/>
      <c r="C73" s="20"/>
      <c r="D73" s="20"/>
      <c r="E73" s="20"/>
      <c r="F73" s="40"/>
      <c r="G73" s="40"/>
      <c r="H73" s="40"/>
      <c r="I73" s="40"/>
      <c r="J73" s="40"/>
      <c r="K73" s="40"/>
      <c r="L73" s="40"/>
      <c r="M73" s="39" t="str">
        <f t="shared" si="4"/>
        <v/>
      </c>
      <c r="N73" s="39" t="str">
        <f t="shared" si="5"/>
        <v/>
      </c>
    </row>
    <row r="74" spans="1:14" x14ac:dyDescent="0.25">
      <c r="A74" s="31"/>
      <c r="B74" s="20"/>
      <c r="C74" s="20"/>
      <c r="D74" s="20"/>
      <c r="E74" s="20"/>
      <c r="F74" s="40"/>
      <c r="G74" s="40"/>
      <c r="H74" s="40"/>
      <c r="I74" s="40"/>
      <c r="J74" s="40"/>
      <c r="K74" s="40"/>
      <c r="L74" s="40"/>
      <c r="M74" s="39" t="str">
        <f t="shared" si="4"/>
        <v/>
      </c>
      <c r="N74" s="39" t="str">
        <f t="shared" si="5"/>
        <v/>
      </c>
    </row>
    <row r="75" spans="1:14" x14ac:dyDescent="0.25">
      <c r="A75" s="31"/>
      <c r="B75" s="20"/>
      <c r="C75" s="20"/>
      <c r="D75" s="20"/>
      <c r="E75" s="20"/>
      <c r="F75" s="40"/>
      <c r="G75" s="40"/>
      <c r="H75" s="40"/>
      <c r="I75" s="40"/>
      <c r="J75" s="40"/>
      <c r="K75" s="40"/>
      <c r="L75" s="40"/>
      <c r="M75" s="39" t="str">
        <f t="shared" si="4"/>
        <v/>
      </c>
      <c r="N75" s="39" t="str">
        <f t="shared" si="5"/>
        <v/>
      </c>
    </row>
    <row r="76" spans="1:14" x14ac:dyDescent="0.25">
      <c r="A76" s="31"/>
      <c r="B76" s="20"/>
      <c r="C76" s="20"/>
      <c r="D76" s="20"/>
      <c r="E76" s="20"/>
      <c r="F76" s="40"/>
      <c r="G76" s="40"/>
      <c r="H76" s="40"/>
      <c r="I76" s="40"/>
      <c r="J76" s="40"/>
      <c r="K76" s="40"/>
      <c r="L76" s="40"/>
      <c r="M76" s="39" t="str">
        <f t="shared" si="4"/>
        <v/>
      </c>
      <c r="N76" s="39" t="str">
        <f t="shared" si="5"/>
        <v/>
      </c>
    </row>
    <row r="77" spans="1:14" x14ac:dyDescent="0.25">
      <c r="A77" s="31"/>
      <c r="B77" s="20"/>
      <c r="C77" s="20"/>
      <c r="D77" s="20"/>
      <c r="E77" s="20"/>
      <c r="F77" s="40"/>
      <c r="G77" s="40"/>
      <c r="H77" s="40"/>
      <c r="I77" s="40"/>
      <c r="J77" s="40"/>
      <c r="K77" s="40"/>
      <c r="L77" s="40"/>
      <c r="M77" s="39" t="str">
        <f t="shared" si="4"/>
        <v/>
      </c>
      <c r="N77" s="39" t="str">
        <f t="shared" si="5"/>
        <v/>
      </c>
    </row>
    <row r="78" spans="1:14" x14ac:dyDescent="0.25">
      <c r="A78" s="31"/>
      <c r="B78" s="20"/>
      <c r="C78" s="20"/>
      <c r="D78" s="20"/>
      <c r="E78" s="20"/>
      <c r="F78" s="40"/>
      <c r="G78" s="40"/>
      <c r="H78" s="40"/>
      <c r="I78" s="40"/>
      <c r="J78" s="40"/>
      <c r="K78" s="40"/>
      <c r="L78" s="40"/>
      <c r="M78" s="39" t="str">
        <f t="shared" si="4"/>
        <v/>
      </c>
      <c r="N78" s="39" t="str">
        <f t="shared" si="5"/>
        <v/>
      </c>
    </row>
    <row r="79" spans="1:14" x14ac:dyDescent="0.25">
      <c r="A79" s="31"/>
      <c r="B79" s="20"/>
      <c r="C79" s="20"/>
      <c r="D79" s="20"/>
      <c r="E79" s="20"/>
      <c r="F79" s="40"/>
      <c r="G79" s="40"/>
      <c r="H79" s="40"/>
      <c r="I79" s="40"/>
      <c r="J79" s="40"/>
      <c r="K79" s="40"/>
      <c r="L79" s="40"/>
      <c r="M79" s="39" t="str">
        <f t="shared" si="4"/>
        <v/>
      </c>
      <c r="N79" s="39" t="str">
        <f t="shared" si="5"/>
        <v/>
      </c>
    </row>
    <row r="80" spans="1:14" x14ac:dyDescent="0.25">
      <c r="A80" s="31"/>
      <c r="B80" s="20"/>
      <c r="C80" s="20"/>
      <c r="D80" s="20"/>
      <c r="E80" s="20"/>
      <c r="F80" s="40"/>
      <c r="G80" s="40"/>
      <c r="H80" s="40"/>
      <c r="I80" s="40"/>
      <c r="J80" s="40"/>
      <c r="K80" s="40"/>
      <c r="L80" s="40"/>
      <c r="M80" s="39" t="str">
        <f t="shared" si="4"/>
        <v/>
      </c>
      <c r="N80" s="39" t="str">
        <f t="shared" si="5"/>
        <v/>
      </c>
    </row>
    <row r="81" spans="1:14" x14ac:dyDescent="0.25">
      <c r="A81" s="31"/>
      <c r="B81" s="20"/>
      <c r="C81" s="20"/>
      <c r="D81" s="20"/>
      <c r="E81" s="20"/>
      <c r="F81" s="40"/>
      <c r="G81" s="40"/>
      <c r="H81" s="40"/>
      <c r="I81" s="40"/>
      <c r="J81" s="40"/>
      <c r="K81" s="40"/>
      <c r="L81" s="40"/>
      <c r="M81" s="39" t="str">
        <f t="shared" si="4"/>
        <v/>
      </c>
      <c r="N81" s="39" t="str">
        <f t="shared" si="5"/>
        <v/>
      </c>
    </row>
    <row r="82" spans="1:14" x14ac:dyDescent="0.25">
      <c r="A82" s="31"/>
      <c r="B82" s="20"/>
      <c r="C82" s="20"/>
      <c r="D82" s="20"/>
      <c r="E82" s="20"/>
      <c r="F82" s="40"/>
      <c r="G82" s="40"/>
      <c r="H82" s="40"/>
      <c r="I82" s="40"/>
      <c r="J82" s="40"/>
      <c r="K82" s="40"/>
      <c r="L82" s="40"/>
      <c r="M82" s="39" t="str">
        <f t="shared" si="4"/>
        <v/>
      </c>
      <c r="N82" s="39" t="str">
        <f t="shared" si="5"/>
        <v/>
      </c>
    </row>
    <row r="83" spans="1:14" x14ac:dyDescent="0.25">
      <c r="A83" s="31"/>
      <c r="B83" s="20"/>
      <c r="C83" s="20"/>
      <c r="D83" s="20"/>
      <c r="E83" s="20"/>
      <c r="F83" s="40"/>
      <c r="G83" s="40"/>
      <c r="H83" s="40"/>
      <c r="I83" s="40"/>
      <c r="J83" s="40"/>
      <c r="K83" s="40"/>
      <c r="L83" s="40"/>
      <c r="M83" s="39" t="str">
        <f t="shared" si="4"/>
        <v/>
      </c>
      <c r="N83" s="39" t="str">
        <f t="shared" si="5"/>
        <v/>
      </c>
    </row>
    <row r="84" spans="1:14" x14ac:dyDescent="0.25">
      <c r="A84" s="31"/>
      <c r="B84" s="20"/>
      <c r="C84" s="20"/>
      <c r="D84" s="20"/>
      <c r="E84" s="20"/>
      <c r="F84" s="40"/>
      <c r="G84" s="40"/>
      <c r="H84" s="40"/>
      <c r="I84" s="40"/>
      <c r="J84" s="40"/>
      <c r="K84" s="40"/>
      <c r="L84" s="40"/>
      <c r="M84" s="39" t="str">
        <f t="shared" si="4"/>
        <v/>
      </c>
      <c r="N84" s="39" t="str">
        <f t="shared" si="5"/>
        <v/>
      </c>
    </row>
    <row r="85" spans="1:14" x14ac:dyDescent="0.25">
      <c r="A85" s="31"/>
      <c r="B85" s="20"/>
      <c r="C85" s="20"/>
      <c r="D85" s="20"/>
      <c r="E85" s="20"/>
      <c r="F85" s="40"/>
      <c r="G85" s="40"/>
      <c r="H85" s="40"/>
      <c r="I85" s="40"/>
      <c r="J85" s="40"/>
      <c r="K85" s="40"/>
      <c r="L85" s="40"/>
      <c r="M85" s="39" t="str">
        <f t="shared" si="4"/>
        <v/>
      </c>
      <c r="N85" s="39" t="str">
        <f t="shared" si="5"/>
        <v/>
      </c>
    </row>
    <row r="86" spans="1:14" x14ac:dyDescent="0.25">
      <c r="A86" s="31"/>
      <c r="B86" s="20"/>
      <c r="C86" s="20"/>
      <c r="D86" s="20"/>
      <c r="E86" s="20"/>
      <c r="F86" s="40"/>
      <c r="G86" s="40"/>
      <c r="H86" s="40"/>
      <c r="I86" s="40"/>
      <c r="J86" s="40"/>
      <c r="K86" s="40"/>
      <c r="L86" s="40"/>
      <c r="M86" s="39" t="str">
        <f t="shared" si="4"/>
        <v/>
      </c>
      <c r="N86" s="39" t="str">
        <f t="shared" si="5"/>
        <v/>
      </c>
    </row>
    <row r="87" spans="1:14" x14ac:dyDescent="0.25">
      <c r="A87" s="31"/>
      <c r="B87" s="20"/>
      <c r="C87" s="20"/>
      <c r="D87" s="20"/>
      <c r="E87" s="20"/>
      <c r="F87" s="40"/>
      <c r="G87" s="40"/>
      <c r="H87" s="40"/>
      <c r="I87" s="40"/>
      <c r="J87" s="40"/>
      <c r="K87" s="40"/>
      <c r="L87" s="40"/>
      <c r="M87" s="39" t="str">
        <f t="shared" si="4"/>
        <v/>
      </c>
      <c r="N87" s="39" t="str">
        <f t="shared" si="5"/>
        <v/>
      </c>
    </row>
    <row r="88" spans="1:14" x14ac:dyDescent="0.25">
      <c r="A88" s="31"/>
      <c r="B88" s="20"/>
      <c r="C88" s="20"/>
      <c r="D88" s="20"/>
      <c r="E88" s="20"/>
      <c r="F88" s="40"/>
      <c r="G88" s="40"/>
      <c r="H88" s="40"/>
      <c r="I88" s="40"/>
      <c r="J88" s="40"/>
      <c r="K88" s="40"/>
      <c r="L88" s="40"/>
      <c r="M88" s="39" t="str">
        <f t="shared" si="4"/>
        <v/>
      </c>
      <c r="N88" s="39" t="str">
        <f t="shared" si="5"/>
        <v/>
      </c>
    </row>
    <row r="89" spans="1:14" x14ac:dyDescent="0.25">
      <c r="A89" s="31"/>
      <c r="B89" s="20"/>
      <c r="C89" s="20"/>
      <c r="D89" s="20"/>
      <c r="E89" s="20"/>
      <c r="F89" s="40"/>
      <c r="G89" s="40"/>
      <c r="H89" s="40"/>
      <c r="I89" s="40"/>
      <c r="J89" s="40"/>
      <c r="K89" s="40"/>
      <c r="L89" s="40"/>
      <c r="M89" s="39" t="str">
        <f t="shared" si="4"/>
        <v/>
      </c>
      <c r="N89" s="39" t="str">
        <f t="shared" si="5"/>
        <v/>
      </c>
    </row>
    <row r="90" spans="1:14" x14ac:dyDescent="0.25">
      <c r="A90" s="31"/>
      <c r="B90" s="20"/>
      <c r="C90" s="20"/>
      <c r="D90" s="20"/>
      <c r="E90" s="20"/>
      <c r="F90" s="40"/>
      <c r="G90" s="40"/>
      <c r="H90" s="40"/>
      <c r="I90" s="40"/>
      <c r="J90" s="40"/>
      <c r="K90" s="40"/>
      <c r="L90" s="40"/>
      <c r="M90" s="39" t="str">
        <f t="shared" si="4"/>
        <v/>
      </c>
      <c r="N90" s="39" t="str">
        <f t="shared" si="5"/>
        <v/>
      </c>
    </row>
    <row r="91" spans="1:14" x14ac:dyDescent="0.25">
      <c r="A91" s="31"/>
      <c r="B91" s="20"/>
      <c r="C91" s="20"/>
      <c r="D91" s="20"/>
      <c r="E91" s="20"/>
      <c r="F91" s="40"/>
      <c r="G91" s="40"/>
      <c r="H91" s="40"/>
      <c r="I91" s="40"/>
      <c r="J91" s="40"/>
      <c r="K91" s="40"/>
      <c r="L91" s="40"/>
      <c r="M91" s="39" t="str">
        <f t="shared" si="4"/>
        <v/>
      </c>
      <c r="N91" s="39" t="str">
        <f t="shared" si="5"/>
        <v/>
      </c>
    </row>
    <row r="92" spans="1:14" x14ac:dyDescent="0.25">
      <c r="A92" s="31"/>
      <c r="B92" s="20"/>
      <c r="C92" s="20"/>
      <c r="D92" s="20"/>
      <c r="E92" s="20"/>
      <c r="F92" s="40"/>
      <c r="G92" s="40"/>
      <c r="H92" s="40"/>
      <c r="I92" s="40"/>
      <c r="J92" s="40"/>
      <c r="K92" s="40"/>
      <c r="L92" s="40"/>
      <c r="M92" s="39" t="str">
        <f t="shared" si="4"/>
        <v/>
      </c>
      <c r="N92" s="39" t="str">
        <f t="shared" si="5"/>
        <v/>
      </c>
    </row>
    <row r="93" spans="1:14" x14ac:dyDescent="0.25">
      <c r="A93" s="31"/>
      <c r="B93" s="20"/>
      <c r="C93" s="20"/>
      <c r="D93" s="20"/>
      <c r="E93" s="20"/>
      <c r="F93" s="40"/>
      <c r="G93" s="40"/>
      <c r="H93" s="40"/>
      <c r="I93" s="40"/>
      <c r="J93" s="40"/>
      <c r="K93" s="40"/>
      <c r="L93" s="40"/>
      <c r="M93" s="39" t="str">
        <f t="shared" si="4"/>
        <v/>
      </c>
      <c r="N93" s="39" t="str">
        <f t="shared" si="5"/>
        <v/>
      </c>
    </row>
    <row r="94" spans="1:14" x14ac:dyDescent="0.25">
      <c r="A94" s="31"/>
      <c r="B94" s="20"/>
      <c r="C94" s="20"/>
      <c r="D94" s="20"/>
      <c r="E94" s="20"/>
      <c r="F94" s="40"/>
      <c r="G94" s="40"/>
      <c r="H94" s="40"/>
      <c r="I94" s="40"/>
      <c r="J94" s="40"/>
      <c r="K94" s="40"/>
      <c r="L94" s="40"/>
      <c r="M94" s="39" t="str">
        <f t="shared" si="4"/>
        <v/>
      </c>
      <c r="N94" s="39" t="str">
        <f t="shared" si="5"/>
        <v/>
      </c>
    </row>
    <row r="95" spans="1:14" x14ac:dyDescent="0.25">
      <c r="A95" s="31"/>
      <c r="B95" s="20"/>
      <c r="C95" s="20"/>
      <c r="D95" s="20"/>
      <c r="E95" s="20"/>
      <c r="F95" s="40"/>
      <c r="G95" s="40"/>
      <c r="H95" s="40"/>
      <c r="I95" s="40"/>
      <c r="J95" s="40"/>
      <c r="K95" s="40"/>
      <c r="L95" s="40"/>
      <c r="M95" s="39" t="str">
        <f t="shared" si="4"/>
        <v/>
      </c>
      <c r="N95" s="39" t="str">
        <f t="shared" si="5"/>
        <v/>
      </c>
    </row>
    <row r="96" spans="1:14" x14ac:dyDescent="0.25">
      <c r="A96" s="31"/>
      <c r="B96" s="20"/>
      <c r="C96" s="20"/>
      <c r="D96" s="20"/>
      <c r="E96" s="20"/>
      <c r="F96" s="40"/>
      <c r="G96" s="40"/>
      <c r="H96" s="40"/>
      <c r="I96" s="40"/>
      <c r="J96" s="40"/>
      <c r="K96" s="40"/>
      <c r="L96" s="40"/>
      <c r="M96" s="39" t="str">
        <f t="shared" si="4"/>
        <v/>
      </c>
      <c r="N96" s="39" t="str">
        <f t="shared" si="5"/>
        <v/>
      </c>
    </row>
    <row r="97" spans="1:14" x14ac:dyDescent="0.25">
      <c r="A97" s="31"/>
      <c r="B97" s="20"/>
      <c r="C97" s="20"/>
      <c r="D97" s="20"/>
      <c r="E97" s="20"/>
      <c r="F97" s="40"/>
      <c r="G97" s="40"/>
      <c r="H97" s="40"/>
      <c r="I97" s="40"/>
      <c r="J97" s="40"/>
      <c r="K97" s="40"/>
      <c r="L97" s="40"/>
      <c r="M97" s="39" t="str">
        <f t="shared" si="4"/>
        <v/>
      </c>
      <c r="N97" s="39" t="str">
        <f t="shared" si="5"/>
        <v/>
      </c>
    </row>
    <row r="98" spans="1:14" x14ac:dyDescent="0.25">
      <c r="A98" s="31"/>
      <c r="B98" s="20"/>
      <c r="C98" s="20"/>
      <c r="D98" s="20"/>
      <c r="E98" s="20"/>
      <c r="F98" s="40"/>
      <c r="G98" s="40"/>
      <c r="H98" s="40"/>
      <c r="I98" s="40"/>
      <c r="J98" s="40"/>
      <c r="K98" s="40"/>
      <c r="L98" s="40"/>
      <c r="M98" s="39" t="str">
        <f t="shared" si="4"/>
        <v/>
      </c>
      <c r="N98" s="39" t="str">
        <f t="shared" si="5"/>
        <v/>
      </c>
    </row>
    <row r="99" spans="1:14" x14ac:dyDescent="0.25">
      <c r="A99" s="31"/>
      <c r="B99" s="20"/>
      <c r="C99" s="20"/>
      <c r="D99" s="20"/>
      <c r="E99" s="20"/>
      <c r="F99" s="40"/>
      <c r="G99" s="40"/>
      <c r="H99" s="40"/>
      <c r="I99" s="40"/>
      <c r="J99" s="40"/>
      <c r="K99" s="40"/>
      <c r="L99" s="40"/>
      <c r="M99" s="39" t="str">
        <f t="shared" si="4"/>
        <v/>
      </c>
      <c r="N99" s="39" t="str">
        <f t="shared" si="5"/>
        <v/>
      </c>
    </row>
    <row r="100" spans="1:14" x14ac:dyDescent="0.25">
      <c r="A100" s="31"/>
      <c r="B100" s="20"/>
      <c r="C100" s="20"/>
      <c r="D100" s="20"/>
      <c r="E100" s="20"/>
      <c r="F100" s="40"/>
      <c r="G100" s="40"/>
      <c r="H100" s="40"/>
      <c r="I100" s="40"/>
      <c r="J100" s="40"/>
      <c r="K100" s="40"/>
      <c r="L100" s="40"/>
      <c r="M100" s="39" t="str">
        <f t="shared" si="4"/>
        <v/>
      </c>
      <c r="N100" s="39" t="str">
        <f t="shared" si="5"/>
        <v/>
      </c>
    </row>
    <row r="101" spans="1:14" x14ac:dyDescent="0.25">
      <c r="A101" s="31"/>
      <c r="B101" s="20"/>
      <c r="C101" s="20"/>
      <c r="D101" s="20"/>
      <c r="E101" s="20"/>
      <c r="F101" s="40"/>
      <c r="G101" s="40"/>
      <c r="H101" s="40"/>
      <c r="I101" s="40"/>
      <c r="J101" s="40"/>
      <c r="K101" s="40"/>
      <c r="L101" s="40"/>
      <c r="M101" s="39" t="str">
        <f t="shared" si="4"/>
        <v/>
      </c>
      <c r="N101" s="39" t="str">
        <f t="shared" si="5"/>
        <v/>
      </c>
    </row>
    <row r="102" spans="1:14" x14ac:dyDescent="0.25">
      <c r="A102" s="31"/>
      <c r="B102" s="20"/>
      <c r="C102" s="20"/>
      <c r="D102" s="20"/>
      <c r="E102" s="20"/>
      <c r="F102" s="40"/>
      <c r="G102" s="40"/>
      <c r="H102" s="40"/>
      <c r="I102" s="40"/>
      <c r="J102" s="40"/>
      <c r="K102" s="40"/>
      <c r="L102" s="40"/>
      <c r="M102" s="39" t="str">
        <f t="shared" ref="M102:M133" si="6">IF(OR(F102="",F102=0),"",(G102+H102+I102)/F102)</f>
        <v/>
      </c>
      <c r="N102" s="39" t="str">
        <f t="shared" ref="N102:N133" si="7">IF(OR(F102="",F102=0),"",(I102+J102)/F102)</f>
        <v/>
      </c>
    </row>
    <row r="103" spans="1:14" x14ac:dyDescent="0.25">
      <c r="A103" s="31"/>
      <c r="B103" s="20"/>
      <c r="C103" s="20"/>
      <c r="D103" s="20"/>
      <c r="E103" s="20"/>
      <c r="F103" s="40"/>
      <c r="G103" s="40"/>
      <c r="H103" s="40"/>
      <c r="I103" s="40"/>
      <c r="J103" s="40"/>
      <c r="K103" s="40"/>
      <c r="L103" s="40"/>
      <c r="M103" s="39" t="str">
        <f t="shared" si="6"/>
        <v/>
      </c>
      <c r="N103" s="39" t="str">
        <f t="shared" si="7"/>
        <v/>
      </c>
    </row>
    <row r="104" spans="1:14" x14ac:dyDescent="0.25">
      <c r="A104" s="31"/>
      <c r="B104" s="20"/>
      <c r="C104" s="20"/>
      <c r="D104" s="20"/>
      <c r="E104" s="20"/>
      <c r="F104" s="40"/>
      <c r="G104" s="40"/>
      <c r="H104" s="40"/>
      <c r="I104" s="40"/>
      <c r="J104" s="40"/>
      <c r="K104" s="40"/>
      <c r="L104" s="40"/>
      <c r="M104" s="39" t="str">
        <f t="shared" si="6"/>
        <v/>
      </c>
      <c r="N104" s="39" t="str">
        <f t="shared" si="7"/>
        <v/>
      </c>
    </row>
    <row r="105" spans="1:14" x14ac:dyDescent="0.25">
      <c r="A105" s="31"/>
      <c r="B105" s="20"/>
      <c r="C105" s="20"/>
      <c r="D105" s="20"/>
      <c r="E105" s="20"/>
      <c r="F105" s="40"/>
      <c r="G105" s="40"/>
      <c r="H105" s="40"/>
      <c r="I105" s="40"/>
      <c r="J105" s="40"/>
      <c r="K105" s="40"/>
      <c r="L105" s="40"/>
      <c r="M105" s="39" t="str">
        <f t="shared" si="6"/>
        <v/>
      </c>
      <c r="N105" s="39" t="str">
        <f t="shared" si="7"/>
        <v/>
      </c>
    </row>
    <row r="106" spans="1:14" x14ac:dyDescent="0.25">
      <c r="A106" s="31"/>
      <c r="B106" s="20"/>
      <c r="C106" s="20"/>
      <c r="D106" s="20"/>
      <c r="E106" s="20"/>
      <c r="F106" s="40"/>
      <c r="G106" s="40"/>
      <c r="H106" s="40"/>
      <c r="I106" s="40"/>
      <c r="J106" s="40"/>
      <c r="K106" s="40"/>
      <c r="L106" s="40"/>
      <c r="M106" s="39" t="str">
        <f t="shared" si="6"/>
        <v/>
      </c>
      <c r="N106" s="39" t="str">
        <f t="shared" si="7"/>
        <v/>
      </c>
    </row>
    <row r="107" spans="1:14" x14ac:dyDescent="0.25">
      <c r="A107" s="31"/>
      <c r="B107" s="20"/>
      <c r="C107" s="20"/>
      <c r="D107" s="20"/>
      <c r="E107" s="20"/>
      <c r="F107" s="40"/>
      <c r="G107" s="40"/>
      <c r="H107" s="40"/>
      <c r="I107" s="40"/>
      <c r="J107" s="40"/>
      <c r="K107" s="40"/>
      <c r="L107" s="40"/>
      <c r="M107" s="39" t="str">
        <f t="shared" si="6"/>
        <v/>
      </c>
      <c r="N107" s="39" t="str">
        <f t="shared" si="7"/>
        <v/>
      </c>
    </row>
    <row r="108" spans="1:14" x14ac:dyDescent="0.25">
      <c r="A108" s="31"/>
      <c r="B108" s="20"/>
      <c r="C108" s="20"/>
      <c r="D108" s="20"/>
      <c r="E108" s="20"/>
      <c r="F108" s="40"/>
      <c r="G108" s="40"/>
      <c r="H108" s="40"/>
      <c r="I108" s="40"/>
      <c r="J108" s="40"/>
      <c r="K108" s="40"/>
      <c r="L108" s="40"/>
      <c r="M108" s="39" t="str">
        <f t="shared" si="6"/>
        <v/>
      </c>
      <c r="N108" s="39" t="str">
        <f t="shared" si="7"/>
        <v/>
      </c>
    </row>
    <row r="109" spans="1:14" x14ac:dyDescent="0.25">
      <c r="A109" s="31"/>
      <c r="B109" s="20"/>
      <c r="C109" s="20"/>
      <c r="D109" s="20"/>
      <c r="E109" s="20"/>
      <c r="F109" s="40"/>
      <c r="G109" s="40"/>
      <c r="H109" s="40"/>
      <c r="I109" s="40"/>
      <c r="J109" s="40"/>
      <c r="K109" s="40"/>
      <c r="L109" s="40"/>
      <c r="M109" s="39" t="str">
        <f t="shared" si="6"/>
        <v/>
      </c>
      <c r="N109" s="39" t="str">
        <f t="shared" si="7"/>
        <v/>
      </c>
    </row>
    <row r="110" spans="1:14" x14ac:dyDescent="0.25">
      <c r="A110" s="31"/>
      <c r="B110" s="20"/>
      <c r="C110" s="20"/>
      <c r="D110" s="20"/>
      <c r="E110" s="20"/>
      <c r="F110" s="40"/>
      <c r="G110" s="40"/>
      <c r="H110" s="40"/>
      <c r="I110" s="40"/>
      <c r="J110" s="40"/>
      <c r="K110" s="40"/>
      <c r="L110" s="40"/>
      <c r="M110" s="39" t="str">
        <f t="shared" si="6"/>
        <v/>
      </c>
      <c r="N110" s="39" t="str">
        <f t="shared" si="7"/>
        <v/>
      </c>
    </row>
    <row r="111" spans="1:14" x14ac:dyDescent="0.25">
      <c r="A111" s="31"/>
      <c r="B111" s="20"/>
      <c r="C111" s="20"/>
      <c r="D111" s="20"/>
      <c r="E111" s="20"/>
      <c r="F111" s="40"/>
      <c r="G111" s="40"/>
      <c r="H111" s="40"/>
      <c r="I111" s="40"/>
      <c r="J111" s="40"/>
      <c r="K111" s="40"/>
      <c r="L111" s="40"/>
      <c r="M111" s="39" t="str">
        <f t="shared" si="6"/>
        <v/>
      </c>
      <c r="N111" s="39" t="str">
        <f t="shared" si="7"/>
        <v/>
      </c>
    </row>
    <row r="112" spans="1:14" x14ac:dyDescent="0.25">
      <c r="A112" s="31"/>
      <c r="B112" s="20"/>
      <c r="C112" s="20"/>
      <c r="D112" s="20"/>
      <c r="E112" s="20"/>
      <c r="F112" s="40"/>
      <c r="G112" s="40"/>
      <c r="H112" s="40"/>
      <c r="I112" s="40"/>
      <c r="J112" s="40"/>
      <c r="K112" s="40"/>
      <c r="L112" s="40"/>
      <c r="M112" s="39" t="str">
        <f t="shared" si="6"/>
        <v/>
      </c>
      <c r="N112" s="39" t="str">
        <f t="shared" si="7"/>
        <v/>
      </c>
    </row>
    <row r="113" spans="1:14" x14ac:dyDescent="0.25">
      <c r="A113" s="31"/>
      <c r="B113" s="20"/>
      <c r="C113" s="20"/>
      <c r="D113" s="20"/>
      <c r="E113" s="20"/>
      <c r="F113" s="40"/>
      <c r="G113" s="40"/>
      <c r="H113" s="40"/>
      <c r="I113" s="40"/>
      <c r="J113" s="40"/>
      <c r="K113" s="40"/>
      <c r="L113" s="40"/>
      <c r="M113" s="39" t="str">
        <f t="shared" si="6"/>
        <v/>
      </c>
      <c r="N113" s="39" t="str">
        <f t="shared" si="7"/>
        <v/>
      </c>
    </row>
    <row r="114" spans="1:14" x14ac:dyDescent="0.25">
      <c r="A114" s="31"/>
      <c r="B114" s="20"/>
      <c r="C114" s="20"/>
      <c r="D114" s="20"/>
      <c r="E114" s="20"/>
      <c r="F114" s="40"/>
      <c r="G114" s="40"/>
      <c r="H114" s="40"/>
      <c r="I114" s="40"/>
      <c r="J114" s="40"/>
      <c r="K114" s="40"/>
      <c r="L114" s="40"/>
      <c r="M114" s="39" t="str">
        <f t="shared" si="6"/>
        <v/>
      </c>
      <c r="N114" s="39" t="str">
        <f t="shared" si="7"/>
        <v/>
      </c>
    </row>
    <row r="115" spans="1:14" x14ac:dyDescent="0.25">
      <c r="A115" s="31"/>
      <c r="B115" s="20"/>
      <c r="C115" s="20"/>
      <c r="D115" s="20"/>
      <c r="E115" s="20"/>
      <c r="F115" s="40"/>
      <c r="G115" s="40"/>
      <c r="H115" s="40"/>
      <c r="I115" s="40"/>
      <c r="J115" s="40"/>
      <c r="K115" s="40"/>
      <c r="L115" s="40"/>
      <c r="M115" s="39" t="str">
        <f t="shared" si="6"/>
        <v/>
      </c>
      <c r="N115" s="39" t="str">
        <f t="shared" si="7"/>
        <v/>
      </c>
    </row>
    <row r="116" spans="1:14" x14ac:dyDescent="0.25">
      <c r="A116" s="31"/>
      <c r="B116" s="20"/>
      <c r="C116" s="20"/>
      <c r="D116" s="20"/>
      <c r="E116" s="20"/>
      <c r="F116" s="40"/>
      <c r="G116" s="40"/>
      <c r="H116" s="40"/>
      <c r="I116" s="40"/>
      <c r="J116" s="40"/>
      <c r="K116" s="40"/>
      <c r="L116" s="40"/>
      <c r="M116" s="39" t="str">
        <f t="shared" si="6"/>
        <v/>
      </c>
      <c r="N116" s="39" t="str">
        <f t="shared" si="7"/>
        <v/>
      </c>
    </row>
    <row r="117" spans="1:14" x14ac:dyDescent="0.25">
      <c r="A117" s="31"/>
      <c r="B117" s="20"/>
      <c r="C117" s="20"/>
      <c r="D117" s="20"/>
      <c r="E117" s="20"/>
      <c r="F117" s="40"/>
      <c r="G117" s="40"/>
      <c r="H117" s="40"/>
      <c r="I117" s="40"/>
      <c r="J117" s="40"/>
      <c r="K117" s="40"/>
      <c r="L117" s="40"/>
      <c r="M117" s="39" t="str">
        <f t="shared" si="6"/>
        <v/>
      </c>
      <c r="N117" s="39" t="str">
        <f t="shared" si="7"/>
        <v/>
      </c>
    </row>
    <row r="118" spans="1:14" x14ac:dyDescent="0.25">
      <c r="A118" s="31"/>
      <c r="B118" s="20"/>
      <c r="C118" s="20"/>
      <c r="D118" s="20"/>
      <c r="E118" s="20"/>
      <c r="F118" s="40"/>
      <c r="G118" s="40"/>
      <c r="H118" s="40"/>
      <c r="I118" s="40"/>
      <c r="J118" s="40"/>
      <c r="K118" s="40"/>
      <c r="L118" s="40"/>
      <c r="M118" s="39" t="str">
        <f t="shared" si="6"/>
        <v/>
      </c>
      <c r="N118" s="39" t="str">
        <f t="shared" si="7"/>
        <v/>
      </c>
    </row>
    <row r="119" spans="1:14" x14ac:dyDescent="0.25">
      <c r="A119" s="31"/>
      <c r="B119" s="20"/>
      <c r="C119" s="20"/>
      <c r="D119" s="20"/>
      <c r="E119" s="20"/>
      <c r="F119" s="40"/>
      <c r="G119" s="40"/>
      <c r="H119" s="40"/>
      <c r="I119" s="40"/>
      <c r="J119" s="40"/>
      <c r="K119" s="40"/>
      <c r="L119" s="40"/>
      <c r="M119" s="39" t="str">
        <f t="shared" si="6"/>
        <v/>
      </c>
      <c r="N119" s="39" t="str">
        <f t="shared" si="7"/>
        <v/>
      </c>
    </row>
    <row r="120" spans="1:14" x14ac:dyDescent="0.25">
      <c r="A120" s="31"/>
      <c r="B120" s="20"/>
      <c r="C120" s="20"/>
      <c r="D120" s="20"/>
      <c r="E120" s="20"/>
      <c r="F120" s="40"/>
      <c r="G120" s="40"/>
      <c r="H120" s="40"/>
      <c r="I120" s="40"/>
      <c r="J120" s="40"/>
      <c r="K120" s="40"/>
      <c r="L120" s="40"/>
      <c r="M120" s="39" t="str">
        <f t="shared" si="6"/>
        <v/>
      </c>
      <c r="N120" s="39" t="str">
        <f t="shared" si="7"/>
        <v/>
      </c>
    </row>
    <row r="121" spans="1:14" x14ac:dyDescent="0.25">
      <c r="A121" s="31"/>
      <c r="B121" s="20"/>
      <c r="C121" s="20"/>
      <c r="D121" s="20"/>
      <c r="E121" s="20"/>
      <c r="F121" s="40"/>
      <c r="G121" s="40"/>
      <c r="H121" s="40"/>
      <c r="I121" s="40"/>
      <c r="J121" s="40"/>
      <c r="K121" s="40"/>
      <c r="L121" s="40"/>
      <c r="M121" s="39" t="str">
        <f t="shared" si="6"/>
        <v/>
      </c>
      <c r="N121" s="39" t="str">
        <f t="shared" si="7"/>
        <v/>
      </c>
    </row>
    <row r="122" spans="1:14" x14ac:dyDescent="0.25">
      <c r="A122" s="31"/>
      <c r="B122" s="20"/>
      <c r="C122" s="20"/>
      <c r="D122" s="20"/>
      <c r="E122" s="20"/>
      <c r="F122" s="40"/>
      <c r="G122" s="40"/>
      <c r="H122" s="40"/>
      <c r="I122" s="40"/>
      <c r="J122" s="40"/>
      <c r="K122" s="40"/>
      <c r="L122" s="40"/>
      <c r="M122" s="39" t="str">
        <f t="shared" si="6"/>
        <v/>
      </c>
      <c r="N122" s="39" t="str">
        <f t="shared" si="7"/>
        <v/>
      </c>
    </row>
    <row r="123" spans="1:14" x14ac:dyDescent="0.25">
      <c r="A123" s="31"/>
      <c r="B123" s="20"/>
      <c r="C123" s="20"/>
      <c r="D123" s="20"/>
      <c r="E123" s="20"/>
      <c r="F123" s="40"/>
      <c r="G123" s="40"/>
      <c r="H123" s="40"/>
      <c r="I123" s="40"/>
      <c r="J123" s="40"/>
      <c r="K123" s="40"/>
      <c r="L123" s="40"/>
      <c r="M123" s="39" t="str">
        <f t="shared" si="6"/>
        <v/>
      </c>
      <c r="N123" s="39" t="str">
        <f t="shared" si="7"/>
        <v/>
      </c>
    </row>
    <row r="124" spans="1:14" x14ac:dyDescent="0.25">
      <c r="A124" s="31"/>
      <c r="B124" s="20"/>
      <c r="C124" s="20"/>
      <c r="D124" s="20"/>
      <c r="E124" s="20"/>
      <c r="F124" s="40"/>
      <c r="G124" s="40"/>
      <c r="H124" s="40"/>
      <c r="I124" s="40"/>
      <c r="J124" s="40"/>
      <c r="K124" s="40"/>
      <c r="L124" s="40"/>
      <c r="M124" s="39" t="str">
        <f t="shared" si="6"/>
        <v/>
      </c>
      <c r="N124" s="39" t="str">
        <f t="shared" si="7"/>
        <v/>
      </c>
    </row>
    <row r="125" spans="1:14" x14ac:dyDescent="0.25">
      <c r="A125" s="31"/>
      <c r="B125" s="20"/>
      <c r="C125" s="20"/>
      <c r="D125" s="20"/>
      <c r="E125" s="20"/>
      <c r="F125" s="40"/>
      <c r="G125" s="40"/>
      <c r="H125" s="40"/>
      <c r="I125" s="40"/>
      <c r="J125" s="40"/>
      <c r="K125" s="40"/>
      <c r="L125" s="40"/>
      <c r="M125" s="39" t="str">
        <f t="shared" si="6"/>
        <v/>
      </c>
      <c r="N125" s="39" t="str">
        <f t="shared" si="7"/>
        <v/>
      </c>
    </row>
    <row r="126" spans="1:14" x14ac:dyDescent="0.25">
      <c r="A126" s="31"/>
      <c r="B126" s="20"/>
      <c r="C126" s="20"/>
      <c r="D126" s="20"/>
      <c r="E126" s="20"/>
      <c r="F126" s="40"/>
      <c r="G126" s="40"/>
      <c r="H126" s="40"/>
      <c r="I126" s="40"/>
      <c r="J126" s="40"/>
      <c r="K126" s="40"/>
      <c r="L126" s="40"/>
      <c r="M126" s="39" t="str">
        <f t="shared" si="6"/>
        <v/>
      </c>
      <c r="N126" s="39" t="str">
        <f t="shared" si="7"/>
        <v/>
      </c>
    </row>
    <row r="127" spans="1:14" x14ac:dyDescent="0.25">
      <c r="A127" s="31"/>
      <c r="B127" s="20"/>
      <c r="C127" s="20"/>
      <c r="D127" s="20"/>
      <c r="E127" s="20"/>
      <c r="F127" s="40"/>
      <c r="G127" s="40"/>
      <c r="H127" s="40"/>
      <c r="I127" s="40"/>
      <c r="J127" s="40"/>
      <c r="K127" s="40"/>
      <c r="L127" s="40"/>
      <c r="M127" s="39" t="str">
        <f t="shared" si="6"/>
        <v/>
      </c>
      <c r="N127" s="39" t="str">
        <f t="shared" si="7"/>
        <v/>
      </c>
    </row>
    <row r="128" spans="1:14" x14ac:dyDescent="0.25">
      <c r="A128" s="31"/>
      <c r="B128" s="20"/>
      <c r="C128" s="20"/>
      <c r="D128" s="20"/>
      <c r="E128" s="20"/>
      <c r="F128" s="40"/>
      <c r="G128" s="40"/>
      <c r="H128" s="40"/>
      <c r="I128" s="40"/>
      <c r="J128" s="40"/>
      <c r="K128" s="40"/>
      <c r="L128" s="40"/>
      <c r="M128" s="39" t="str">
        <f t="shared" si="6"/>
        <v/>
      </c>
      <c r="N128" s="39" t="str">
        <f t="shared" si="7"/>
        <v/>
      </c>
    </row>
    <row r="129" spans="1:14" x14ac:dyDescent="0.25">
      <c r="A129" s="31"/>
      <c r="B129" s="20"/>
      <c r="C129" s="20"/>
      <c r="D129" s="20"/>
      <c r="E129" s="20"/>
      <c r="F129" s="40"/>
      <c r="G129" s="40"/>
      <c r="H129" s="40"/>
      <c r="I129" s="40"/>
      <c r="J129" s="40"/>
      <c r="K129" s="40"/>
      <c r="L129" s="40"/>
      <c r="M129" s="39" t="str">
        <f t="shared" si="6"/>
        <v/>
      </c>
      <c r="N129" s="39" t="str">
        <f t="shared" si="7"/>
        <v/>
      </c>
    </row>
    <row r="130" spans="1:14" x14ac:dyDescent="0.25">
      <c r="A130" s="31"/>
      <c r="B130" s="20"/>
      <c r="C130" s="20"/>
      <c r="D130" s="20"/>
      <c r="E130" s="20"/>
      <c r="F130" s="40"/>
      <c r="G130" s="40"/>
      <c r="H130" s="40"/>
      <c r="I130" s="40"/>
      <c r="J130" s="40"/>
      <c r="K130" s="40"/>
      <c r="L130" s="40"/>
      <c r="M130" s="39" t="str">
        <f t="shared" si="6"/>
        <v/>
      </c>
      <c r="N130" s="39" t="str">
        <f t="shared" si="7"/>
        <v/>
      </c>
    </row>
    <row r="131" spans="1:14" x14ac:dyDescent="0.25">
      <c r="A131" s="31"/>
      <c r="B131" s="20"/>
      <c r="C131" s="20"/>
      <c r="D131" s="20"/>
      <c r="E131" s="20"/>
      <c r="F131" s="40"/>
      <c r="G131" s="40"/>
      <c r="H131" s="40"/>
      <c r="I131" s="40"/>
      <c r="J131" s="40"/>
      <c r="K131" s="40"/>
      <c r="L131" s="40"/>
      <c r="M131" s="39" t="str">
        <f t="shared" si="6"/>
        <v/>
      </c>
      <c r="N131" s="39" t="str">
        <f t="shared" si="7"/>
        <v/>
      </c>
    </row>
    <row r="132" spans="1:14" x14ac:dyDescent="0.25">
      <c r="A132" s="31"/>
      <c r="B132" s="20"/>
      <c r="C132" s="20"/>
      <c r="D132" s="20"/>
      <c r="E132" s="20"/>
      <c r="F132" s="40"/>
      <c r="G132" s="40"/>
      <c r="H132" s="40"/>
      <c r="I132" s="40"/>
      <c r="J132" s="40"/>
      <c r="K132" s="40"/>
      <c r="L132" s="40"/>
      <c r="M132" s="39" t="str">
        <f t="shared" si="6"/>
        <v/>
      </c>
      <c r="N132" s="39" t="str">
        <f t="shared" si="7"/>
        <v/>
      </c>
    </row>
    <row r="133" spans="1:14" x14ac:dyDescent="0.25">
      <c r="A133" s="31"/>
      <c r="B133" s="20"/>
      <c r="C133" s="20"/>
      <c r="D133" s="20"/>
      <c r="E133" s="20"/>
      <c r="F133" s="40"/>
      <c r="G133" s="40"/>
      <c r="H133" s="40"/>
      <c r="I133" s="40"/>
      <c r="J133" s="40"/>
      <c r="K133" s="40"/>
      <c r="L133" s="40"/>
      <c r="M133" s="39" t="str">
        <f t="shared" si="6"/>
        <v/>
      </c>
      <c r="N133" s="39" t="str">
        <f t="shared" si="7"/>
        <v/>
      </c>
    </row>
    <row r="134" spans="1:14" x14ac:dyDescent="0.25">
      <c r="A134" s="31"/>
      <c r="B134" s="20"/>
      <c r="C134" s="20"/>
      <c r="D134" s="20"/>
      <c r="E134" s="20"/>
      <c r="F134" s="40"/>
      <c r="G134" s="40"/>
      <c r="H134" s="40"/>
      <c r="I134" s="40"/>
      <c r="J134" s="40"/>
      <c r="K134" s="40"/>
      <c r="L134" s="40"/>
      <c r="M134" s="39" t="str">
        <f t="shared" ref="M134:M155" si="8">IF(OR(F134="",F134=0),"",(G134+H134+I134)/F134)</f>
        <v/>
      </c>
      <c r="N134" s="39" t="str">
        <f t="shared" ref="N134:N155" si="9">IF(OR(F134="",F134=0),"",(I134+J134)/F134)</f>
        <v/>
      </c>
    </row>
    <row r="135" spans="1:14" x14ac:dyDescent="0.25">
      <c r="A135" s="31"/>
      <c r="B135" s="20"/>
      <c r="C135" s="20"/>
      <c r="D135" s="20"/>
      <c r="E135" s="20"/>
      <c r="F135" s="40"/>
      <c r="G135" s="40"/>
      <c r="H135" s="40"/>
      <c r="I135" s="40"/>
      <c r="J135" s="40"/>
      <c r="K135" s="40"/>
      <c r="L135" s="40"/>
      <c r="M135" s="39" t="str">
        <f t="shared" si="8"/>
        <v/>
      </c>
      <c r="N135" s="39" t="str">
        <f t="shared" si="9"/>
        <v/>
      </c>
    </row>
    <row r="136" spans="1:14" x14ac:dyDescent="0.25">
      <c r="A136" s="31"/>
      <c r="B136" s="20"/>
      <c r="C136" s="20"/>
      <c r="D136" s="20"/>
      <c r="E136" s="20"/>
      <c r="F136" s="40"/>
      <c r="G136" s="40"/>
      <c r="H136" s="40"/>
      <c r="I136" s="40"/>
      <c r="J136" s="40"/>
      <c r="K136" s="40"/>
      <c r="L136" s="40"/>
      <c r="M136" s="39" t="str">
        <f t="shared" si="8"/>
        <v/>
      </c>
      <c r="N136" s="39" t="str">
        <f t="shared" si="9"/>
        <v/>
      </c>
    </row>
    <row r="137" spans="1:14" x14ac:dyDescent="0.25">
      <c r="A137" s="31"/>
      <c r="B137" s="20"/>
      <c r="C137" s="20"/>
      <c r="D137" s="20"/>
      <c r="E137" s="20"/>
      <c r="F137" s="40"/>
      <c r="G137" s="40"/>
      <c r="H137" s="40"/>
      <c r="I137" s="40"/>
      <c r="J137" s="40"/>
      <c r="K137" s="40"/>
      <c r="L137" s="40"/>
      <c r="M137" s="39" t="str">
        <f t="shared" si="8"/>
        <v/>
      </c>
      <c r="N137" s="39" t="str">
        <f t="shared" si="9"/>
        <v/>
      </c>
    </row>
    <row r="138" spans="1:14" x14ac:dyDescent="0.25">
      <c r="A138" s="31"/>
      <c r="B138" s="20"/>
      <c r="C138" s="20"/>
      <c r="D138" s="20"/>
      <c r="E138" s="20"/>
      <c r="F138" s="40"/>
      <c r="G138" s="40"/>
      <c r="H138" s="40"/>
      <c r="I138" s="40"/>
      <c r="J138" s="40"/>
      <c r="K138" s="40"/>
      <c r="L138" s="40"/>
      <c r="M138" s="39" t="str">
        <f t="shared" si="8"/>
        <v/>
      </c>
      <c r="N138" s="39" t="str">
        <f t="shared" si="9"/>
        <v/>
      </c>
    </row>
    <row r="139" spans="1:14" x14ac:dyDescent="0.25">
      <c r="A139" s="31"/>
      <c r="B139" s="20"/>
      <c r="C139" s="20"/>
      <c r="D139" s="20"/>
      <c r="E139" s="20"/>
      <c r="F139" s="40"/>
      <c r="G139" s="40"/>
      <c r="H139" s="40"/>
      <c r="I139" s="40"/>
      <c r="J139" s="40"/>
      <c r="K139" s="40"/>
      <c r="L139" s="40"/>
      <c r="M139" s="39" t="str">
        <f t="shared" si="8"/>
        <v/>
      </c>
      <c r="N139" s="39" t="str">
        <f t="shared" si="9"/>
        <v/>
      </c>
    </row>
    <row r="140" spans="1:14" x14ac:dyDescent="0.25">
      <c r="A140" s="31"/>
      <c r="B140" s="20"/>
      <c r="C140" s="20"/>
      <c r="D140" s="20"/>
      <c r="E140" s="20"/>
      <c r="F140" s="40"/>
      <c r="G140" s="40"/>
      <c r="H140" s="40"/>
      <c r="I140" s="40"/>
      <c r="J140" s="40"/>
      <c r="K140" s="40"/>
      <c r="L140" s="40"/>
      <c r="M140" s="39" t="str">
        <f t="shared" si="8"/>
        <v/>
      </c>
      <c r="N140" s="39" t="str">
        <f t="shared" si="9"/>
        <v/>
      </c>
    </row>
    <row r="141" spans="1:14" x14ac:dyDescent="0.25">
      <c r="A141" s="31"/>
      <c r="B141" s="20"/>
      <c r="C141" s="20"/>
      <c r="D141" s="20"/>
      <c r="E141" s="20"/>
      <c r="F141" s="40"/>
      <c r="G141" s="40"/>
      <c r="H141" s="40"/>
      <c r="I141" s="40"/>
      <c r="J141" s="40"/>
      <c r="K141" s="40"/>
      <c r="L141" s="40"/>
      <c r="M141" s="39" t="str">
        <f t="shared" si="8"/>
        <v/>
      </c>
      <c r="N141" s="39" t="str">
        <f t="shared" si="9"/>
        <v/>
      </c>
    </row>
    <row r="142" spans="1:14" x14ac:dyDescent="0.25">
      <c r="A142" s="31"/>
      <c r="B142" s="20"/>
      <c r="C142" s="20"/>
      <c r="D142" s="20"/>
      <c r="E142" s="20"/>
      <c r="F142" s="40"/>
      <c r="G142" s="40"/>
      <c r="H142" s="40"/>
      <c r="I142" s="40"/>
      <c r="J142" s="40"/>
      <c r="K142" s="40"/>
      <c r="L142" s="40"/>
      <c r="M142" s="39" t="str">
        <f t="shared" si="8"/>
        <v/>
      </c>
      <c r="N142" s="39" t="str">
        <f t="shared" si="9"/>
        <v/>
      </c>
    </row>
    <row r="143" spans="1:14" x14ac:dyDescent="0.25">
      <c r="A143" s="31"/>
      <c r="B143" s="20"/>
      <c r="C143" s="20"/>
      <c r="D143" s="20"/>
      <c r="E143" s="20"/>
      <c r="F143" s="40"/>
      <c r="G143" s="40"/>
      <c r="H143" s="40"/>
      <c r="I143" s="40"/>
      <c r="J143" s="40"/>
      <c r="K143" s="40"/>
      <c r="L143" s="40"/>
      <c r="M143" s="39" t="str">
        <f t="shared" si="8"/>
        <v/>
      </c>
      <c r="N143" s="39" t="str">
        <f t="shared" si="9"/>
        <v/>
      </c>
    </row>
    <row r="144" spans="1:14" x14ac:dyDescent="0.25">
      <c r="A144" s="31"/>
      <c r="B144" s="20"/>
      <c r="C144" s="20"/>
      <c r="D144" s="20"/>
      <c r="E144" s="20"/>
      <c r="F144" s="40"/>
      <c r="G144" s="40"/>
      <c r="H144" s="40"/>
      <c r="I144" s="40"/>
      <c r="J144" s="40"/>
      <c r="K144" s="40"/>
      <c r="L144" s="40"/>
      <c r="M144" s="39" t="str">
        <f t="shared" si="8"/>
        <v/>
      </c>
      <c r="N144" s="39" t="str">
        <f t="shared" si="9"/>
        <v/>
      </c>
    </row>
    <row r="145" spans="1:14" x14ac:dyDescent="0.25">
      <c r="A145" s="31"/>
      <c r="B145" s="20"/>
      <c r="C145" s="20"/>
      <c r="D145" s="20"/>
      <c r="E145" s="20"/>
      <c r="F145" s="40"/>
      <c r="G145" s="40"/>
      <c r="H145" s="40"/>
      <c r="I145" s="40"/>
      <c r="J145" s="40"/>
      <c r="K145" s="40"/>
      <c r="L145" s="40"/>
      <c r="M145" s="39" t="str">
        <f t="shared" si="8"/>
        <v/>
      </c>
      <c r="N145" s="39" t="str">
        <f t="shared" si="9"/>
        <v/>
      </c>
    </row>
    <row r="146" spans="1:14" x14ac:dyDescent="0.25">
      <c r="A146" s="31"/>
      <c r="B146" s="20"/>
      <c r="C146" s="20"/>
      <c r="D146" s="20"/>
      <c r="E146" s="20"/>
      <c r="F146" s="40"/>
      <c r="G146" s="40"/>
      <c r="H146" s="40"/>
      <c r="I146" s="40"/>
      <c r="J146" s="40"/>
      <c r="K146" s="40"/>
      <c r="L146" s="40"/>
      <c r="M146" s="39" t="str">
        <f t="shared" si="8"/>
        <v/>
      </c>
      <c r="N146" s="39" t="str">
        <f t="shared" si="9"/>
        <v/>
      </c>
    </row>
    <row r="147" spans="1:14" x14ac:dyDescent="0.25">
      <c r="A147" s="31"/>
      <c r="B147" s="20"/>
      <c r="C147" s="20"/>
      <c r="D147" s="20"/>
      <c r="E147" s="20"/>
      <c r="F147" s="40"/>
      <c r="G147" s="40"/>
      <c r="H147" s="40"/>
      <c r="I147" s="40"/>
      <c r="J147" s="40"/>
      <c r="K147" s="40"/>
      <c r="L147" s="40"/>
      <c r="M147" s="39" t="str">
        <f t="shared" si="8"/>
        <v/>
      </c>
      <c r="N147" s="39" t="str">
        <f t="shared" si="9"/>
        <v/>
      </c>
    </row>
    <row r="148" spans="1:14" x14ac:dyDescent="0.25">
      <c r="A148" s="31"/>
      <c r="B148" s="20"/>
      <c r="C148" s="20"/>
      <c r="D148" s="20"/>
      <c r="E148" s="20"/>
      <c r="F148" s="40"/>
      <c r="G148" s="40"/>
      <c r="H148" s="40"/>
      <c r="I148" s="40"/>
      <c r="J148" s="40"/>
      <c r="K148" s="40"/>
      <c r="L148" s="40"/>
      <c r="M148" s="39" t="str">
        <f t="shared" si="8"/>
        <v/>
      </c>
      <c r="N148" s="39" t="str">
        <f t="shared" si="9"/>
        <v/>
      </c>
    </row>
    <row r="149" spans="1:14" x14ac:dyDescent="0.25">
      <c r="A149" s="31"/>
      <c r="B149" s="20"/>
      <c r="C149" s="20"/>
      <c r="D149" s="20"/>
      <c r="E149" s="20"/>
      <c r="F149" s="40"/>
      <c r="G149" s="40"/>
      <c r="H149" s="40"/>
      <c r="I149" s="40"/>
      <c r="J149" s="40"/>
      <c r="K149" s="40"/>
      <c r="L149" s="40"/>
      <c r="M149" s="39" t="str">
        <f t="shared" si="8"/>
        <v/>
      </c>
      <c r="N149" s="39" t="str">
        <f t="shared" si="9"/>
        <v/>
      </c>
    </row>
    <row r="150" spans="1:14" x14ac:dyDescent="0.25">
      <c r="A150" s="31"/>
      <c r="B150" s="20"/>
      <c r="C150" s="20"/>
      <c r="D150" s="20"/>
      <c r="E150" s="20"/>
      <c r="F150" s="40"/>
      <c r="G150" s="40"/>
      <c r="H150" s="40"/>
      <c r="I150" s="40"/>
      <c r="J150" s="40"/>
      <c r="K150" s="40"/>
      <c r="L150" s="40"/>
      <c r="M150" s="39" t="str">
        <f t="shared" si="8"/>
        <v/>
      </c>
      <c r="N150" s="39" t="str">
        <f t="shared" si="9"/>
        <v/>
      </c>
    </row>
    <row r="151" spans="1:14" x14ac:dyDescent="0.25">
      <c r="A151" s="31"/>
      <c r="B151" s="20"/>
      <c r="C151" s="20"/>
      <c r="D151" s="20"/>
      <c r="E151" s="20"/>
      <c r="F151" s="40"/>
      <c r="G151" s="40"/>
      <c r="H151" s="40"/>
      <c r="I151" s="40"/>
      <c r="J151" s="40"/>
      <c r="K151" s="40"/>
      <c r="L151" s="40"/>
      <c r="M151" s="39" t="str">
        <f t="shared" si="8"/>
        <v/>
      </c>
      <c r="N151" s="39" t="str">
        <f t="shared" si="9"/>
        <v/>
      </c>
    </row>
    <row r="152" spans="1:14" x14ac:dyDescent="0.25">
      <c r="A152" s="31"/>
      <c r="B152" s="20"/>
      <c r="C152" s="20"/>
      <c r="D152" s="20"/>
      <c r="E152" s="20"/>
      <c r="F152" s="40"/>
      <c r="G152" s="40"/>
      <c r="H152" s="40"/>
      <c r="I152" s="40"/>
      <c r="J152" s="40"/>
      <c r="K152" s="40"/>
      <c r="L152" s="40"/>
      <c r="M152" s="39" t="str">
        <f t="shared" si="8"/>
        <v/>
      </c>
      <c r="N152" s="39" t="str">
        <f t="shared" si="9"/>
        <v/>
      </c>
    </row>
    <row r="153" spans="1:14" x14ac:dyDescent="0.25">
      <c r="A153" s="31"/>
      <c r="B153" s="20"/>
      <c r="C153" s="20"/>
      <c r="D153" s="20"/>
      <c r="E153" s="20"/>
      <c r="F153" s="40"/>
      <c r="G153" s="40"/>
      <c r="H153" s="40"/>
      <c r="I153" s="40"/>
      <c r="J153" s="40"/>
      <c r="K153" s="40"/>
      <c r="L153" s="40"/>
      <c r="M153" s="39" t="str">
        <f t="shared" si="8"/>
        <v/>
      </c>
      <c r="N153" s="39" t="str">
        <f t="shared" si="9"/>
        <v/>
      </c>
    </row>
    <row r="154" spans="1:14" x14ac:dyDescent="0.25">
      <c r="A154" s="31"/>
      <c r="B154" s="20"/>
      <c r="C154" s="20"/>
      <c r="D154" s="20"/>
      <c r="E154" s="20"/>
      <c r="F154" s="40"/>
      <c r="G154" s="40"/>
      <c r="H154" s="40"/>
      <c r="I154" s="40"/>
      <c r="J154" s="40"/>
      <c r="K154" s="40"/>
      <c r="L154" s="40"/>
      <c r="M154" s="39" t="str">
        <f t="shared" si="8"/>
        <v/>
      </c>
      <c r="N154" s="39" t="str">
        <f t="shared" si="9"/>
        <v/>
      </c>
    </row>
    <row r="155" spans="1:14" x14ac:dyDescent="0.25">
      <c r="A155" s="31"/>
      <c r="B155" s="20"/>
      <c r="C155" s="20"/>
      <c r="D155" s="20"/>
      <c r="E155" s="20"/>
      <c r="F155" s="40"/>
      <c r="G155" s="40"/>
      <c r="H155" s="40"/>
      <c r="I155" s="40"/>
      <c r="J155" s="40"/>
      <c r="K155" s="40"/>
      <c r="L155" s="40"/>
      <c r="M155" s="39" t="str">
        <f t="shared" si="8"/>
        <v/>
      </c>
      <c r="N155" s="39" t="str">
        <f t="shared" si="9"/>
        <v/>
      </c>
    </row>
  </sheetData>
  <mergeCells count="7">
    <mergeCell ref="Q25:T25"/>
    <mergeCell ref="Q26:T26"/>
    <mergeCell ref="Q20:T20"/>
    <mergeCell ref="Q21:T21"/>
    <mergeCell ref="Q22:T22"/>
    <mergeCell ref="Q23:T23"/>
    <mergeCell ref="Q24:T24"/>
  </mergeCells>
  <conditionalFormatting sqref="M6:M155">
    <cfRule type="dataBar" priority="2">
      <dataBar>
        <cfvo type="num" val="0"/>
        <cfvo type="max"/>
        <color rgb="FF7FB8A4"/>
      </dataBar>
      <extLst>
        <ext xmlns:x14="http://schemas.microsoft.com/office/spreadsheetml/2009/9/main" uri="{B025F937-C7B1-47D3-B67F-A62EFF666E3E}">
          <x14:id>{446BD898-1ACC-49B2-873D-C5D4E8646FAA}</x14:id>
        </ext>
      </extLst>
    </cfRule>
  </conditionalFormatting>
  <conditionalFormatting sqref="S6:S10">
    <cfRule type="dataBar" priority="3">
      <dataBar>
        <cfvo type="num" val="0"/>
        <cfvo type="max"/>
        <color rgb="FFE2A524"/>
      </dataBar>
      <extLst>
        <ext xmlns:x14="http://schemas.microsoft.com/office/spreadsheetml/2009/9/main" uri="{B025F937-C7B1-47D3-B67F-A62EFF666E3E}">
          <x14:id>{70B7FAD5-1753-442B-B358-92F08557F22A}</x14:id>
        </ext>
      </extLst>
    </cfRule>
  </conditionalFormatting>
  <conditionalFormatting sqref="S13:S17">
    <cfRule type="dataBar" priority="4">
      <dataBar>
        <cfvo type="num" val="0"/>
        <cfvo type="max"/>
        <color rgb="FFE2A524"/>
      </dataBar>
      <extLst>
        <ext xmlns:x14="http://schemas.microsoft.com/office/spreadsheetml/2009/9/main" uri="{B025F937-C7B1-47D3-B67F-A62EFF666E3E}">
          <x14:id>{1E40B5A6-E6B5-4977-90AF-EFD29E1B2CDF}</x14:id>
        </ext>
      </extLst>
    </cfRule>
  </conditionalFormatting>
  <pageMargins left="0.75" right="0.75" top="1" bottom="1" header="0.511811023622047" footer="0.511811023622047"/>
  <pageSetup fitToHeight="0" orientation="landscape" horizontalDpi="300" verticalDpi="300"/>
  <extLst>
    <ext xmlns:x14="http://schemas.microsoft.com/office/spreadsheetml/2009/9/main" uri="{78C0D931-6437-407d-A8EE-F0AAD7539E65}">
      <x14:conditionalFormattings>
        <x14:conditionalFormatting xmlns:xm="http://schemas.microsoft.com/office/excel/2006/main">
          <x14:cfRule type="dataBar" id="{446BD898-1ACC-49B2-873D-C5D4E8646FAA}">
            <x14:dataBar axisPosition="none">
              <x14:cfvo type="num">
                <xm:f>0</xm:f>
              </x14:cfvo>
              <x14:cfvo type="max"/>
              <x14:negativeFillColor rgb="FF7FB8A4"/>
            </x14:dataBar>
          </x14:cfRule>
          <xm:sqref>M6:M155</xm:sqref>
        </x14:conditionalFormatting>
        <x14:conditionalFormatting xmlns:xm="http://schemas.microsoft.com/office/excel/2006/main">
          <x14:cfRule type="dataBar" id="{70B7FAD5-1753-442B-B358-92F08557F22A}">
            <x14:dataBar axisPosition="none">
              <x14:cfvo type="num">
                <xm:f>0</xm:f>
              </x14:cfvo>
              <x14:cfvo type="max"/>
              <x14:negativeFillColor rgb="FFE2A524"/>
            </x14:dataBar>
          </x14:cfRule>
          <xm:sqref>S6:S10</xm:sqref>
        </x14:conditionalFormatting>
        <x14:conditionalFormatting xmlns:xm="http://schemas.microsoft.com/office/excel/2006/main">
          <x14:cfRule type="dataBar" id="{1E40B5A6-E6B5-4977-90AF-EFD29E1B2CDF}">
            <x14:dataBar axisPosition="none">
              <x14:cfvo type="num">
                <xm:f>0</xm:f>
              </x14:cfvo>
              <x14:cfvo type="max"/>
              <x14:negativeFillColor rgb="FFE2A524"/>
            </x14:dataBar>
          </x14:cfRule>
          <xm:sqref>S13:S17</xm:sqref>
        </x14:conditionalFormatting>
      </x14:conditionalFormattings>
    </ext>
    <ext xmlns:x14="http://schemas.microsoft.com/office/spreadsheetml/2009/9/main" uri="{CCE6A557-97BC-4b89-ADB6-D9C93CAAB3DF}">
      <x14:dataValidations xmlns:xm="http://schemas.microsoft.com/office/excel/2006/main" count="3">
        <x14:dataValidation type="list" allowBlank="1" xr:uid="{00000000-0002-0000-0600-000000000000}">
          <x14:formula1>
            <xm:f>Charte!$C$25:$C$29</xm:f>
          </x14:formula1>
          <x14:formula2>
            <xm:f>0</xm:f>
          </x14:formula2>
          <xm:sqref>B6:B155</xm:sqref>
        </x14:dataValidation>
        <x14:dataValidation type="list" allowBlank="1" xr:uid="{00000000-0002-0000-0600-000001000000}">
          <x14:formula1>
            <xm:f>Charte!$B$25:$B$29</xm:f>
          </x14:formula1>
          <x14:formula2>
            <xm:f>0</xm:f>
          </x14:formula2>
          <xm:sqref>C6:C155</xm:sqref>
        </x14:dataValidation>
        <x14:dataValidation type="list" allowBlank="1" xr:uid="{00000000-0002-0000-0600-000002000000}">
          <x14:formula1>
            <xm:f>Charte!$D$25:$D$32</xm:f>
          </x14:formula1>
          <x14:formula2>
            <xm:f>0</xm:f>
          </x14:formula2>
          <xm:sqref>D6:D155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9792B"/>
    <pageSetUpPr fitToPage="1"/>
  </sheetPr>
  <dimension ref="A1:F25"/>
  <sheetViews>
    <sheetView showGridLines="0" zoomScaleNormal="100" workbookViewId="0">
      <selection activeCell="B17" sqref="B17"/>
    </sheetView>
  </sheetViews>
  <sheetFormatPr baseColWidth="10" defaultColWidth="8.7109375" defaultRowHeight="15" x14ac:dyDescent="0.25"/>
  <cols>
    <col min="1" max="1" width="8" customWidth="1"/>
    <col min="2" max="2" width="70" customWidth="1"/>
    <col min="3" max="4" width="14" customWidth="1"/>
    <col min="5" max="5" width="12" customWidth="1"/>
    <col min="6" max="6" width="34" customWidth="1"/>
  </cols>
  <sheetData>
    <row r="1" spans="1:6" ht="20.25" x14ac:dyDescent="0.3">
      <c r="A1" s="17" t="s">
        <v>234</v>
      </c>
    </row>
    <row r="2" spans="1:6" x14ac:dyDescent="0.25">
      <c r="A2" s="18" t="s">
        <v>235</v>
      </c>
    </row>
    <row r="3" spans="1:6" x14ac:dyDescent="0.25">
      <c r="A3" s="19" t="s">
        <v>44</v>
      </c>
    </row>
    <row r="4" spans="1:6" x14ac:dyDescent="0.25">
      <c r="B4" s="41" t="s">
        <v>236</v>
      </c>
      <c r="C4" s="31"/>
    </row>
    <row r="6" spans="1:6" ht="30" customHeight="1" x14ac:dyDescent="0.25">
      <c r="A6" s="7" t="s">
        <v>120</v>
      </c>
      <c r="B6" s="7" t="s">
        <v>237</v>
      </c>
      <c r="C6" s="7" t="s">
        <v>138</v>
      </c>
      <c r="D6" s="7" t="s">
        <v>101</v>
      </c>
      <c r="E6" s="7" t="s">
        <v>238</v>
      </c>
      <c r="F6" s="7" t="s">
        <v>239</v>
      </c>
    </row>
    <row r="7" spans="1:6" ht="21.75" customHeight="1" x14ac:dyDescent="0.25">
      <c r="A7" s="8">
        <v>1</v>
      </c>
      <c r="B7" s="9" t="s">
        <v>240</v>
      </c>
      <c r="C7" s="9" t="s">
        <v>142</v>
      </c>
      <c r="D7" s="42" t="str">
        <f>IF($C$4="","",$C$4+0)</f>
        <v/>
      </c>
      <c r="E7" s="20" t="s">
        <v>130</v>
      </c>
      <c r="F7" s="20"/>
    </row>
    <row r="8" spans="1:6" ht="21.75" customHeight="1" x14ac:dyDescent="0.25">
      <c r="A8" s="8">
        <v>2</v>
      </c>
      <c r="B8" s="9" t="s">
        <v>241</v>
      </c>
      <c r="C8" s="9" t="s">
        <v>142</v>
      </c>
      <c r="D8" s="42" t="str">
        <f>IF($C$4="","",$C$4+1)</f>
        <v/>
      </c>
      <c r="E8" s="20" t="s">
        <v>130</v>
      </c>
      <c r="F8" s="20"/>
    </row>
    <row r="9" spans="1:6" ht="21.75" customHeight="1" x14ac:dyDescent="0.25">
      <c r="A9" s="8">
        <v>3</v>
      </c>
      <c r="B9" s="9" t="s">
        <v>242</v>
      </c>
      <c r="C9" s="9" t="s">
        <v>171</v>
      </c>
      <c r="D9" s="42" t="str">
        <f>IF($C$4="","",$C$4+2)</f>
        <v/>
      </c>
      <c r="E9" s="20" t="s">
        <v>130</v>
      </c>
      <c r="F9" s="20"/>
    </row>
    <row r="10" spans="1:6" ht="21.75" customHeight="1" x14ac:dyDescent="0.25">
      <c r="A10" s="8">
        <v>4</v>
      </c>
      <c r="B10" s="9" t="s">
        <v>243</v>
      </c>
      <c r="C10" s="9" t="s">
        <v>142</v>
      </c>
      <c r="D10" s="42" t="str">
        <f>IF($C$4="","",$C$4+3)</f>
        <v/>
      </c>
      <c r="E10" s="20" t="s">
        <v>130</v>
      </c>
      <c r="F10" s="20"/>
    </row>
    <row r="11" spans="1:6" ht="21.75" customHeight="1" x14ac:dyDescent="0.25">
      <c r="A11" s="8">
        <v>5</v>
      </c>
      <c r="B11" s="9" t="s">
        <v>244</v>
      </c>
      <c r="C11" s="9" t="s">
        <v>146</v>
      </c>
      <c r="D11" s="42" t="str">
        <f>IF($C$4="","",$C$4+4)</f>
        <v/>
      </c>
      <c r="E11" s="20" t="s">
        <v>130</v>
      </c>
      <c r="F11" s="20"/>
    </row>
    <row r="12" spans="1:6" ht="21.75" customHeight="1" x14ac:dyDescent="0.25">
      <c r="A12" s="8">
        <v>6</v>
      </c>
      <c r="B12" s="9" t="s">
        <v>245</v>
      </c>
      <c r="C12" s="9" t="s">
        <v>146</v>
      </c>
      <c r="D12" s="42" t="str">
        <f>IF($C$4="","",$C$4+5)</f>
        <v/>
      </c>
      <c r="E12" s="20" t="s">
        <v>130</v>
      </c>
      <c r="F12" s="20"/>
    </row>
    <row r="13" spans="1:6" ht="21.75" customHeight="1" x14ac:dyDescent="0.25">
      <c r="A13" s="8">
        <v>7</v>
      </c>
      <c r="B13" s="9" t="s">
        <v>246</v>
      </c>
      <c r="C13" s="9" t="s">
        <v>162</v>
      </c>
      <c r="D13" s="42" t="str">
        <f>IF($C$4="","",$C$4+6)</f>
        <v/>
      </c>
      <c r="E13" s="20" t="s">
        <v>130</v>
      </c>
      <c r="F13" s="20"/>
    </row>
    <row r="14" spans="1:6" ht="21.75" customHeight="1" x14ac:dyDescent="0.25">
      <c r="A14" s="8">
        <v>8</v>
      </c>
      <c r="B14" s="9" t="s">
        <v>247</v>
      </c>
      <c r="C14" s="9" t="s">
        <v>162</v>
      </c>
      <c r="D14" s="42" t="str">
        <f>IF($C$4="","",$C$4+7)</f>
        <v/>
      </c>
      <c r="E14" s="20" t="s">
        <v>130</v>
      </c>
      <c r="F14" s="20"/>
    </row>
    <row r="15" spans="1:6" ht="21.75" customHeight="1" x14ac:dyDescent="0.25">
      <c r="A15" s="8">
        <v>9</v>
      </c>
      <c r="B15" s="9" t="s">
        <v>248</v>
      </c>
      <c r="C15" s="9" t="s">
        <v>171</v>
      </c>
      <c r="D15" s="42" t="str">
        <f>IF($C$4="","",$C$4+8)</f>
        <v/>
      </c>
      <c r="E15" s="20" t="s">
        <v>130</v>
      </c>
      <c r="F15" s="20"/>
    </row>
    <row r="16" spans="1:6" ht="21.75" customHeight="1" x14ac:dyDescent="0.25">
      <c r="A16" s="8">
        <v>10</v>
      </c>
      <c r="B16" s="9" t="s">
        <v>249</v>
      </c>
      <c r="C16" s="9" t="s">
        <v>171</v>
      </c>
      <c r="D16" s="42" t="str">
        <f>IF($C$4="","",$C$4+9)</f>
        <v/>
      </c>
      <c r="E16" s="20" t="s">
        <v>130</v>
      </c>
      <c r="F16" s="20"/>
    </row>
    <row r="17" spans="1:6" ht="21.75" customHeight="1" x14ac:dyDescent="0.25">
      <c r="A17" s="8">
        <v>11</v>
      </c>
      <c r="B17" s="9" t="s">
        <v>250</v>
      </c>
      <c r="C17" s="9" t="s">
        <v>177</v>
      </c>
      <c r="D17" s="42" t="str">
        <f>IF($C$4="","",$C$4+10)</f>
        <v/>
      </c>
      <c r="E17" s="20" t="s">
        <v>130</v>
      </c>
      <c r="F17" s="20"/>
    </row>
    <row r="18" spans="1:6" ht="21.75" customHeight="1" x14ac:dyDescent="0.25">
      <c r="A18" s="8">
        <v>12</v>
      </c>
      <c r="B18" s="9" t="s">
        <v>251</v>
      </c>
      <c r="C18" s="9" t="s">
        <v>181</v>
      </c>
      <c r="D18" s="42" t="str">
        <f>IF($C$4="","",$C$4+11)</f>
        <v/>
      </c>
      <c r="E18" s="20" t="s">
        <v>130</v>
      </c>
      <c r="F18" s="20"/>
    </row>
    <row r="19" spans="1:6" ht="21.75" customHeight="1" x14ac:dyDescent="0.25">
      <c r="A19" s="8">
        <v>13</v>
      </c>
      <c r="B19" s="9" t="s">
        <v>252</v>
      </c>
      <c r="C19" s="9" t="s">
        <v>253</v>
      </c>
      <c r="D19" s="42" t="str">
        <f>IF($C$4="","",$C$4+12)</f>
        <v/>
      </c>
      <c r="E19" s="20" t="s">
        <v>130</v>
      </c>
      <c r="F19" s="20"/>
    </row>
    <row r="20" spans="1:6" ht="21.75" customHeight="1" x14ac:dyDescent="0.25">
      <c r="A20" s="8">
        <v>14</v>
      </c>
      <c r="B20" s="9" t="s">
        <v>254</v>
      </c>
      <c r="C20" s="9" t="s">
        <v>255</v>
      </c>
      <c r="D20" s="42" t="str">
        <f>IF($C$4="","",$C$4+13)</f>
        <v/>
      </c>
      <c r="E20" s="20" t="s">
        <v>130</v>
      </c>
      <c r="F20" s="20"/>
    </row>
    <row r="22" spans="1:6" x14ac:dyDescent="0.25">
      <c r="B22" s="22" t="s">
        <v>256</v>
      </c>
      <c r="C22" s="43">
        <f>COUNTIF(E7:E20,"Oui")/14</f>
        <v>0</v>
      </c>
    </row>
    <row r="23" spans="1:6" x14ac:dyDescent="0.25">
      <c r="B23" s="22" t="s">
        <v>27</v>
      </c>
      <c r="C23" s="3" t="str">
        <f>IFERROR(INDEX(B7:B20,MATCH("Non",E7:E20,0)),"Système en place : bravo !")</f>
        <v>Écrire la charte éditoriale et rassembler 10 exemples de posts</v>
      </c>
      <c r="D23" s="3"/>
      <c r="E23" s="3"/>
      <c r="F23" s="3"/>
    </row>
    <row r="25" spans="1:6" x14ac:dyDescent="0.25">
      <c r="B25" s="27" t="s">
        <v>257</v>
      </c>
    </row>
  </sheetData>
  <mergeCells count="1">
    <mergeCell ref="C23:F23"/>
  </mergeCells>
  <conditionalFormatting sqref="A7:F20">
    <cfRule type="expression" dxfId="1" priority="2">
      <formula>$E7="Oui"</formula>
    </cfRule>
  </conditionalFormatting>
  <conditionalFormatting sqref="C22">
    <cfRule type="dataBar" priority="3">
      <dataBar>
        <cfvo type="num" val="0"/>
        <cfvo type="num" val="1"/>
        <color rgb="FF2E8B6E"/>
      </dataBar>
      <extLst>
        <ext xmlns:x14="http://schemas.microsoft.com/office/spreadsheetml/2009/9/main" uri="{B025F937-C7B1-47D3-B67F-A62EFF666E3E}">
          <x14:id>{62C8B3E0-E041-495C-A77C-6A5819FE8418}</x14:id>
        </ext>
      </extLst>
    </cfRule>
  </conditionalFormatting>
  <dataValidations count="1">
    <dataValidation type="list" allowBlank="1" sqref="E7:E20" xr:uid="{00000000-0002-0000-0700-000000000000}">
      <formula1>"Oui,Non"</formula1>
      <formula2>0</formula2>
    </dataValidation>
  </dataValidations>
  <pageMargins left="0.75" right="0.75" top="1" bottom="1" header="0.511811023622047" footer="0.511811023622047"/>
  <pageSetup fitToHeight="0" orientation="landscape" horizontalDpi="300" verticalDpi="300"/>
  <extLst>
    <ext xmlns:x14="http://schemas.microsoft.com/office/spreadsheetml/2009/9/main" uri="{78C0D931-6437-407d-A8EE-F0AAD7539E65}">
      <x14:conditionalFormattings>
        <x14:conditionalFormatting xmlns:xm="http://schemas.microsoft.com/office/excel/2006/main">
          <x14:cfRule type="dataBar" id="{62C8B3E0-E041-495C-A77C-6A5819FE8418}">
            <x14:dataBar axisPosition="none">
              <x14:cfvo type="num">
                <xm:f>0</xm:f>
              </x14:cfvo>
              <x14:cfvo type="num">
                <xm:f>1</xm:f>
              </x14:cfvo>
              <x14:negativeFillColor rgb="FF2E8B6E"/>
            </x14:dataBar>
          </x14:cfRule>
          <xm:sqref>C22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D9792B"/>
    <pageSetUpPr fitToPage="1"/>
  </sheetPr>
  <dimension ref="A1:F50"/>
  <sheetViews>
    <sheetView showGridLines="0" zoomScaleNormal="100" workbookViewId="0">
      <pane ySplit="5" topLeftCell="A6" activePane="bottomLeft" state="frozen"/>
      <selection pane="bottomLeft" activeCell="B26" sqref="B26"/>
    </sheetView>
  </sheetViews>
  <sheetFormatPr baseColWidth="10" defaultColWidth="8.7109375" defaultRowHeight="15" x14ac:dyDescent="0.25"/>
  <cols>
    <col min="1" max="1" width="26" customWidth="1"/>
    <col min="2" max="2" width="66" customWidth="1"/>
    <col min="3" max="3" width="10" customWidth="1"/>
    <col min="5" max="5" width="26" customWidth="1"/>
    <col min="6" max="6" width="12" customWidth="1"/>
  </cols>
  <sheetData>
    <row r="1" spans="1:6" ht="20.25" x14ac:dyDescent="0.3">
      <c r="A1" s="17" t="s">
        <v>258</v>
      </c>
    </row>
    <row r="2" spans="1:6" x14ac:dyDescent="0.25">
      <c r="A2" s="18" t="s">
        <v>259</v>
      </c>
    </row>
    <row r="3" spans="1:6" x14ac:dyDescent="0.25">
      <c r="A3" s="19" t="s">
        <v>44</v>
      </c>
    </row>
    <row r="5" spans="1:6" ht="30" customHeight="1" x14ac:dyDescent="0.25">
      <c r="A5" s="7" t="s">
        <v>260</v>
      </c>
      <c r="B5" s="7" t="s">
        <v>261</v>
      </c>
      <c r="C5" s="7" t="s">
        <v>238</v>
      </c>
      <c r="E5" s="7" t="s">
        <v>262</v>
      </c>
      <c r="F5" s="7" t="s">
        <v>263</v>
      </c>
    </row>
    <row r="6" spans="1:6" x14ac:dyDescent="0.25">
      <c r="A6" s="8" t="s">
        <v>264</v>
      </c>
      <c r="B6" s="9" t="s">
        <v>265</v>
      </c>
      <c r="C6" s="20" t="s">
        <v>130</v>
      </c>
      <c r="E6" s="22" t="s">
        <v>264</v>
      </c>
      <c r="F6" s="43">
        <f>COUNTIF(C6:C11,"Oui")/6</f>
        <v>0</v>
      </c>
    </row>
    <row r="7" spans="1:6" x14ac:dyDescent="0.25">
      <c r="A7" s="8" t="s">
        <v>264</v>
      </c>
      <c r="B7" s="9" t="s">
        <v>266</v>
      </c>
      <c r="C7" s="20" t="s">
        <v>130</v>
      </c>
      <c r="E7" s="22" t="s">
        <v>267</v>
      </c>
      <c r="F7" s="43">
        <f>COUNTIF(C12:C17,"Oui")/6</f>
        <v>0</v>
      </c>
    </row>
    <row r="8" spans="1:6" x14ac:dyDescent="0.25">
      <c r="A8" s="8" t="s">
        <v>264</v>
      </c>
      <c r="B8" s="9" t="s">
        <v>268</v>
      </c>
      <c r="C8" s="20" t="s">
        <v>130</v>
      </c>
      <c r="E8" s="22" t="s">
        <v>269</v>
      </c>
      <c r="F8" s="43">
        <f>COUNTIF(C18:C23,"Oui")/6</f>
        <v>0</v>
      </c>
    </row>
    <row r="9" spans="1:6" x14ac:dyDescent="0.25">
      <c r="A9" s="8" t="s">
        <v>264</v>
      </c>
      <c r="B9" s="9" t="s">
        <v>270</v>
      </c>
      <c r="C9" s="20" t="s">
        <v>130</v>
      </c>
      <c r="E9" s="22" t="s">
        <v>271</v>
      </c>
      <c r="F9" s="43">
        <f>COUNTIF(C24:C29,"Oui")/6</f>
        <v>0</v>
      </c>
    </row>
    <row r="10" spans="1:6" x14ac:dyDescent="0.25">
      <c r="A10" s="8" t="s">
        <v>264</v>
      </c>
      <c r="B10" s="9" t="s">
        <v>272</v>
      </c>
      <c r="C10" s="20" t="s">
        <v>130</v>
      </c>
      <c r="E10" s="22" t="s">
        <v>273</v>
      </c>
      <c r="F10" s="43">
        <f>COUNTIF(C30:C35,"Oui")/6</f>
        <v>0</v>
      </c>
    </row>
    <row r="11" spans="1:6" x14ac:dyDescent="0.25">
      <c r="A11" s="8" t="s">
        <v>264</v>
      </c>
      <c r="B11" s="9" t="s">
        <v>274</v>
      </c>
      <c r="C11" s="20" t="s">
        <v>130</v>
      </c>
      <c r="E11" s="22" t="s">
        <v>275</v>
      </c>
      <c r="F11" s="43">
        <f>COUNTIF(C36:C41,"Oui")/6</f>
        <v>0</v>
      </c>
    </row>
    <row r="12" spans="1:6" x14ac:dyDescent="0.25">
      <c r="A12" s="8" t="s">
        <v>267</v>
      </c>
      <c r="B12" s="9" t="s">
        <v>276</v>
      </c>
      <c r="C12" s="20" t="s">
        <v>130</v>
      </c>
      <c r="E12" s="22" t="s">
        <v>28</v>
      </c>
      <c r="F12" s="43">
        <f>COUNTIF(C42:C50,"Oui")/9</f>
        <v>0</v>
      </c>
    </row>
    <row r="13" spans="1:6" x14ac:dyDescent="0.25">
      <c r="A13" s="8" t="s">
        <v>267</v>
      </c>
      <c r="B13" s="9" t="s">
        <v>277</v>
      </c>
      <c r="C13" s="20" t="s">
        <v>130</v>
      </c>
    </row>
    <row r="14" spans="1:6" x14ac:dyDescent="0.25">
      <c r="A14" s="8" t="s">
        <v>267</v>
      </c>
      <c r="B14" s="9" t="s">
        <v>278</v>
      </c>
      <c r="C14" s="20" t="s">
        <v>130</v>
      </c>
    </row>
    <row r="15" spans="1:6" x14ac:dyDescent="0.25">
      <c r="A15" s="8" t="s">
        <v>267</v>
      </c>
      <c r="B15" s="9" t="s">
        <v>279</v>
      </c>
      <c r="C15" s="20" t="s">
        <v>130</v>
      </c>
    </row>
    <row r="16" spans="1:6" x14ac:dyDescent="0.25">
      <c r="A16" s="8" t="s">
        <v>267</v>
      </c>
      <c r="B16" s="9" t="s">
        <v>280</v>
      </c>
      <c r="C16" s="20" t="s">
        <v>130</v>
      </c>
    </row>
    <row r="17" spans="1:3" x14ac:dyDescent="0.25">
      <c r="A17" s="8" t="s">
        <v>267</v>
      </c>
      <c r="B17" s="9" t="s">
        <v>281</v>
      </c>
      <c r="C17" s="20" t="s">
        <v>130</v>
      </c>
    </row>
    <row r="18" spans="1:3" x14ac:dyDescent="0.25">
      <c r="A18" s="8" t="s">
        <v>269</v>
      </c>
      <c r="B18" s="9" t="s">
        <v>282</v>
      </c>
      <c r="C18" s="20" t="s">
        <v>130</v>
      </c>
    </row>
    <row r="19" spans="1:3" x14ac:dyDescent="0.25">
      <c r="A19" s="8" t="s">
        <v>269</v>
      </c>
      <c r="B19" s="9" t="s">
        <v>283</v>
      </c>
      <c r="C19" s="20" t="s">
        <v>130</v>
      </c>
    </row>
    <row r="20" spans="1:3" x14ac:dyDescent="0.25">
      <c r="A20" s="8" t="s">
        <v>269</v>
      </c>
      <c r="B20" s="9" t="s">
        <v>284</v>
      </c>
      <c r="C20" s="20" t="s">
        <v>130</v>
      </c>
    </row>
    <row r="21" spans="1:3" x14ac:dyDescent="0.25">
      <c r="A21" s="8" t="s">
        <v>269</v>
      </c>
      <c r="B21" s="9" t="s">
        <v>285</v>
      </c>
      <c r="C21" s="20" t="s">
        <v>130</v>
      </c>
    </row>
    <row r="22" spans="1:3" x14ac:dyDescent="0.25">
      <c r="A22" s="8" t="s">
        <v>269</v>
      </c>
      <c r="B22" s="9" t="s">
        <v>286</v>
      </c>
      <c r="C22" s="20" t="s">
        <v>130</v>
      </c>
    </row>
    <row r="23" spans="1:3" x14ac:dyDescent="0.25">
      <c r="A23" s="8" t="s">
        <v>269</v>
      </c>
      <c r="B23" s="9" t="s">
        <v>287</v>
      </c>
      <c r="C23" s="20" t="s">
        <v>130</v>
      </c>
    </row>
    <row r="24" spans="1:3" x14ac:dyDescent="0.25">
      <c r="A24" s="8" t="s">
        <v>271</v>
      </c>
      <c r="B24" s="9" t="s">
        <v>288</v>
      </c>
      <c r="C24" s="20" t="s">
        <v>130</v>
      </c>
    </row>
    <row r="25" spans="1:3" x14ac:dyDescent="0.25">
      <c r="A25" s="8" t="s">
        <v>271</v>
      </c>
      <c r="B25" s="9" t="s">
        <v>289</v>
      </c>
      <c r="C25" s="20" t="s">
        <v>130</v>
      </c>
    </row>
    <row r="26" spans="1:3" x14ac:dyDescent="0.25">
      <c r="A26" s="8" t="s">
        <v>271</v>
      </c>
      <c r="B26" s="9" t="s">
        <v>290</v>
      </c>
      <c r="C26" s="20" t="s">
        <v>130</v>
      </c>
    </row>
    <row r="27" spans="1:3" x14ac:dyDescent="0.25">
      <c r="A27" s="8" t="s">
        <v>271</v>
      </c>
      <c r="B27" s="9" t="s">
        <v>291</v>
      </c>
      <c r="C27" s="20" t="s">
        <v>130</v>
      </c>
    </row>
    <row r="28" spans="1:3" x14ac:dyDescent="0.25">
      <c r="A28" s="8" t="s">
        <v>271</v>
      </c>
      <c r="B28" s="9" t="s">
        <v>292</v>
      </c>
      <c r="C28" s="20" t="s">
        <v>130</v>
      </c>
    </row>
    <row r="29" spans="1:3" x14ac:dyDescent="0.25">
      <c r="A29" s="8" t="s">
        <v>271</v>
      </c>
      <c r="B29" s="9" t="s">
        <v>293</v>
      </c>
      <c r="C29" s="20" t="s">
        <v>130</v>
      </c>
    </row>
    <row r="30" spans="1:3" x14ac:dyDescent="0.25">
      <c r="A30" s="8" t="s">
        <v>273</v>
      </c>
      <c r="B30" s="9" t="s">
        <v>294</v>
      </c>
      <c r="C30" s="20" t="s">
        <v>130</v>
      </c>
    </row>
    <row r="31" spans="1:3" x14ac:dyDescent="0.25">
      <c r="A31" s="8" t="s">
        <v>273</v>
      </c>
      <c r="B31" s="9" t="s">
        <v>295</v>
      </c>
      <c r="C31" s="20" t="s">
        <v>130</v>
      </c>
    </row>
    <row r="32" spans="1:3" x14ac:dyDescent="0.25">
      <c r="A32" s="8" t="s">
        <v>273</v>
      </c>
      <c r="B32" s="9" t="s">
        <v>296</v>
      </c>
      <c r="C32" s="20" t="s">
        <v>130</v>
      </c>
    </row>
    <row r="33" spans="1:3" x14ac:dyDescent="0.25">
      <c r="A33" s="8" t="s">
        <v>273</v>
      </c>
      <c r="B33" s="9" t="s">
        <v>297</v>
      </c>
      <c r="C33" s="20" t="s">
        <v>130</v>
      </c>
    </row>
    <row r="34" spans="1:3" x14ac:dyDescent="0.25">
      <c r="A34" s="8" t="s">
        <v>273</v>
      </c>
      <c r="B34" s="9" t="s">
        <v>298</v>
      </c>
      <c r="C34" s="20" t="s">
        <v>130</v>
      </c>
    </row>
    <row r="35" spans="1:3" x14ac:dyDescent="0.25">
      <c r="A35" s="8" t="s">
        <v>273</v>
      </c>
      <c r="B35" s="9" t="s">
        <v>299</v>
      </c>
      <c r="C35" s="20" t="s">
        <v>130</v>
      </c>
    </row>
    <row r="36" spans="1:3" x14ac:dyDescent="0.25">
      <c r="A36" s="8" t="s">
        <v>275</v>
      </c>
      <c r="B36" s="9" t="s">
        <v>300</v>
      </c>
      <c r="C36" s="20" t="s">
        <v>130</v>
      </c>
    </row>
    <row r="37" spans="1:3" x14ac:dyDescent="0.25">
      <c r="A37" s="8" t="s">
        <v>275</v>
      </c>
      <c r="B37" s="9" t="s">
        <v>301</v>
      </c>
      <c r="C37" s="20" t="s">
        <v>130</v>
      </c>
    </row>
    <row r="38" spans="1:3" x14ac:dyDescent="0.25">
      <c r="A38" s="8" t="s">
        <v>275</v>
      </c>
      <c r="B38" s="9" t="s">
        <v>302</v>
      </c>
      <c r="C38" s="20" t="s">
        <v>130</v>
      </c>
    </row>
    <row r="39" spans="1:3" x14ac:dyDescent="0.25">
      <c r="A39" s="8" t="s">
        <v>275</v>
      </c>
      <c r="B39" s="9" t="s">
        <v>303</v>
      </c>
      <c r="C39" s="20" t="s">
        <v>130</v>
      </c>
    </row>
    <row r="40" spans="1:3" x14ac:dyDescent="0.25">
      <c r="A40" s="8" t="s">
        <v>275</v>
      </c>
      <c r="B40" s="9" t="s">
        <v>304</v>
      </c>
      <c r="C40" s="20" t="s">
        <v>130</v>
      </c>
    </row>
    <row r="41" spans="1:3" x14ac:dyDescent="0.25">
      <c r="A41" s="8" t="s">
        <v>275</v>
      </c>
      <c r="B41" s="9" t="s">
        <v>305</v>
      </c>
      <c r="C41" s="20" t="s">
        <v>130</v>
      </c>
    </row>
    <row r="42" spans="1:3" x14ac:dyDescent="0.25">
      <c r="A42" s="8" t="s">
        <v>28</v>
      </c>
      <c r="B42" s="9" t="s">
        <v>306</v>
      </c>
      <c r="C42" s="20" t="s">
        <v>130</v>
      </c>
    </row>
    <row r="43" spans="1:3" x14ac:dyDescent="0.25">
      <c r="A43" s="8" t="s">
        <v>28</v>
      </c>
      <c r="B43" s="9" t="s">
        <v>307</v>
      </c>
      <c r="C43" s="20" t="s">
        <v>130</v>
      </c>
    </row>
    <row r="44" spans="1:3" x14ac:dyDescent="0.25">
      <c r="A44" s="8" t="s">
        <v>28</v>
      </c>
      <c r="B44" s="9" t="s">
        <v>308</v>
      </c>
      <c r="C44" s="20" t="s">
        <v>130</v>
      </c>
    </row>
    <row r="45" spans="1:3" x14ac:dyDescent="0.25">
      <c r="A45" s="8" t="s">
        <v>28</v>
      </c>
      <c r="B45" s="9" t="s">
        <v>309</v>
      </c>
      <c r="C45" s="20" t="s">
        <v>130</v>
      </c>
    </row>
    <row r="46" spans="1:3" x14ac:dyDescent="0.25">
      <c r="A46" s="8" t="s">
        <v>28</v>
      </c>
      <c r="B46" s="9" t="s">
        <v>310</v>
      </c>
      <c r="C46" s="20" t="s">
        <v>130</v>
      </c>
    </row>
    <row r="47" spans="1:3" x14ac:dyDescent="0.25">
      <c r="A47" s="8" t="s">
        <v>28</v>
      </c>
      <c r="B47" s="9" t="s">
        <v>311</v>
      </c>
      <c r="C47" s="20" t="s">
        <v>130</v>
      </c>
    </row>
    <row r="48" spans="1:3" x14ac:dyDescent="0.25">
      <c r="A48" s="8" t="s">
        <v>28</v>
      </c>
      <c r="B48" s="9" t="s">
        <v>312</v>
      </c>
      <c r="C48" s="20" t="s">
        <v>130</v>
      </c>
    </row>
    <row r="49" spans="1:3" x14ac:dyDescent="0.25">
      <c r="A49" s="8" t="s">
        <v>28</v>
      </c>
      <c r="B49" s="9" t="s">
        <v>313</v>
      </c>
      <c r="C49" s="20" t="s">
        <v>130</v>
      </c>
    </row>
    <row r="50" spans="1:3" x14ac:dyDescent="0.25">
      <c r="A50" s="8" t="s">
        <v>28</v>
      </c>
      <c r="B50" s="9" t="s">
        <v>314</v>
      </c>
      <c r="C50" s="20" t="s">
        <v>130</v>
      </c>
    </row>
  </sheetData>
  <conditionalFormatting sqref="A6:C50">
    <cfRule type="expression" dxfId="0" priority="2">
      <formula>$C6="Oui"</formula>
    </cfRule>
  </conditionalFormatting>
  <conditionalFormatting sqref="F6:F12">
    <cfRule type="dataBar" priority="3">
      <dataBar>
        <cfvo type="num" val="0"/>
        <cfvo type="num" val="1"/>
        <color rgb="FF2E8B6E"/>
      </dataBar>
      <extLst>
        <ext xmlns:x14="http://schemas.microsoft.com/office/spreadsheetml/2009/9/main" uri="{B025F937-C7B1-47D3-B67F-A62EFF666E3E}">
          <x14:id>{ABFB84A3-A780-49B7-9346-3D5A74DD956E}</x14:id>
        </ext>
      </extLst>
    </cfRule>
  </conditionalFormatting>
  <dataValidations count="1">
    <dataValidation type="list" allowBlank="1" sqref="C6:C50" xr:uid="{00000000-0002-0000-0800-000000000000}">
      <formula1>"Oui,Non"</formula1>
      <formula2>0</formula2>
    </dataValidation>
  </dataValidations>
  <pageMargins left="0.75" right="0.75" top="1" bottom="1" header="0.511811023622047" footer="0.511811023622047"/>
  <pageSetup fitToHeight="0" orientation="landscape" horizontalDpi="300" verticalDpi="300"/>
  <extLst>
    <ext xmlns:x14="http://schemas.microsoft.com/office/spreadsheetml/2009/9/main" uri="{78C0D931-6437-407d-A8EE-F0AAD7539E65}">
      <x14:conditionalFormattings>
        <x14:conditionalFormatting xmlns:xm="http://schemas.microsoft.com/office/excel/2006/main">
          <x14:cfRule type="dataBar" id="{ABFB84A3-A780-49B7-9346-3D5A74DD956E}">
            <x14:dataBar axisPosition="none">
              <x14:cfvo type="num">
                <xm:f>0</xm:f>
              </x14:cfvo>
              <x14:cfvo type="num">
                <xm:f>1</xm:f>
              </x14:cfvo>
              <x14:negativeFillColor rgb="FF2E8B6E"/>
            </x14:dataBar>
          </x14:cfRule>
          <xm:sqref>F6:F12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2453A"/>
    <pageSetUpPr fitToPage="1"/>
  </sheetPr>
  <dimension ref="A1:C22"/>
  <sheetViews>
    <sheetView showGridLines="0" topLeftCell="A13" zoomScaleNormal="100" workbookViewId="0">
      <selection activeCell="B11" sqref="B11"/>
    </sheetView>
  </sheetViews>
  <sheetFormatPr baseColWidth="10" defaultColWidth="8.7109375" defaultRowHeight="15" x14ac:dyDescent="0.25"/>
  <cols>
    <col min="1" max="1" width="6" customWidth="1"/>
    <col min="2" max="2" width="40" customWidth="1"/>
    <col min="3" max="3" width="70" customWidth="1"/>
  </cols>
  <sheetData>
    <row r="1" spans="1:3" ht="20.25" x14ac:dyDescent="0.3">
      <c r="A1" s="17" t="s">
        <v>315</v>
      </c>
    </row>
    <row r="2" spans="1:3" x14ac:dyDescent="0.25">
      <c r="A2" s="18" t="s">
        <v>316</v>
      </c>
    </row>
    <row r="5" spans="1:3" ht="30" customHeight="1" x14ac:dyDescent="0.25">
      <c r="A5" s="7" t="s">
        <v>45</v>
      </c>
      <c r="B5" s="7" t="s">
        <v>237</v>
      </c>
      <c r="C5" s="7" t="s">
        <v>317</v>
      </c>
    </row>
    <row r="6" spans="1:3" ht="45.75" customHeight="1" x14ac:dyDescent="0.25">
      <c r="A6" s="44">
        <v>1</v>
      </c>
      <c r="B6" s="8" t="s">
        <v>318</v>
      </c>
      <c r="C6" s="9" t="s">
        <v>319</v>
      </c>
    </row>
    <row r="7" spans="1:3" ht="45.75" customHeight="1" x14ac:dyDescent="0.25">
      <c r="A7" s="44">
        <v>2</v>
      </c>
      <c r="B7" s="8" t="s">
        <v>320</v>
      </c>
      <c r="C7" s="9" t="s">
        <v>321</v>
      </c>
    </row>
    <row r="8" spans="1:3" ht="45.75" customHeight="1" x14ac:dyDescent="0.25">
      <c r="A8" s="44">
        <v>3</v>
      </c>
      <c r="B8" s="8" t="s">
        <v>322</v>
      </c>
      <c r="C8" s="9" t="s">
        <v>323</v>
      </c>
    </row>
    <row r="9" spans="1:3" ht="45.75" customHeight="1" x14ac:dyDescent="0.25">
      <c r="A9" s="44">
        <v>4</v>
      </c>
      <c r="B9" s="8" t="s">
        <v>324</v>
      </c>
      <c r="C9" s="9" t="s">
        <v>325</v>
      </c>
    </row>
    <row r="10" spans="1:3" ht="45.75" customHeight="1" x14ac:dyDescent="0.25">
      <c r="A10" s="44">
        <v>5</v>
      </c>
      <c r="B10" s="8" t="s">
        <v>326</v>
      </c>
      <c r="C10" s="9" t="s">
        <v>327</v>
      </c>
    </row>
    <row r="11" spans="1:3" ht="45.75" customHeight="1" x14ac:dyDescent="0.25">
      <c r="A11" s="44">
        <v>6</v>
      </c>
      <c r="B11" s="8" t="s">
        <v>328</v>
      </c>
      <c r="C11" s="9" t="s">
        <v>329</v>
      </c>
    </row>
    <row r="12" spans="1:3" ht="45.75" customHeight="1" x14ac:dyDescent="0.25">
      <c r="A12" s="44">
        <v>7</v>
      </c>
      <c r="B12" s="8" t="s">
        <v>330</v>
      </c>
      <c r="C12" s="9" t="s">
        <v>331</v>
      </c>
    </row>
    <row r="14" spans="1:3" ht="15.75" x14ac:dyDescent="0.25">
      <c r="B14" s="26" t="s">
        <v>332</v>
      </c>
    </row>
    <row r="15" spans="1:3" ht="30" customHeight="1" x14ac:dyDescent="0.25">
      <c r="A15" s="7"/>
      <c r="B15" s="7" t="s">
        <v>333</v>
      </c>
      <c r="C15" s="7" t="s">
        <v>334</v>
      </c>
    </row>
    <row r="16" spans="1:3" ht="25.5" x14ac:dyDescent="0.25">
      <c r="A16" s="9"/>
      <c r="B16" s="9" t="s">
        <v>335</v>
      </c>
      <c r="C16" s="20"/>
    </row>
    <row r="17" spans="1:3" x14ac:dyDescent="0.25">
      <c r="A17" s="9"/>
      <c r="B17" s="9" t="s">
        <v>336</v>
      </c>
      <c r="C17" s="20"/>
    </row>
    <row r="18" spans="1:3" ht="25.5" x14ac:dyDescent="0.25">
      <c r="A18" s="9"/>
      <c r="B18" s="9" t="s">
        <v>337</v>
      </c>
      <c r="C18" s="20"/>
    </row>
    <row r="19" spans="1:3" x14ac:dyDescent="0.25">
      <c r="A19" s="9"/>
      <c r="B19" s="9" t="s">
        <v>338</v>
      </c>
      <c r="C19" s="20"/>
    </row>
    <row r="20" spans="1:3" x14ac:dyDescent="0.25">
      <c r="A20" s="9"/>
      <c r="B20" s="9" t="s">
        <v>339</v>
      </c>
      <c r="C20" s="20"/>
    </row>
    <row r="22" spans="1:3" x14ac:dyDescent="0.25">
      <c r="B22" s="45" t="s">
        <v>340</v>
      </c>
    </row>
  </sheetData>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Accueil</vt:lpstr>
      <vt:lpstr>Charte</vt:lpstr>
      <vt:lpstr>Banque idées</vt:lpstr>
      <vt:lpstr>Calendrier</vt:lpstr>
      <vt:lpstr>Prompts</vt:lpstr>
      <vt:lpstr>Meilleures heures</vt:lpstr>
      <vt:lpstr>Suivi stats</vt:lpstr>
      <vt:lpstr>Plan 14 jours</vt:lpstr>
      <vt:lpstr>Checklists</vt:lpstr>
      <vt:lpstr>Procédure pause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Serigne Abdoul Ahad SARR</cp:lastModifiedBy>
  <cp:revision>0</cp:revision>
  <dcterms:created xsi:type="dcterms:W3CDTF">2026-10-14T12:03:53Z</dcterms:created>
  <dcterms:modified xsi:type="dcterms:W3CDTF">2026-10-14T16:03:04Z</dcterms:modified>
  <dc:language>en-US</dc:language>
</cp:coreProperties>
</file>