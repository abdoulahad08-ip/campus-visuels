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’emploi" sheetId="1" state="visible" r:id="rId3"/>
    <sheet name="1 Fiche projet" sheetId="2" state="visible" r:id="rId4"/>
    <sheet name="2 Grille d’entretien" sheetId="3" state="visible" r:id="rId5"/>
    <sheet name="3 Seuil de rentabilité" sheetId="4" state="visible" r:id="rId6"/>
    <sheet name="4 Matrice des risques" sheetId="5" state="visible" r:id="rId7"/>
    <sheet name="5 Plan de tâches" sheetId="6" state="visible" r:id="rId8"/>
    <sheet name="6 Rôles RACI" sheetId="7" state="visible" r:id="rId9"/>
    <sheet name="7 Budget et financement" sheetId="8" state="visible" r:id="rId10"/>
    <sheet name="8 Tableau de bord" sheetId="9" state="visible" r:id="rId11"/>
    <sheet name="9 Bilan final" sheetId="10" state="visible" r:id="rId12"/>
    <sheet name="10 Plan 30 jour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<sst xmlns="http://schemas.openxmlformats.org/spreadsheetml/2006/main" count="266" uniqueCount="249">
  <si>
    <t xml:space="preserve">Kit projet : les 5 étapes pour structurer un projet solide de A à Z</t>
  </si>
  <si>
    <t xml:space="preserve">Campus des Bâtisseurs · Connecter • Accompagner • Bâtir</t>
  </si>
  <si>
    <t xml:space="preserve">Onglet</t>
  </si>
  <si>
    <t xml:space="preserve">À quoi il sert</t>
  </si>
  <si>
    <t xml:space="preserve">1 Fiche projet</t>
  </si>
  <si>
    <t xml:space="preserve">Étape 1 · Ton projet sur une page</t>
  </si>
  <si>
    <t xml:space="preserve">2 Grille d’entretien</t>
  </si>
  <si>
    <t xml:space="preserve">Étape 2 · Noter 15 à 20 entretiens ; le besoin confirmé se compte tout seul</t>
  </si>
  <si>
    <t xml:space="preserve">3 Seuil de rentabilité</t>
  </si>
  <si>
    <t xml:space="preserve">Étape 2 · Marge, seuil de rentabilité et verdict (prérempli avec l’exemple d’Awa)</t>
  </si>
  <si>
    <t xml:space="preserve">4 Matrice des risques</t>
  </si>
  <si>
    <t xml:space="preserve">Étapes 2 et 3 · Score probabilité × impact, priorité, ripostes</t>
  </si>
  <si>
    <t xml:space="preserve">5 Plan de tâches</t>
  </si>
  <si>
    <t xml:space="preserve">Étape 3 · Lots, tâches, responsables, dates, état d’avancement</t>
  </si>
  <si>
    <t xml:space="preserve">6 Rôles RACI</t>
  </si>
  <si>
    <t xml:space="preserve">Étape 3 · Qui réalise, approuve, est consulté, est informé ; contrôle « un seul A »</t>
  </si>
  <si>
    <t xml:space="preserve">7 Budget et financement</t>
  </si>
  <si>
    <t xml:space="preserve">Étape 3 · Dépenses, réserve, ressources, contrôle de l’équilibre (prérempli avec l’exemple d’Awa)</t>
  </si>
  <si>
    <t xml:space="preserve">8 Tableau de bord</t>
  </si>
  <si>
    <t xml:space="preserve">Étape 4 · 5 à 8 indicateurs ; état Conforme / À surveiller / Action immédiate automatique</t>
  </si>
  <si>
    <t xml:space="preserve">9 Bilan final</t>
  </si>
  <si>
    <t xml:space="preserve">Étape 5 · Prévu / réalisé, écarts calculés, retour d’expérience</t>
  </si>
  <si>
    <t xml:space="preserve">10 Plan 30 jours</t>
  </si>
  <si>
    <t xml:space="preserve">Toutes les étapes · Ton calendrier d’action, avec avancement</t>
  </si>
  <si>
    <t xml:space="preserve">Comment l’utiliser :</t>
  </si>
  <si>
    <t xml:space="preserve">1. Suis l’ordre des onglets, comme dans la formation.</t>
  </si>
  <si>
    <t xml:space="preserve">2. Remplis uniquement les cellules jaunes ; les cellules grises se calculent seules.</t>
  </si>
  <si>
    <t xml:space="preserve">3. Les lignes orange montrent l’exemple d’Awa : remplace-les par tes données, ou supprime-les.</t>
  </si>
  <si>
    <t xml:space="preserve">4. Les montants sont en FCFA.</t>
  </si>
  <si>
    <t xml:space="preserve">Campus des Bâtisseurs · campusdesbatisseurs.com · infos@campusdesbatisseurs.com · +221 76 760 22 22</t>
  </si>
  <si>
    <t xml:space="preserve">YouTube, TikTok et Facebook : @campusdesbatisseurs</t>
  </si>
  <si>
    <t xml:space="preserve">Modèle 1 · La fiche projet (étape 1)</t>
  </si>
  <si>
    <t xml:space="preserve">Tout ton projet sur une seule page. Une rubrique impossible à remplir = le projet n’est pas encore assez clair.</t>
  </si>
  <si>
    <t xml:space="preserve">Légende : cellules jaunes = à remplir · cellules grises = calculées automatiquement · ligne orange = exemple d’Awa (à remplacer ou supprimer)</t>
  </si>
  <si>
    <t xml:space="preserve">Rubrique</t>
  </si>
  <si>
    <t xml:space="preserve">Ton projet</t>
  </si>
  <si>
    <t xml:space="preserve">Exemple d’Awa</t>
  </si>
  <si>
    <t xml:space="preserve">Nom du projet</t>
  </si>
  <si>
    <t xml:space="preserve">Atelier de jus locaux</t>
  </si>
  <si>
    <t xml:space="preserve">Porteur(s)</t>
  </si>
  <si>
    <t xml:space="preserve">Awa</t>
  </si>
  <si>
    <t xml:space="preserve">Le problème ou l’opportunité</t>
  </si>
  <si>
    <t xml:space="preserve">Jus de rue de qualité irrégulière ; les bureaux, écoles et événements cherchent des jus locaux propres et livrés</t>
  </si>
  <si>
    <t xml:space="preserve">Pourquoi maintenant ? Pourquoi moi ?</t>
  </si>
  <si>
    <t xml:space="preserve">Formation en transformation agroalimentaire, réseau dans l’événementiel</t>
  </si>
  <si>
    <t xml:space="preserve">Le projet en une phrase</t>
  </si>
  <si>
    <t xml:space="preserve">Produire et livrer des jus de bissap, bouye et gingembre (33 cl et 1 L) aux pros et événements de Thiès</t>
  </si>
  <si>
    <t xml:space="preserve">Objectif SMART</t>
  </si>
  <si>
    <t xml:space="preserve">1 500 bouteilles par mois d’ici 6 mois, avec au moins 10 clients réguliers</t>
  </si>
  <si>
    <t xml:space="preserve">Dans le périmètre</t>
  </si>
  <si>
    <t xml:space="preserve">Bissap, bouye, gingembre · livraison à Thiès · entreprises, écoles, événements</t>
  </si>
  <si>
    <t xml:space="preserve">Hors périmètre (pour l’instant)</t>
  </si>
  <si>
    <t xml:space="preserve">Jus importés, boissons gazeuses · autres villes · grande surface</t>
  </si>
  <si>
    <t xml:space="preserve">Bénéficiaires ou clients</t>
  </si>
  <si>
    <t xml:space="preserve">Entreprises, écoles, organisateurs d’événements</t>
  </si>
  <si>
    <t xml:space="preserve">Parties prenantes clés</t>
  </si>
  <si>
    <t xml:space="preserve">Clients, famille, fournisseurs, tontine et microcrédit, autorités sanitaires</t>
  </si>
  <si>
    <t xml:space="preserve">Budget maximum (FCFA)</t>
  </si>
  <si>
    <t xml:space="preserve">2 585 000</t>
  </si>
  <si>
    <t xml:space="preserve">Date limite</t>
  </si>
  <si>
    <t xml:space="preserve">Lancement en 8 semaines</t>
  </si>
  <si>
    <t xml:space="preserve">Heures par semaine</t>
  </si>
  <si>
    <t xml:space="preserve">Temps plein</t>
  </si>
  <si>
    <t xml:space="preserve">Critères de réussite</t>
  </si>
  <si>
    <t xml:space="preserve">Seuil de rentabilité dépassé, 10 clients réguliers, zéro incident d’hygiène</t>
  </si>
  <si>
    <t xml:space="preserve">Modèle 2 · La grille d’entretien (étape 2)</t>
  </si>
  <si>
    <t xml:space="preserve">Interroge 15 à 20 personnes sur ce qu’elles FONT déjà, pas sur ce qu’elles feraient peut-être.</t>
  </si>
  <si>
    <t xml:space="preserve">N°</t>
  </si>
  <si>
    <t xml:space="preserve">Date</t>
  </si>
  <si>
    <t xml:space="preserve">Personne / organisation</t>
  </si>
  <si>
    <t xml:space="preserve">Comment faites-vous aujourd’hui ?</t>
  </si>
  <si>
    <t xml:space="preserve">Qu’est-ce qui vous gêne le plus ?</t>
  </si>
  <si>
    <t xml:space="preserve">Combien cela vous coûte ?</t>
  </si>
  <si>
    <t xml:space="preserve">Qu’avez-vous déjà essayé ?</t>
  </si>
  <si>
    <t xml:space="preserve">Qui décide de l’achat ?</t>
  </si>
  <si>
    <t xml:space="preserve">D’accord pour tester ?</t>
  </si>
  <si>
    <t xml:space="preserve">Besoin confirmé ?</t>
  </si>
  <si>
    <t xml:space="preserve">Ex.</t>
  </si>
  <si>
    <t xml:space="preserve">—</t>
  </si>
  <si>
    <t xml:space="preserve">École privée, Thiès</t>
  </si>
  <si>
    <t xml:space="preserve">Achète des sodas au boutiquier pour les fêtes</t>
  </si>
  <si>
    <t xml:space="preserve">Pas local, pas sain pour les enfants</t>
  </si>
  <si>
    <t xml:space="preserve">Environ 40 000 FCFA par fête</t>
  </si>
  <si>
    <t xml:space="preserve">Jus de rue, abandonné (qualité)</t>
  </si>
  <si>
    <t xml:space="preserve">La directrice</t>
  </si>
  <si>
    <t xml:space="preserve">Oui</t>
  </si>
  <si>
    <t xml:space="preserve">Le calcul financier minimum (étape 2)</t>
  </si>
  <si>
    <t xml:space="preserve">Prérempli avec l’exemple d’Awa (bouteille de 33 cl) : remplace les cellules jaunes par tes chiffres.</t>
  </si>
  <si>
    <t xml:space="preserve">Ligne</t>
  </si>
  <si>
    <t xml:space="preserve">Valeur</t>
  </si>
  <si>
    <t xml:space="preserve">Note</t>
  </si>
  <si>
    <t xml:space="preserve">Coût variable par unité (FCFA)</t>
  </si>
  <si>
    <t xml:space="preserve">Ingrédients, bouteille, étiquette : ce que coûte UNE unité</t>
  </si>
  <si>
    <t xml:space="preserve">Prix de vente par unité (FCFA)</t>
  </si>
  <si>
    <t xml:space="preserve">Prix aux professionnels</t>
  </si>
  <si>
    <t xml:space="preserve">Charges fixes par mois (FCFA)</t>
  </si>
  <si>
    <t xml:space="preserve">Local, énergie, aide, transport : à payer même sans vente</t>
  </si>
  <si>
    <t xml:space="preserve">Objectif de ventes (unités par mois)</t>
  </si>
  <si>
    <t xml:space="preserve">Ton objectif SMART</t>
  </si>
  <si>
    <t xml:space="preserve">Marge par unité (FCFA)</t>
  </si>
  <si>
    <t xml:space="preserve">Prix − coût variable</t>
  </si>
  <si>
    <t xml:space="preserve">Taux de marge</t>
  </si>
  <si>
    <t xml:space="preserve">Marge ÷ prix</t>
  </si>
  <si>
    <t xml:space="preserve">Seuil de rentabilité (unités par mois)</t>
  </si>
  <si>
    <t xml:space="preserve">Charges fixes ÷ marge</t>
  </si>
  <si>
    <t xml:space="preserve">Chiffre d’affaires au seuil (FCFA)</t>
  </si>
  <si>
    <t xml:space="preserve">Écart objectif − seuil (unités)</t>
  </si>
  <si>
    <t xml:space="preserve">Positif = marge de sécurité</t>
  </si>
  <si>
    <t xml:space="preserve">Résultat mensuel à l’objectif (FCFA)</t>
  </si>
  <si>
    <t xml:space="preserve">Ventes × marge − charges fixes</t>
  </si>
  <si>
    <t xml:space="preserve">Verdict</t>
  </si>
  <si>
    <t xml:space="preserve">Source des chiffres préremplis : exemple pédagogique d’Awa présenté dans la formation.</t>
  </si>
  <si>
    <t xml:space="preserve">Modèle 3 · La matrice des risques (étapes 2 et 3)</t>
  </si>
  <si>
    <t xml:space="preserve">Probabilité et impact de 1 (faible) à 3 (fort). Traite en priorité les scores de 6 et 9.</t>
  </si>
  <si>
    <t xml:space="preserve">Risque</t>
  </si>
  <si>
    <t xml:space="preserve">Probabilité (1 à 3)</t>
  </si>
  <si>
    <t xml:space="preserve">Impact (1 à 3)</t>
  </si>
  <si>
    <t xml:space="preserve">Score (P × I)</t>
  </si>
  <si>
    <t xml:space="preserve">Priorité</t>
  </si>
  <si>
    <t xml:space="preserve">Action préventive</t>
  </si>
  <si>
    <t xml:space="preserve">Action si le risque arrive</t>
  </si>
  <si>
    <t xml:space="preserve">Responsable</t>
  </si>
  <si>
    <t xml:space="preserve">Retard de paiement des clients</t>
  </si>
  <si>
    <t xml:space="preserve">Acompte de 30 % à la commande, paiement à 15 jours maximum</t>
  </si>
  <si>
    <t xml:space="preserve">Relance écrite, suspension des livraisons</t>
  </si>
  <si>
    <t xml:space="preserve">Risques prioritaires (score ≥ 6) :</t>
  </si>
  <si>
    <t xml:space="preserve">Modèle 4 · Le plan de tâches (étape 3)</t>
  </si>
  <si>
    <t xml:space="preserve">4 à 7 lots, des tâches de quelques jours, un responsable par tâche.</t>
  </si>
  <si>
    <t xml:space="preserve">Lot</t>
  </si>
  <si>
    <t xml:space="preserve">Tâche</t>
  </si>
  <si>
    <t xml:space="preserve">Début</t>
  </si>
  <si>
    <t xml:space="preserve">Fin</t>
  </si>
  <si>
    <t xml:space="preserve">Durée (jours)</t>
  </si>
  <si>
    <t xml:space="preserve">Dépend de</t>
  </si>
  <si>
    <t xml:space="preserve">État</t>
  </si>
  <si>
    <t xml:space="preserve">1. Administratif</t>
  </si>
  <si>
    <t xml:space="preserve">Demander les autorisations sanitaires</t>
  </si>
  <si>
    <t xml:space="preserve">En cours</t>
  </si>
  <si>
    <t xml:space="preserve">Avancement (tâches faites)</t>
  </si>
  <si>
    <t xml:space="preserve">Tâches bloquées</t>
  </si>
  <si>
    <t xml:space="preserve">Modèle 5 · Le tableau des rôles RACI (étape 3)</t>
  </si>
  <si>
    <t xml:space="preserve">R = réalise · A = approuve (une seule personne) · C = consulté · I = informé. Saisis les noms en ligne 5.</t>
  </si>
  <si>
    <t xml:space="preserve">Lot ou décision</t>
  </si>
  <si>
    <t xml:space="preserve">Personne 1</t>
  </si>
  <si>
    <t xml:space="preserve">Personne 2</t>
  </si>
  <si>
    <t xml:space="preserve">Personne 3</t>
  </si>
  <si>
    <t xml:space="preserve">Personne 4</t>
  </si>
  <si>
    <t xml:space="preserve">Personne 5</t>
  </si>
  <si>
    <t xml:space="preserve">Contrôle « un seul A »</t>
  </si>
  <si>
    <t xml:space="preserve">Ex. Local et équipement (Awa, Aide, Livreur, Famille)</t>
  </si>
  <si>
    <t xml:space="preserve">A</t>
  </si>
  <si>
    <t xml:space="preserve">R</t>
  </si>
  <si>
    <t xml:space="preserve">C</t>
  </si>
  <si>
    <t xml:space="preserve">Modèle 6 · Budget et plan de financement (étape 3)</t>
  </si>
  <si>
    <t xml:space="preserve">Prérempli avec l’exemple d’Awa : remplace les montants jaunes par les tiens. Montants en FCFA.</t>
  </si>
  <si>
    <t xml:space="preserve">Dépenses de démarrage</t>
  </si>
  <si>
    <t xml:space="preserve">Montant</t>
  </si>
  <si>
    <t xml:space="preserve">Ressources</t>
  </si>
  <si>
    <t xml:space="preserve">Équipement</t>
  </si>
  <si>
    <t xml:space="preserve">Épargne personnelle</t>
  </si>
  <si>
    <t xml:space="preserve">Aménagement du local</t>
  </si>
  <si>
    <t xml:space="preserve">Tontine</t>
  </si>
  <si>
    <t xml:space="preserve">Stock initial</t>
  </si>
  <si>
    <t xml:space="preserve">Acomptes sur premières commandes</t>
  </si>
  <si>
    <t xml:space="preserve">Formalités et autorisations</t>
  </si>
  <si>
    <t xml:space="preserve">Microcrédit</t>
  </si>
  <si>
    <t xml:space="preserve">Communication de lancement</t>
  </si>
  <si>
    <t xml:space="preserve">Famille</t>
  </si>
  <si>
    <t xml:space="preserve">Autre dépense</t>
  </si>
  <si>
    <t xml:space="preserve">Subvention</t>
  </si>
  <si>
    <t xml:space="preserve">Fonds de roulement (= charges fixes × nombre de mois)</t>
  </si>
  <si>
    <t xml:space="preserve">Autre ressource</t>
  </si>
  <si>
    <t xml:space="preserve">Sous-total</t>
  </si>
  <si>
    <t xml:space="preserve">Réserve pour imprévus (= sous-total × taux)</t>
  </si>
  <si>
    <t xml:space="preserve">TOTAL DES DÉPENSES</t>
  </si>
  <si>
    <t xml:space="preserve">TOTAL DES RESSOURCES</t>
  </si>
  <si>
    <t xml:space="preserve">Écart (ressources − dépenses)</t>
  </si>
  <si>
    <t xml:space="preserve">Statut</t>
  </si>
  <si>
    <t xml:space="preserve">Hypothèses</t>
  </si>
  <si>
    <t xml:space="preserve">Charges fixes par mois</t>
  </si>
  <si>
    <t xml:space="preserve">Nombre de mois de fonds de roulement</t>
  </si>
  <si>
    <t xml:space="preserve">Taux de réserve pour imprévus (10 à 15 %)</t>
  </si>
  <si>
    <t xml:space="preserve">Source des montants préremplis : exemple pédagogique d’Awa présenté dans la formation (total attendu : 2 585 000 FCFA).</t>
  </si>
  <si>
    <t xml:space="preserve">Modèle 7 · Le tableau de bord mensuel (étape 4)</t>
  </si>
  <si>
    <t xml:space="preserve">5 à 8 indicateurs. Choisis le sens : « Plus haut = mieux » (ventes) ou « Plus bas = mieux » (réclamations).</t>
  </si>
  <si>
    <t xml:space="preserve">Mois suivi :</t>
  </si>
  <si>
    <t xml:space="preserve">Indicateur</t>
  </si>
  <si>
    <t xml:space="preserve">Sens</t>
  </si>
  <si>
    <t xml:space="preserve">Objectif</t>
  </si>
  <si>
    <t xml:space="preserve">Réalisé</t>
  </si>
  <si>
    <t xml:space="preserve">Taux</t>
  </si>
  <si>
    <t xml:space="preserve">Action décidée</t>
  </si>
  <si>
    <t xml:space="preserve">Ex. Bouteilles vendues ce mois</t>
  </si>
  <si>
    <t xml:space="preserve">Plus haut = mieux</t>
  </si>
  <si>
    <t xml:space="preserve">Prospecter mariages et baptêmes, lancer le format 1 litre</t>
  </si>
  <si>
    <t xml:space="preserve">Règle : Plus haut = mieux → Conforme si réalisé ≥ objectif, À surveiller si ≥ 80 %. Plus bas = mieux → Conforme si réalisé ≤ objectif, À surveiller si l’écart ≤ 20 % (ou 1).</t>
  </si>
  <si>
    <t xml:space="preserve">Indicateurs conformes</t>
  </si>
  <si>
    <t xml:space="preserve">À surveiller</t>
  </si>
  <si>
    <t xml:space="preserve">Action immédiate</t>
  </si>
  <si>
    <t xml:space="preserve">Modèle 8 · Le bilan final (étape 5)</t>
  </si>
  <si>
    <t xml:space="preserve">Compare ce qui était prévu avec ce qui s’est réellement passé, chiffres à l’appui.</t>
  </si>
  <si>
    <t xml:space="preserve">Critère</t>
  </si>
  <si>
    <t xml:space="preserve">Prévu</t>
  </si>
  <si>
    <t xml:space="preserve">Écart</t>
  </si>
  <si>
    <t xml:space="preserve">Écart %</t>
  </si>
  <si>
    <t xml:space="preserve">Explication</t>
  </si>
  <si>
    <t xml:space="preserve">Ex. Budget de démarrage (FCFA)</t>
  </si>
  <si>
    <t xml:space="preserve">Travaux électriques imprévus, couverts par la réserve</t>
  </si>
  <si>
    <t xml:space="preserve">Retour d’expérience</t>
  </si>
  <si>
    <t xml:space="preserve">Qu’est-ce qui a bien marché, et qu’il faut refaire ?</t>
  </si>
  <si>
    <t xml:space="preserve">Qu’est-ce qui n’a pas marché, et pourquoi ?</t>
  </si>
  <si>
    <t xml:space="preserve">Qu’est-ce qui nous a surpris ?</t>
  </si>
  <si>
    <t xml:space="preserve">Que ferions-nous différemment la prochaine fois ?</t>
  </si>
  <si>
    <t xml:space="preserve">Objectifs de la période suivante</t>
  </si>
  <si>
    <t xml:space="preserve">Plan d’action : structurer ton projet en 30 jours</t>
  </si>
  <si>
    <t xml:space="preserve">Coche « Fait » au fur et à mesure. L’avancement se calcule seul.</t>
  </si>
  <si>
    <t xml:space="preserve">Date de démarrage :</t>
  </si>
  <si>
    <t xml:space="preserve">Période</t>
  </si>
  <si>
    <t xml:space="preserve">Étape</t>
  </si>
  <si>
    <t xml:space="preserve">Actions</t>
  </si>
  <si>
    <t xml:space="preserve">Livrable</t>
  </si>
  <si>
    <t xml:space="preserve">Fait ?</t>
  </si>
  <si>
    <t xml:space="preserve">Date prévue</t>
  </si>
  <si>
    <t xml:space="preserve">Jours 1 à 3</t>
  </si>
  <si>
    <t xml:space="preserve">1. Clarifier</t>
  </si>
  <si>
    <t xml:space="preserve">Écrire le problème, le projet, l’objectif SMART, le périmètre, les parties prenantes</t>
  </si>
  <si>
    <t xml:space="preserve">Fiche projet</t>
  </si>
  <si>
    <t xml:space="preserve">Jours 4 à 12</t>
  </si>
  <si>
    <t xml:space="preserve">2. Valider</t>
  </si>
  <si>
    <t xml:space="preserve">15 à 20 entretiens, un test en petit, concurrence, faisabilité, seuil de rentabilité, risques</t>
  </si>
  <si>
    <t xml:space="preserve">Dossier de validation et décision</t>
  </si>
  <si>
    <t xml:space="preserve">Jours 13 à 18</t>
  </si>
  <si>
    <t xml:space="preserve">3. Planifier</t>
  </si>
  <si>
    <t xml:space="preserve">Lots et tâches, calendrier et jalons, rôles, budget et financement, riposte aux risques</t>
  </si>
  <si>
    <t xml:space="preserve">Plan de projet</t>
  </si>
  <si>
    <t xml:space="preserve">Jours 19 à 20</t>
  </si>
  <si>
    <t xml:space="preserve">4. Lancer</t>
  </si>
  <si>
    <t xml:space="preserve">Réunion de lancement, mise en place des rituels et du tableau de bord</t>
  </si>
  <si>
    <t xml:space="preserve">Tableau de bord initial</t>
  </si>
  <si>
    <t xml:space="preserve">Jours 21 à 30</t>
  </si>
  <si>
    <t xml:space="preserve">4. Piloter</t>
  </si>
  <si>
    <t xml:space="preserve">Premières actions du plan, premier point hebdomadaire, journal de projet</t>
  </si>
  <si>
    <t xml:space="preserve">Tableau de bord à jour</t>
  </si>
  <si>
    <t xml:space="preserve">Fin du projet ou 6 mois</t>
  </si>
  <si>
    <t xml:space="preserve">5. Clôturer et pérenniser</t>
  </si>
  <si>
    <t xml:space="preserve">Bilan, retour d’expérience, archivage, procédures</t>
  </si>
  <si>
    <t xml:space="preserve">Bilan final</t>
  </si>
  <si>
    <t xml:space="preserve">Avancement</t>
  </si>
  <si>
    <t xml:space="preserve">Campus des Bâtisseurs · Connecter • Accompagner • Bâtir · campusdesbatisseurs.com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</si>
</sst>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0"/>
    <numFmt numFmtId="167" formatCode="0%"/>
    <numFmt numFmtId="168" formatCode="#,##0;\-#,##0;\-"/>
    <numFmt numFmtId="169" formatCode="0.0%"/>
    <numFmt numFmtId="170" formatCode="General"/>
    <numFmt numFmtId="171" formatCode="\+0%;\-0%;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4213D"/>
      <name val="Arial"/>
      <family val="0"/>
      <charset val="1"/>
    </font>
    <font>
      <i val="true"/>
      <sz val="11"/>
      <color rgb="FFD979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4213D"/>
      <name val="Arial"/>
      <family val="0"/>
      <charset val="1"/>
    </font>
    <font>
      <sz val="10"/>
      <color rgb="FF1B1D24"/>
      <name val="Arial"/>
      <family val="0"/>
      <charset val="1"/>
    </font>
    <font>
      <sz val="10"/>
      <color rgb="FF14213D"/>
      <name val="Arial"/>
      <family val="0"/>
      <charset val="1"/>
    </font>
    <font>
      <b val="true"/>
      <sz val="16"/>
      <color rgb="FF14213D"/>
      <name val="Arial"/>
      <family val="0"/>
      <charset val="1"/>
    </font>
    <font>
      <i val="true"/>
      <sz val="10"/>
      <color rgb="FF5C677D"/>
      <name val="Arial"/>
      <family val="0"/>
      <charset val="1"/>
    </font>
    <font>
      <sz val="9"/>
      <color rgb="FF5C677D"/>
      <name val="Arial"/>
      <family val="0"/>
      <charset val="1"/>
    </font>
    <font>
      <b val="true"/>
      <sz val="10"/>
      <color rgb="FF1B1D24"/>
      <name val="Arial"/>
      <family val="0"/>
      <charset val="1"/>
    </font>
    <font>
      <i val="true"/>
      <sz val="10"/>
      <color rgb="FF1B1D24"/>
      <name val="Arial"/>
      <family val="0"/>
      <charset val="1"/>
    </font>
    <font>
      <i val="true"/>
      <sz val="9"/>
      <color rgb="FF5C677D"/>
      <name val="Arial"/>
      <family val="0"/>
      <charset val="1"/>
    </font>
    <font>
      <b val="true"/>
      <sz val="11"/>
      <color rgb="FF14213D"/>
      <name val="Arial"/>
      <family val="0"/>
      <charset val="1"/>
    </font>
    <font>
      <b val="true"/>
      <sz val="12"/>
      <color rgb="FF14213D"/>
      <name val="Arial"/>
      <family val="0"/>
      <charset val="1"/>
    </font>
    <font>
      <i val="true"/>
      <sz val="9"/>
      <color rgb="FFD9792B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4213D"/>
        <bgColor rgb="FF1B1D24"/>
      </patternFill>
    </fill>
    <fill>
      <patternFill patternType="solid">
        <fgColor rgb="FFFFF4CC"/>
        <bgColor rgb="FFFDF1E6"/>
      </patternFill>
    </fill>
    <fill>
      <patternFill patternType="solid">
        <fgColor rgb="FFFDF1E6"/>
        <bgColor rgb="FFFFF4CC"/>
      </patternFill>
    </fill>
    <fill>
      <patternFill patternType="solid">
        <fgColor rgb="FFEEF1F5"/>
        <bgColor rgb="FFFDF1E6"/>
      </patternFill>
    </fill>
    <fill>
      <patternFill patternType="solid">
        <fgColor rgb="FF33476E"/>
        <bgColor rgb="FF5C677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9E2"/>
      </left>
      <right style="thin">
        <color rgb="FFD3D9E2"/>
      </right>
      <top style="thin">
        <color rgb="FFD3D9E2"/>
      </top>
      <bottom style="thin">
        <color rgb="FFD3D9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1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5EDE3"/>
        </patternFill>
      </fill>
    </dxf>
    <dxf>
      <fill>
        <patternFill>
          <bgColor rgb="FFF2C9C4"/>
        </patternFill>
      </fill>
    </dxf>
    <dxf>
      <fill>
        <patternFill>
          <bgColor rgb="FFFBE7C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EF1F5"/>
      <rgbColor rgb="FF660066"/>
      <rgbColor rgb="FFFF8080"/>
      <rgbColor rgb="FF0066CC"/>
      <rgbColor rgb="FFD3D9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F1E6"/>
      <rgbColor rgb="FFD5EDE3"/>
      <rgbColor rgb="FFFBE7C2"/>
      <rgbColor rgb="FF99CCFF"/>
      <rgbColor rgb="FFFF99CC"/>
      <rgbColor rgb="FFCC99FF"/>
      <rgbColor rgb="FFF2C9C4"/>
      <rgbColor rgb="FF3366FF"/>
      <rgbColor rgb="FF33CCCC"/>
      <rgbColor rgb="FF99CC00"/>
      <rgbColor rgb="FFFFCC00"/>
      <rgbColor rgb="FFFF9900"/>
      <rgbColor rgb="FFD9792B"/>
      <rgbColor rgb="FF5C677D"/>
      <rgbColor rgb="FF969696"/>
      <rgbColor rgb="FF14213D"/>
      <rgbColor rgb="FF339966"/>
      <rgbColor rgb="FF003300"/>
      <rgbColor rgb="FF333300"/>
      <rgbColor rgb="FF993300"/>
      <rgbColor rgb="FF993366"/>
      <rgbColor rgb="FF33476E"/>
      <rgbColor rgb="FF1B1D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false"/>
  </sheetPr>
  <dimension ref="A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15" hidden="false" customHeight="false" outlineLevel="0" collapsed="false">
      <c r="A8" s="4" t="s">
        <v>10</v>
      </c>
      <c r="B8" s="5" t="s">
        <v>11</v>
      </c>
    </row>
    <row r="9" customFormat="false" ht="15" hidden="false" customHeight="false" outlineLevel="0" collapsed="false">
      <c r="A9" s="4" t="s">
        <v>12</v>
      </c>
      <c r="B9" s="5" t="s">
        <v>13</v>
      </c>
    </row>
    <row r="10" customFormat="false" ht="15" hidden="false" customHeight="false" outlineLevel="0" collapsed="false">
      <c r="A10" s="4" t="s">
        <v>14</v>
      </c>
      <c r="B10" s="5" t="s">
        <v>15</v>
      </c>
    </row>
    <row r="11" customFormat="false" ht="15" hidden="false" customHeight="false" outlineLevel="0" collapsed="false">
      <c r="A11" s="4" t="s">
        <v>16</v>
      </c>
      <c r="B11" s="5" t="s">
        <v>17</v>
      </c>
    </row>
    <row r="12" customFormat="false" ht="15" hidden="false" customHeight="false" outlineLevel="0" collapsed="false">
      <c r="A12" s="4" t="s">
        <v>18</v>
      </c>
      <c r="B12" s="5" t="s">
        <v>19</v>
      </c>
    </row>
    <row r="13" customFormat="false" ht="15" hidden="false" customHeight="false" outlineLevel="0" collapsed="false">
      <c r="A13" s="4" t="s">
        <v>20</v>
      </c>
      <c r="B13" s="5" t="s">
        <v>21</v>
      </c>
    </row>
    <row r="14" customFormat="false" ht="15" hidden="false" customHeight="false" outlineLevel="0" collapsed="false">
      <c r="A14" s="4" t="s">
        <v>22</v>
      </c>
      <c r="B14" s="5" t="s">
        <v>23</v>
      </c>
    </row>
    <row r="16" customFormat="false" ht="15" hidden="false" customHeight="false" outlineLevel="0" collapsed="false">
      <c r="A16" s="6" t="s">
        <v>24</v>
      </c>
    </row>
    <row r="17" customFormat="false" ht="15" hidden="false" customHeight="false" outlineLevel="0" collapsed="false">
      <c r="A17" s="7" t="s">
        <v>25</v>
      </c>
    </row>
    <row r="18" customFormat="false" ht="15" hidden="false" customHeight="false" outlineLevel="0" collapsed="false">
      <c r="A18" s="7" t="s">
        <v>26</v>
      </c>
    </row>
    <row r="19" customFormat="false" ht="15" hidden="false" customHeight="false" outlineLevel="0" collapsed="false">
      <c r="A19" s="7" t="s">
        <v>27</v>
      </c>
    </row>
    <row r="20" customFormat="false" ht="15" hidden="false" customHeight="false" outlineLevel="0" collapsed="false">
      <c r="A20" s="7" t="s">
        <v>28</v>
      </c>
    </row>
    <row r="21" customFormat="false" ht="15" hidden="false" customHeight="false" outlineLevel="0" collapsed="false">
      <c r="A21" s="7"/>
    </row>
    <row r="22" customFormat="false" ht="15" hidden="false" customHeight="false" outlineLevel="0" collapsed="false">
      <c r="A22" s="7" t="s">
        <v>29</v>
      </c>
    </row>
    <row r="23" customFormat="false" ht="15" hidden="false" customHeight="false" outlineLevel="0" collapsed="false">
      <c r="A23" s="7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92B"/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70"/>
  </cols>
  <sheetData>
    <row r="1" customFormat="false" ht="19.7" hidden="false" customHeight="false" outlineLevel="0" collapsed="false">
      <c r="A1" s="8" t="s">
        <v>31</v>
      </c>
    </row>
    <row r="2" customFormat="false" ht="15" hidden="false" customHeight="false" outlineLevel="0" collapsed="false">
      <c r="A2" s="9" t="s">
        <v>32</v>
      </c>
    </row>
    <row r="3" customFormat="false" ht="15" hidden="false" customHeight="false" outlineLevel="0" collapsed="false">
      <c r="A3" s="10" t="s">
        <v>33</v>
      </c>
    </row>
    <row r="5" customFormat="false" ht="30" hidden="false" customHeight="true" outlineLevel="0" collapsed="false">
      <c r="A5" s="11" t="s">
        <v>34</v>
      </c>
      <c r="B5" s="11" t="s">
        <v>35</v>
      </c>
      <c r="C5" s="11" t="s">
        <v>36</v>
      </c>
    </row>
    <row r="6" customFormat="false" ht="31.5" hidden="false" customHeight="true" outlineLevel="0" collapsed="false">
      <c r="A6" s="12" t="s">
        <v>37</v>
      </c>
      <c r="B6" s="13"/>
      <c r="C6" s="14" t="s">
        <v>38</v>
      </c>
    </row>
    <row r="7" customFormat="false" ht="31.5" hidden="false" customHeight="true" outlineLevel="0" collapsed="false">
      <c r="A7" s="12" t="s">
        <v>39</v>
      </c>
      <c r="B7" s="13"/>
      <c r="C7" s="14" t="s">
        <v>40</v>
      </c>
    </row>
    <row r="8" customFormat="false" ht="31.5" hidden="false" customHeight="true" outlineLevel="0" collapsed="false">
      <c r="A8" s="12" t="s">
        <v>41</v>
      </c>
      <c r="B8" s="13"/>
      <c r="C8" s="14" t="s">
        <v>42</v>
      </c>
    </row>
    <row r="9" customFormat="false" ht="31.5" hidden="false" customHeight="true" outlineLevel="0" collapsed="false">
      <c r="A9" s="12" t="s">
        <v>43</v>
      </c>
      <c r="B9" s="13"/>
      <c r="C9" s="14" t="s">
        <v>44</v>
      </c>
    </row>
    <row r="10" customFormat="false" ht="31.5" hidden="false" customHeight="true" outlineLevel="0" collapsed="false">
      <c r="A10" s="12" t="s">
        <v>45</v>
      </c>
      <c r="B10" s="13"/>
      <c r="C10" s="14" t="s">
        <v>46</v>
      </c>
    </row>
    <row r="11" customFormat="false" ht="31.5" hidden="false" customHeight="true" outlineLevel="0" collapsed="false">
      <c r="A11" s="12" t="s">
        <v>47</v>
      </c>
      <c r="B11" s="13"/>
      <c r="C11" s="14" t="s">
        <v>48</v>
      </c>
    </row>
    <row r="12" customFormat="false" ht="31.5" hidden="false" customHeight="true" outlineLevel="0" collapsed="false">
      <c r="A12" s="12" t="s">
        <v>49</v>
      </c>
      <c r="B12" s="13"/>
      <c r="C12" s="14" t="s">
        <v>50</v>
      </c>
    </row>
    <row r="13" customFormat="false" ht="31.5" hidden="false" customHeight="true" outlineLevel="0" collapsed="false">
      <c r="A13" s="12" t="s">
        <v>51</v>
      </c>
      <c r="B13" s="13"/>
      <c r="C13" s="14" t="s">
        <v>52</v>
      </c>
    </row>
    <row r="14" customFormat="false" ht="31.5" hidden="false" customHeight="true" outlineLevel="0" collapsed="false">
      <c r="A14" s="12" t="s">
        <v>53</v>
      </c>
      <c r="B14" s="13"/>
      <c r="C14" s="14" t="s">
        <v>54</v>
      </c>
    </row>
    <row r="15" customFormat="false" ht="31.5" hidden="false" customHeight="true" outlineLevel="0" collapsed="false">
      <c r="A15" s="12" t="s">
        <v>55</v>
      </c>
      <c r="B15" s="13"/>
      <c r="C15" s="14" t="s">
        <v>56</v>
      </c>
    </row>
    <row r="16" customFormat="false" ht="31.5" hidden="false" customHeight="true" outlineLevel="0" collapsed="false">
      <c r="A16" s="12" t="s">
        <v>57</v>
      </c>
      <c r="B16" s="13"/>
      <c r="C16" s="14" t="s">
        <v>58</v>
      </c>
    </row>
    <row r="17" customFormat="false" ht="31.5" hidden="false" customHeight="true" outlineLevel="0" collapsed="false">
      <c r="A17" s="12" t="s">
        <v>59</v>
      </c>
      <c r="B17" s="13"/>
      <c r="C17" s="14" t="s">
        <v>60</v>
      </c>
    </row>
    <row r="18" customFormat="false" ht="31.5" hidden="false" customHeight="true" outlineLevel="0" collapsed="false">
      <c r="A18" s="12" t="s">
        <v>61</v>
      </c>
      <c r="B18" s="13"/>
      <c r="C18" s="14" t="s">
        <v>62</v>
      </c>
    </row>
    <row r="19" customFormat="false" ht="31.5" hidden="false" customHeight="true" outlineLevel="0" collapsed="false">
      <c r="A19" s="12" t="s">
        <v>63</v>
      </c>
      <c r="B19" s="13"/>
      <c r="C19" s="14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92B"/>
    <pageSetUpPr fitToPage="false"/>
  </sheetPr>
  <dimension ref="A1: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30"/>
    <col collapsed="false" customWidth="true" hidden="false" outlineLevel="0" max="6" min="6" style="0" width="20"/>
    <col collapsed="false" customWidth="true" hidden="false" outlineLevel="0" max="7" min="7" style="0" width="24"/>
    <col collapsed="false" customWidth="true" hidden="false" outlineLevel="0" max="8" min="8" style="0" width="18"/>
    <col collapsed="false" customWidth="true" hidden="false" outlineLevel="0" max="10" min="9" style="0" width="14"/>
  </cols>
  <sheetData>
    <row r="1" customFormat="false" ht="19.7" hidden="false" customHeight="false" outlineLevel="0" collapsed="false">
      <c r="A1" s="8" t="s">
        <v>65</v>
      </c>
    </row>
    <row r="2" customFormat="false" ht="15" hidden="false" customHeight="false" outlineLevel="0" collapsed="false">
      <c r="A2" s="9" t="s">
        <v>66</v>
      </c>
    </row>
    <row r="3" customFormat="false" ht="15" hidden="false" customHeight="false" outlineLevel="0" collapsed="false">
      <c r="A3" s="10" t="s">
        <v>33</v>
      </c>
    </row>
    <row r="5" customFormat="false" ht="30" hidden="false" customHeight="true" outlineLevel="0" collapsed="false">
      <c r="A5" s="11" t="s">
        <v>67</v>
      </c>
      <c r="B5" s="11" t="s">
        <v>68</v>
      </c>
      <c r="C5" s="11" t="s">
        <v>69</v>
      </c>
      <c r="D5" s="11" t="s">
        <v>70</v>
      </c>
      <c r="E5" s="11" t="s">
        <v>71</v>
      </c>
      <c r="F5" s="11" t="s">
        <v>72</v>
      </c>
      <c r="G5" s="11" t="s">
        <v>73</v>
      </c>
      <c r="H5" s="11" t="s">
        <v>74</v>
      </c>
      <c r="I5" s="11" t="s">
        <v>75</v>
      </c>
      <c r="J5" s="11" t="s">
        <v>76</v>
      </c>
    </row>
    <row r="6" customFormat="false" ht="23.85" hidden="false" customHeight="false" outlineLevel="0" collapsed="false">
      <c r="A6" s="14" t="s">
        <v>77</v>
      </c>
      <c r="B6" s="14" t="s">
        <v>78</v>
      </c>
      <c r="C6" s="14" t="s">
        <v>79</v>
      </c>
      <c r="D6" s="14" t="s">
        <v>80</v>
      </c>
      <c r="E6" s="14" t="s">
        <v>81</v>
      </c>
      <c r="F6" s="14" t="s">
        <v>82</v>
      </c>
      <c r="G6" s="14" t="s">
        <v>83</v>
      </c>
      <c r="H6" s="14" t="s">
        <v>84</v>
      </c>
      <c r="I6" s="14" t="s">
        <v>85</v>
      </c>
      <c r="J6" s="14" t="s">
        <v>85</v>
      </c>
    </row>
    <row r="7" customFormat="false" ht="15" hidden="false" customHeight="false" outlineLevel="0" collapsed="false">
      <c r="A7" s="15" t="n">
        <v>1</v>
      </c>
      <c r="B7" s="16"/>
      <c r="C7" s="13"/>
      <c r="D7" s="13"/>
      <c r="E7" s="13"/>
      <c r="F7" s="13"/>
      <c r="G7" s="13"/>
      <c r="H7" s="13"/>
      <c r="I7" s="13"/>
      <c r="J7" s="13"/>
    </row>
    <row r="8" customFormat="false" ht="15" hidden="false" customHeight="false" outlineLevel="0" collapsed="false">
      <c r="A8" s="15" t="n">
        <v>2</v>
      </c>
      <c r="B8" s="16"/>
      <c r="C8" s="13"/>
      <c r="D8" s="13"/>
      <c r="E8" s="13"/>
      <c r="F8" s="13"/>
      <c r="G8" s="13"/>
      <c r="H8" s="13"/>
      <c r="I8" s="13"/>
      <c r="J8" s="13"/>
    </row>
    <row r="9" customFormat="false" ht="15" hidden="false" customHeight="false" outlineLevel="0" collapsed="false">
      <c r="A9" s="15" t="n">
        <v>3</v>
      </c>
      <c r="B9" s="16"/>
      <c r="C9" s="13"/>
      <c r="D9" s="13"/>
      <c r="E9" s="13"/>
      <c r="F9" s="13"/>
      <c r="G9" s="13"/>
      <c r="H9" s="13"/>
      <c r="I9" s="13"/>
      <c r="J9" s="13"/>
    </row>
    <row r="10" customFormat="false" ht="15" hidden="false" customHeight="false" outlineLevel="0" collapsed="false">
      <c r="A10" s="15" t="n">
        <v>4</v>
      </c>
      <c r="B10" s="16"/>
      <c r="C10" s="13"/>
      <c r="D10" s="13"/>
      <c r="E10" s="13"/>
      <c r="F10" s="13"/>
      <c r="G10" s="13"/>
      <c r="H10" s="13"/>
      <c r="I10" s="13"/>
      <c r="J10" s="13"/>
    </row>
    <row r="11" customFormat="false" ht="15" hidden="false" customHeight="false" outlineLevel="0" collapsed="false">
      <c r="A11" s="15" t="n">
        <v>5</v>
      </c>
      <c r="B11" s="16"/>
      <c r="C11" s="13"/>
      <c r="D11" s="13"/>
      <c r="E11" s="13"/>
      <c r="F11" s="13"/>
      <c r="G11" s="13"/>
      <c r="H11" s="13"/>
      <c r="I11" s="13"/>
      <c r="J11" s="13"/>
    </row>
    <row r="12" customFormat="false" ht="15" hidden="false" customHeight="false" outlineLevel="0" collapsed="false">
      <c r="A12" s="15" t="n">
        <v>6</v>
      </c>
      <c r="B12" s="16"/>
      <c r="C12" s="13"/>
      <c r="D12" s="13"/>
      <c r="E12" s="13"/>
      <c r="F12" s="13"/>
      <c r="G12" s="13"/>
      <c r="H12" s="13"/>
      <c r="I12" s="13"/>
      <c r="J12" s="13"/>
    </row>
    <row r="13" customFormat="false" ht="15" hidden="false" customHeight="false" outlineLevel="0" collapsed="false">
      <c r="A13" s="15" t="n">
        <v>7</v>
      </c>
      <c r="B13" s="16"/>
      <c r="C13" s="13"/>
      <c r="D13" s="13"/>
      <c r="E13" s="13"/>
      <c r="F13" s="13"/>
      <c r="G13" s="13"/>
      <c r="H13" s="13"/>
      <c r="I13" s="13"/>
      <c r="J13" s="13"/>
    </row>
    <row r="14" customFormat="false" ht="15" hidden="false" customHeight="false" outlineLevel="0" collapsed="false">
      <c r="A14" s="15" t="n">
        <v>8</v>
      </c>
      <c r="B14" s="16"/>
      <c r="C14" s="13"/>
      <c r="D14" s="13"/>
      <c r="E14" s="13"/>
      <c r="F14" s="13"/>
      <c r="G14" s="13"/>
      <c r="H14" s="13"/>
      <c r="I14" s="13"/>
      <c r="J14" s="13"/>
    </row>
    <row r="15" customFormat="false" ht="15" hidden="false" customHeight="false" outlineLevel="0" collapsed="false">
      <c r="A15" s="15" t="n">
        <v>9</v>
      </c>
      <c r="B15" s="16"/>
      <c r="C15" s="13"/>
      <c r="D15" s="13"/>
      <c r="E15" s="13"/>
      <c r="F15" s="13"/>
      <c r="G15" s="13"/>
      <c r="H15" s="13"/>
      <c r="I15" s="13"/>
      <c r="J15" s="13"/>
    </row>
    <row r="16" customFormat="false" ht="15" hidden="false" customHeight="false" outlineLevel="0" collapsed="false">
      <c r="A16" s="15" t="n">
        <v>10</v>
      </c>
      <c r="B16" s="16"/>
      <c r="C16" s="13"/>
      <c r="D16" s="13"/>
      <c r="E16" s="13"/>
      <c r="F16" s="13"/>
      <c r="G16" s="13"/>
      <c r="H16" s="13"/>
      <c r="I16" s="13"/>
      <c r="J16" s="13"/>
    </row>
    <row r="17" customFormat="false" ht="15" hidden="false" customHeight="false" outlineLevel="0" collapsed="false">
      <c r="A17" s="15" t="n">
        <v>11</v>
      </c>
      <c r="B17" s="16"/>
      <c r="C17" s="13"/>
      <c r="D17" s="13"/>
      <c r="E17" s="13"/>
      <c r="F17" s="13"/>
      <c r="G17" s="13"/>
      <c r="H17" s="13"/>
      <c r="I17" s="13"/>
      <c r="J17" s="13"/>
    </row>
    <row r="18" customFormat="false" ht="15" hidden="false" customHeight="false" outlineLevel="0" collapsed="false">
      <c r="A18" s="15" t="n">
        <v>12</v>
      </c>
      <c r="B18" s="16"/>
      <c r="C18" s="13"/>
      <c r="D18" s="13"/>
      <c r="E18" s="13"/>
      <c r="F18" s="13"/>
      <c r="G18" s="13"/>
      <c r="H18" s="13"/>
      <c r="I18" s="13"/>
      <c r="J18" s="13"/>
    </row>
    <row r="19" customFormat="false" ht="15" hidden="false" customHeight="false" outlineLevel="0" collapsed="false">
      <c r="A19" s="15" t="n">
        <v>13</v>
      </c>
      <c r="B19" s="16"/>
      <c r="C19" s="13"/>
      <c r="D19" s="13"/>
      <c r="E19" s="13"/>
      <c r="F19" s="13"/>
      <c r="G19" s="13"/>
      <c r="H19" s="13"/>
      <c r="I19" s="13"/>
      <c r="J19" s="13"/>
    </row>
    <row r="20" customFormat="false" ht="15" hidden="false" customHeight="false" outlineLevel="0" collapsed="false">
      <c r="A20" s="15" t="n">
        <v>14</v>
      </c>
      <c r="B20" s="16"/>
      <c r="C20" s="13"/>
      <c r="D20" s="13"/>
      <c r="E20" s="13"/>
      <c r="F20" s="13"/>
      <c r="G20" s="13"/>
      <c r="H20" s="13"/>
      <c r="I20" s="13"/>
      <c r="J20" s="13"/>
    </row>
    <row r="21" customFormat="false" ht="15" hidden="false" customHeight="false" outlineLevel="0" collapsed="false">
      <c r="A21" s="15" t="n">
        <v>15</v>
      </c>
      <c r="B21" s="16"/>
      <c r="C21" s="13"/>
      <c r="D21" s="13"/>
      <c r="E21" s="13"/>
      <c r="F21" s="13"/>
      <c r="G21" s="13"/>
      <c r="H21" s="13"/>
      <c r="I21" s="13"/>
      <c r="J21" s="13"/>
    </row>
    <row r="22" customFormat="false" ht="15" hidden="false" customHeight="false" outlineLevel="0" collapsed="false">
      <c r="A22" s="15" t="n">
        <v>16</v>
      </c>
      <c r="B22" s="16"/>
      <c r="C22" s="13"/>
      <c r="D22" s="13"/>
      <c r="E22" s="13"/>
      <c r="F22" s="13"/>
      <c r="G22" s="13"/>
      <c r="H22" s="13"/>
      <c r="I22" s="13"/>
      <c r="J22" s="13"/>
    </row>
    <row r="23" customFormat="false" ht="15" hidden="false" customHeight="false" outlineLevel="0" collapsed="false">
      <c r="A23" s="15" t="n">
        <v>17</v>
      </c>
      <c r="B23" s="16"/>
      <c r="C23" s="13"/>
      <c r="D23" s="13"/>
      <c r="E23" s="13"/>
      <c r="F23" s="13"/>
      <c r="G23" s="13"/>
      <c r="H23" s="13"/>
      <c r="I23" s="13"/>
      <c r="J23" s="13"/>
    </row>
    <row r="24" customFormat="false" ht="15" hidden="false" customHeight="false" outlineLevel="0" collapsed="false">
      <c r="A24" s="15" t="n">
        <v>18</v>
      </c>
      <c r="B24" s="16"/>
      <c r="C24" s="13"/>
      <c r="D24" s="13"/>
      <c r="E24" s="13"/>
      <c r="F24" s="13"/>
      <c r="G24" s="13"/>
      <c r="H24" s="13"/>
      <c r="I24" s="13"/>
      <c r="J24" s="13"/>
    </row>
    <row r="25" customFormat="false" ht="15" hidden="false" customHeight="false" outlineLevel="0" collapsed="false">
      <c r="A25" s="15" t="n">
        <v>19</v>
      </c>
      <c r="B25" s="16"/>
      <c r="C25" s="13"/>
      <c r="D25" s="13"/>
      <c r="E25" s="13"/>
      <c r="F25" s="13"/>
      <c r="G25" s="13"/>
      <c r="H25" s="13"/>
      <c r="I25" s="13"/>
      <c r="J25" s="13"/>
    </row>
    <row r="26" customFormat="false" ht="15" hidden="false" customHeight="false" outlineLevel="0" collapsed="false">
      <c r="A26" s="15" t="n">
        <v>20</v>
      </c>
      <c r="B26" s="16"/>
      <c r="C26" s="13"/>
      <c r="D26" s="13"/>
      <c r="E26" s="13"/>
      <c r="F26" s="13"/>
      <c r="G26" s="13"/>
      <c r="H26" s="13"/>
      <c r="I26" s="13"/>
      <c r="J26" s="13"/>
    </row>
    <row r="28" customFormat="false" ht="15" hidden="false" customHeight="false" outlineLevel="0" collapsed="false">
      <c r="A28" s="17"/>
      <c r="B28" s="18" t="n">
        <f aca="false">COUNTA(C7:C26)</f>
        <v>0</v>
      </c>
    </row>
    <row r="29" customFormat="false" ht="15" hidden="false" customHeight="false" outlineLevel="0" collapsed="false">
      <c r="A29" s="17"/>
      <c r="B29" s="18" t="n">
        <f aca="false">COUNTIF(J7:J26,"Oui")</f>
        <v>0</v>
      </c>
    </row>
    <row r="30" customFormat="false" ht="15" hidden="false" customHeight="false" outlineLevel="0" collapsed="false">
      <c r="A30" s="17"/>
      <c r="B30" s="19" t="n">
        <f aca="false">IF(B28=0,0,B29/B28)</f>
        <v>0</v>
      </c>
    </row>
    <row r="31" customFormat="false" ht="15" hidden="false" customHeight="false" outlineLevel="0" collapsed="false">
      <c r="A31" s="17"/>
      <c r="B31" s="18" t="n">
        <f aca="false">COUNTIF(I7:I26,"Oui")</f>
        <v>0</v>
      </c>
    </row>
    <row r="32" customFormat="false" ht="15" hidden="false" customHeight="false" outlineLevel="0" collapsed="false">
      <c r="A32" s="17"/>
      <c r="B32" s="20" t="str">
        <f aca="false">IF(B28&gt;=15,"Oui","Pas encore")</f>
        <v>Pas encore</v>
      </c>
    </row>
  </sheetData>
  <dataValidations count="1">
    <dataValidation allowBlank="true" errorStyle="stop" operator="between" showDropDown="false" showErrorMessage="false" showInputMessage="false" sqref="I7:J26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92B"/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3" min="3" style="0" width="50"/>
  </cols>
  <sheetData>
    <row r="1" customFormat="false" ht="19.7" hidden="false" customHeight="false" outlineLevel="0" collapsed="false">
      <c r="A1" s="8" t="s">
        <v>86</v>
      </c>
    </row>
    <row r="2" customFormat="false" ht="15" hidden="false" customHeight="false" outlineLevel="0" collapsed="false">
      <c r="A2" s="9" t="s">
        <v>87</v>
      </c>
    </row>
    <row r="3" customFormat="false" ht="15" hidden="false" customHeight="false" outlineLevel="0" collapsed="false">
      <c r="A3" s="10" t="s">
        <v>33</v>
      </c>
    </row>
    <row r="5" customFormat="false" ht="30" hidden="false" customHeight="true" outlineLevel="0" collapsed="false">
      <c r="A5" s="11" t="s">
        <v>88</v>
      </c>
      <c r="B5" s="11" t="s">
        <v>89</v>
      </c>
      <c r="C5" s="11" t="s">
        <v>90</v>
      </c>
    </row>
    <row r="6" customFormat="false" ht="15" hidden="false" customHeight="false" outlineLevel="0" collapsed="false">
      <c r="A6" s="15" t="s">
        <v>91</v>
      </c>
      <c r="B6" s="21" t="n">
        <v>300</v>
      </c>
      <c r="C6" s="15" t="s">
        <v>92</v>
      </c>
    </row>
    <row r="7" customFormat="false" ht="15" hidden="false" customHeight="false" outlineLevel="0" collapsed="false">
      <c r="A7" s="15" t="s">
        <v>93</v>
      </c>
      <c r="B7" s="21" t="n">
        <v>500</v>
      </c>
      <c r="C7" s="15" t="s">
        <v>94</v>
      </c>
    </row>
    <row r="8" customFormat="false" ht="15" hidden="false" customHeight="false" outlineLevel="0" collapsed="false">
      <c r="A8" s="15" t="s">
        <v>95</v>
      </c>
      <c r="B8" s="21" t="n">
        <v>250000</v>
      </c>
      <c r="C8" s="15" t="s">
        <v>96</v>
      </c>
    </row>
    <row r="9" customFormat="false" ht="15" hidden="false" customHeight="false" outlineLevel="0" collapsed="false">
      <c r="A9" s="15" t="s">
        <v>97</v>
      </c>
      <c r="B9" s="21" t="n">
        <v>1500</v>
      </c>
      <c r="C9" s="15" t="s">
        <v>98</v>
      </c>
    </row>
    <row r="10" customFormat="false" ht="15" hidden="false" customHeight="false" outlineLevel="0" collapsed="false">
      <c r="A10" s="12" t="s">
        <v>99</v>
      </c>
      <c r="B10" s="22" t="n">
        <f aca="false">B7-B6</f>
        <v>200</v>
      </c>
      <c r="C10" s="15" t="s">
        <v>100</v>
      </c>
    </row>
    <row r="11" customFormat="false" ht="15" hidden="false" customHeight="false" outlineLevel="0" collapsed="false">
      <c r="A11" s="12" t="s">
        <v>101</v>
      </c>
      <c r="B11" s="23" t="n">
        <f aca="false">IF(B7=0,0,B10/B7)</f>
        <v>0.4</v>
      </c>
      <c r="C11" s="15" t="s">
        <v>102</v>
      </c>
    </row>
    <row r="12" customFormat="false" ht="15" hidden="false" customHeight="false" outlineLevel="0" collapsed="false">
      <c r="A12" s="12" t="s">
        <v>103</v>
      </c>
      <c r="B12" s="22" t="n">
        <f aca="false">IF(B10&lt;=0,0,ROUNDUP(B8/B10,0))</f>
        <v>1250</v>
      </c>
      <c r="C12" s="15" t="s">
        <v>104</v>
      </c>
    </row>
    <row r="13" customFormat="false" ht="15" hidden="false" customHeight="false" outlineLevel="0" collapsed="false">
      <c r="A13" s="12" t="s">
        <v>105</v>
      </c>
      <c r="B13" s="22" t="n">
        <f aca="false">B12*B7</f>
        <v>625000</v>
      </c>
      <c r="C13" s="15"/>
    </row>
    <row r="14" customFormat="false" ht="15" hidden="false" customHeight="false" outlineLevel="0" collapsed="false">
      <c r="A14" s="12" t="s">
        <v>106</v>
      </c>
      <c r="B14" s="22" t="n">
        <f aca="false">B9-B12</f>
        <v>250</v>
      </c>
      <c r="C14" s="15" t="s">
        <v>107</v>
      </c>
    </row>
    <row r="15" customFormat="false" ht="15" hidden="false" customHeight="false" outlineLevel="0" collapsed="false">
      <c r="A15" s="12" t="s">
        <v>108</v>
      </c>
      <c r="B15" s="22" t="n">
        <f aca="false">B9*B10-B8</f>
        <v>50000</v>
      </c>
      <c r="C15" s="15" t="s">
        <v>109</v>
      </c>
    </row>
    <row r="16" customFormat="false" ht="30" hidden="false" customHeight="true" outlineLevel="0" collapsed="false">
      <c r="A16" s="12" t="s">
        <v>110</v>
      </c>
      <c r="B16" s="20" t="str">
        <f aca="false">IF(B10&lt;=0,"Prix trop bas : la marge est nulle ou négative",IF(B9&gt;=B12,"Objectif au-dessus du seuil : le projet peut être rentable","Objectif sous le seuil : revoir le prix, les coûts ou le projet"))</f>
        <v>Objectif au-dessus du seuil : le projet peut être rentable</v>
      </c>
      <c r="C16" s="20"/>
    </row>
    <row r="18" customFormat="false" ht="15" hidden="false" customHeight="false" outlineLevel="0" collapsed="false">
      <c r="A18" s="24" t="s">
        <v>111</v>
      </c>
    </row>
  </sheetData>
  <mergeCells count="1">
    <mergeCell ref="B16:C16"/>
  </mergeCells>
  <conditionalFormatting sqref="B16">
    <cfRule type="expression" priority="2" aboveAverage="0" equalAverage="0" bottom="0" percent="0" rank="0" text="" dxfId="0">
      <formula>$B$9&gt;=$B$12</formula>
    </cfRule>
    <cfRule type="expression" priority="3" aboveAverage="0" equalAverage="0" bottom="0" percent="0" rank="0" text="" dxfId="1">
      <formula>$B$9&lt;$B$12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92B"/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7" min="6" style="0" width="36"/>
    <col collapsed="false" customWidth="true" hidden="false" outlineLevel="0" max="8" min="8" style="0" width="16"/>
  </cols>
  <sheetData>
    <row r="1" customFormat="false" ht="19.7" hidden="false" customHeight="false" outlineLevel="0" collapsed="false">
      <c r="A1" s="8" t="s">
        <v>112</v>
      </c>
    </row>
    <row r="2" customFormat="false" ht="15" hidden="false" customHeight="false" outlineLevel="0" collapsed="false">
      <c r="A2" s="9" t="s">
        <v>113</v>
      </c>
    </row>
    <row r="3" customFormat="false" ht="15" hidden="false" customHeight="false" outlineLevel="0" collapsed="false">
      <c r="A3" s="10" t="s">
        <v>33</v>
      </c>
    </row>
    <row r="5" customFormat="false" ht="30" hidden="false" customHeight="true" outlineLevel="0" collapsed="false">
      <c r="A5" s="11" t="s">
        <v>114</v>
      </c>
      <c r="B5" s="11" t="s">
        <v>115</v>
      </c>
      <c r="C5" s="11" t="s">
        <v>116</v>
      </c>
      <c r="D5" s="11" t="s">
        <v>117</v>
      </c>
      <c r="E5" s="11" t="s">
        <v>118</v>
      </c>
      <c r="F5" s="11" t="s">
        <v>119</v>
      </c>
      <c r="G5" s="11" t="s">
        <v>120</v>
      </c>
      <c r="H5" s="11" t="s">
        <v>121</v>
      </c>
    </row>
    <row r="6" customFormat="false" ht="23.85" hidden="false" customHeight="false" outlineLevel="0" collapsed="false">
      <c r="A6" s="14" t="s">
        <v>122</v>
      </c>
      <c r="B6" s="14" t="n">
        <v>3</v>
      </c>
      <c r="C6" s="14" t="n">
        <v>2</v>
      </c>
      <c r="D6" s="25" t="n">
        <f aca="false">IF(AND(ISNUMBER(B6),ISNUMBER(C6)),B6*C6,"")</f>
        <v>6</v>
      </c>
      <c r="E6" s="25" t="str">
        <f aca="false">IF(D6="","",IF(D6&gt;=6,"Prioritaire",IF(D6&gt;=3,"À surveiller","Faible")))</f>
        <v>Prioritaire</v>
      </c>
      <c r="F6" s="14" t="s">
        <v>123</v>
      </c>
      <c r="G6" s="14" t="s">
        <v>124</v>
      </c>
      <c r="H6" s="14" t="s">
        <v>40</v>
      </c>
    </row>
    <row r="7" customFormat="false" ht="15" hidden="false" customHeight="false" outlineLevel="0" collapsed="false">
      <c r="A7" s="13"/>
      <c r="B7" s="13"/>
      <c r="C7" s="13"/>
      <c r="D7" s="26" t="str">
        <f aca="false">IF(AND(ISNUMBER(B7),ISNUMBER(C7)),B7*C7,"")</f>
        <v/>
      </c>
      <c r="E7" s="26" t="str">
        <f aca="false">IF(D7="","",IF(D7&gt;=6,"Prioritaire",IF(D7&gt;=3,"À surveiller","Faible")))</f>
        <v/>
      </c>
      <c r="F7" s="13"/>
      <c r="G7" s="13"/>
      <c r="H7" s="13"/>
    </row>
    <row r="8" customFormat="false" ht="15" hidden="false" customHeight="false" outlineLevel="0" collapsed="false">
      <c r="A8" s="13"/>
      <c r="B8" s="13"/>
      <c r="C8" s="13"/>
      <c r="D8" s="26" t="str">
        <f aca="false">IF(AND(ISNUMBER(B8),ISNUMBER(C8)),B8*C8,"")</f>
        <v/>
      </c>
      <c r="E8" s="26" t="str">
        <f aca="false">IF(D8="","",IF(D8&gt;=6,"Prioritaire",IF(D8&gt;=3,"À surveiller","Faible")))</f>
        <v/>
      </c>
      <c r="F8" s="13"/>
      <c r="G8" s="13"/>
      <c r="H8" s="13"/>
    </row>
    <row r="9" customFormat="false" ht="15" hidden="false" customHeight="false" outlineLevel="0" collapsed="false">
      <c r="A9" s="13"/>
      <c r="B9" s="13"/>
      <c r="C9" s="13"/>
      <c r="D9" s="26" t="str">
        <f aca="false">IF(AND(ISNUMBER(B9),ISNUMBER(C9)),B9*C9,"")</f>
        <v/>
      </c>
      <c r="E9" s="26" t="str">
        <f aca="false">IF(D9="","",IF(D9&gt;=6,"Prioritaire",IF(D9&gt;=3,"À surveiller","Faible")))</f>
        <v/>
      </c>
      <c r="F9" s="13"/>
      <c r="G9" s="13"/>
      <c r="H9" s="13"/>
    </row>
    <row r="10" customFormat="false" ht="15" hidden="false" customHeight="false" outlineLevel="0" collapsed="false">
      <c r="A10" s="13"/>
      <c r="B10" s="13"/>
      <c r="C10" s="13"/>
      <c r="D10" s="26" t="str">
        <f aca="false">IF(AND(ISNUMBER(B10),ISNUMBER(C10)),B10*C10,"")</f>
        <v/>
      </c>
      <c r="E10" s="26" t="str">
        <f aca="false">IF(D10="","",IF(D10&gt;=6,"Prioritaire",IF(D10&gt;=3,"À surveiller","Faible")))</f>
        <v/>
      </c>
      <c r="F10" s="13"/>
      <c r="G10" s="13"/>
      <c r="H10" s="13"/>
    </row>
    <row r="11" customFormat="false" ht="15" hidden="false" customHeight="false" outlineLevel="0" collapsed="false">
      <c r="A11" s="13"/>
      <c r="B11" s="13"/>
      <c r="C11" s="13"/>
      <c r="D11" s="26" t="str">
        <f aca="false">IF(AND(ISNUMBER(B11),ISNUMBER(C11)),B11*C11,"")</f>
        <v/>
      </c>
      <c r="E11" s="26" t="str">
        <f aca="false">IF(D11="","",IF(D11&gt;=6,"Prioritaire",IF(D11&gt;=3,"À surveiller","Faible")))</f>
        <v/>
      </c>
      <c r="F11" s="13"/>
      <c r="G11" s="13"/>
      <c r="H11" s="13"/>
    </row>
    <row r="12" customFormat="false" ht="15" hidden="false" customHeight="false" outlineLevel="0" collapsed="false">
      <c r="A12" s="13"/>
      <c r="B12" s="13"/>
      <c r="C12" s="13"/>
      <c r="D12" s="26" t="str">
        <f aca="false">IF(AND(ISNUMBER(B12),ISNUMBER(C12)),B12*C12,"")</f>
        <v/>
      </c>
      <c r="E12" s="26" t="str">
        <f aca="false">IF(D12="","",IF(D12&gt;=6,"Prioritaire",IF(D12&gt;=3,"À surveiller","Faible")))</f>
        <v/>
      </c>
      <c r="F12" s="13"/>
      <c r="G12" s="13"/>
      <c r="H12" s="13"/>
    </row>
    <row r="13" customFormat="false" ht="15" hidden="false" customHeight="false" outlineLevel="0" collapsed="false">
      <c r="A13" s="13"/>
      <c r="B13" s="13"/>
      <c r="C13" s="13"/>
      <c r="D13" s="26" t="str">
        <f aca="false">IF(AND(ISNUMBER(B13),ISNUMBER(C13)),B13*C13,"")</f>
        <v/>
      </c>
      <c r="E13" s="26" t="str">
        <f aca="false">IF(D13="","",IF(D13&gt;=6,"Prioritaire",IF(D13&gt;=3,"À surveiller","Faible")))</f>
        <v/>
      </c>
      <c r="F13" s="13"/>
      <c r="G13" s="13"/>
      <c r="H13" s="13"/>
    </row>
    <row r="14" customFormat="false" ht="15" hidden="false" customHeight="false" outlineLevel="0" collapsed="false">
      <c r="A14" s="13"/>
      <c r="B14" s="13"/>
      <c r="C14" s="13"/>
      <c r="D14" s="26" t="str">
        <f aca="false">IF(AND(ISNUMBER(B14),ISNUMBER(C14)),B14*C14,"")</f>
        <v/>
      </c>
      <c r="E14" s="26" t="str">
        <f aca="false">IF(D14="","",IF(D14&gt;=6,"Prioritaire",IF(D14&gt;=3,"À surveiller","Faible")))</f>
        <v/>
      </c>
      <c r="F14" s="13"/>
      <c r="G14" s="13"/>
      <c r="H14" s="13"/>
    </row>
    <row r="15" customFormat="false" ht="15" hidden="false" customHeight="false" outlineLevel="0" collapsed="false">
      <c r="A15" s="13"/>
      <c r="B15" s="13"/>
      <c r="C15" s="13"/>
      <c r="D15" s="26" t="str">
        <f aca="false">IF(AND(ISNUMBER(B15),ISNUMBER(C15)),B15*C15,"")</f>
        <v/>
      </c>
      <c r="E15" s="26" t="str">
        <f aca="false">IF(D15="","",IF(D15&gt;=6,"Prioritaire",IF(D15&gt;=3,"À surveiller","Faible")))</f>
        <v/>
      </c>
      <c r="F15" s="13"/>
      <c r="G15" s="13"/>
      <c r="H15" s="13"/>
    </row>
    <row r="16" customFormat="false" ht="15" hidden="false" customHeight="false" outlineLevel="0" collapsed="false">
      <c r="A16" s="13"/>
      <c r="B16" s="13"/>
      <c r="C16" s="13"/>
      <c r="D16" s="26" t="str">
        <f aca="false">IF(AND(ISNUMBER(B16),ISNUMBER(C16)),B16*C16,"")</f>
        <v/>
      </c>
      <c r="E16" s="26" t="str">
        <f aca="false">IF(D16="","",IF(D16&gt;=6,"Prioritaire",IF(D16&gt;=3,"À surveiller","Faible")))</f>
        <v/>
      </c>
      <c r="F16" s="13"/>
      <c r="G16" s="13"/>
      <c r="H16" s="13"/>
    </row>
    <row r="18" customFormat="false" ht="15" hidden="false" customHeight="false" outlineLevel="0" collapsed="false">
      <c r="A18" s="6" t="s">
        <v>125</v>
      </c>
      <c r="B18" s="18" t="n">
        <f aca="false">COUNTIF(D7:D16,"&gt;=6")</f>
        <v>0</v>
      </c>
    </row>
  </sheetData>
  <conditionalFormatting sqref="D6:E16">
    <cfRule type="expression" priority="2" aboveAverage="0" equalAverage="0" bottom="0" percent="0" rank="0" text="" dxfId="1">
      <formula>AND(ISNUMBER($D6),$D6&gt;=6)</formula>
    </cfRule>
    <cfRule type="expression" priority="3" aboveAverage="0" equalAverage="0" bottom="0" percent="0" rank="0" text="" dxfId="2">
      <formula>AND(ISNUMBER($D6),$D6&gt;=3,$D6&lt;6)</formula>
    </cfRule>
    <cfRule type="expression" priority="4" aboveAverage="0" equalAverage="0" bottom="0" percent="0" rank="0" text="" dxfId="0">
      <formula>AND(ISNUMBER($D6),$D6&lt;3)</formula>
    </cfRule>
  </conditionalFormatting>
  <dataValidations count="1">
    <dataValidation allowBlank="true" error="Saisis 1, 2 ou 3" errorStyle="stop" operator="between" showDropDown="false" showErrorMessage="false" showInputMessage="false" sqref="B7:C16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92B"/>
    <pageSetUpPr fitToPage="fals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5" min="4" style="0" width="13"/>
    <col collapsed="false" customWidth="true" hidden="false" outlineLevel="0" max="6" min="6" style="0" width="10"/>
    <col collapsed="false" customWidth="true" hidden="false" outlineLevel="0" max="7" min="7" style="0" width="20"/>
    <col collapsed="false" customWidth="true" hidden="false" outlineLevel="0" max="8" min="8" style="0" width="13"/>
  </cols>
  <sheetData>
    <row r="1" customFormat="false" ht="19.7" hidden="false" customHeight="false" outlineLevel="0" collapsed="false">
      <c r="A1" s="8" t="s">
        <v>126</v>
      </c>
    </row>
    <row r="2" customFormat="false" ht="15" hidden="false" customHeight="false" outlineLevel="0" collapsed="false">
      <c r="A2" s="9" t="s">
        <v>127</v>
      </c>
    </row>
    <row r="3" customFormat="false" ht="15" hidden="false" customHeight="false" outlineLevel="0" collapsed="false">
      <c r="A3" s="10" t="s">
        <v>33</v>
      </c>
    </row>
    <row r="5" customFormat="false" ht="30" hidden="false" customHeight="true" outlineLevel="0" collapsed="false">
      <c r="A5" s="11" t="s">
        <v>128</v>
      </c>
      <c r="B5" s="11" t="s">
        <v>129</v>
      </c>
      <c r="C5" s="11" t="s">
        <v>121</v>
      </c>
      <c r="D5" s="11" t="s">
        <v>130</v>
      </c>
      <c r="E5" s="11" t="s">
        <v>131</v>
      </c>
      <c r="F5" s="11" t="s">
        <v>132</v>
      </c>
      <c r="G5" s="11" t="s">
        <v>133</v>
      </c>
      <c r="H5" s="11" t="s">
        <v>134</v>
      </c>
    </row>
    <row r="6" customFormat="false" ht="15" hidden="false" customHeight="false" outlineLevel="0" collapsed="false">
      <c r="A6" s="14" t="s">
        <v>135</v>
      </c>
      <c r="B6" s="14" t="s">
        <v>136</v>
      </c>
      <c r="C6" s="14" t="s">
        <v>40</v>
      </c>
      <c r="D6" s="27" t="n">
        <v>46328</v>
      </c>
      <c r="E6" s="27" t="n">
        <v>46339</v>
      </c>
      <c r="F6" s="14" t="n">
        <f aca="false">IF(AND(ISNUMBER(D6),ISNUMBER(E6)),E6-D6+1,"")</f>
        <v>12</v>
      </c>
      <c r="G6" s="14" t="s">
        <v>78</v>
      </c>
      <c r="H6" s="25" t="s">
        <v>137</v>
      </c>
    </row>
    <row r="7" customFormat="false" ht="15" hidden="false" customHeight="false" outlineLevel="0" collapsed="false">
      <c r="A7" s="13"/>
      <c r="B7" s="13"/>
      <c r="C7" s="13"/>
      <c r="D7" s="16"/>
      <c r="E7" s="16"/>
      <c r="F7" s="26" t="str">
        <f aca="false">IF(AND(ISNUMBER(D7),ISNUMBER(E7)),E7-D7+1,"")</f>
        <v/>
      </c>
      <c r="G7" s="13"/>
      <c r="H7" s="13"/>
    </row>
    <row r="8" customFormat="false" ht="15" hidden="false" customHeight="false" outlineLevel="0" collapsed="false">
      <c r="A8" s="13"/>
      <c r="B8" s="13"/>
      <c r="C8" s="13"/>
      <c r="D8" s="16"/>
      <c r="E8" s="16"/>
      <c r="F8" s="26" t="str">
        <f aca="false">IF(AND(ISNUMBER(D8),ISNUMBER(E8)),E8-D8+1,"")</f>
        <v/>
      </c>
      <c r="G8" s="13"/>
      <c r="H8" s="13"/>
    </row>
    <row r="9" customFormat="false" ht="15" hidden="false" customHeight="false" outlineLevel="0" collapsed="false">
      <c r="A9" s="13"/>
      <c r="B9" s="13"/>
      <c r="C9" s="13"/>
      <c r="D9" s="16"/>
      <c r="E9" s="16"/>
      <c r="F9" s="26" t="str">
        <f aca="false">IF(AND(ISNUMBER(D9),ISNUMBER(E9)),E9-D9+1,"")</f>
        <v/>
      </c>
      <c r="G9" s="13"/>
      <c r="H9" s="13"/>
    </row>
    <row r="10" customFormat="false" ht="15" hidden="false" customHeight="false" outlineLevel="0" collapsed="false">
      <c r="A10" s="13"/>
      <c r="B10" s="13"/>
      <c r="C10" s="13"/>
      <c r="D10" s="16"/>
      <c r="E10" s="16"/>
      <c r="F10" s="26" t="str">
        <f aca="false">IF(AND(ISNUMBER(D10),ISNUMBER(E10)),E10-D10+1,"")</f>
        <v/>
      </c>
      <c r="G10" s="13"/>
      <c r="H10" s="13"/>
    </row>
    <row r="11" customFormat="false" ht="15" hidden="false" customHeight="false" outlineLevel="0" collapsed="false">
      <c r="A11" s="13"/>
      <c r="B11" s="13"/>
      <c r="C11" s="13"/>
      <c r="D11" s="16"/>
      <c r="E11" s="16"/>
      <c r="F11" s="26" t="str">
        <f aca="false">IF(AND(ISNUMBER(D11),ISNUMBER(E11)),E11-D11+1,"")</f>
        <v/>
      </c>
      <c r="G11" s="13"/>
      <c r="H11" s="13"/>
    </row>
    <row r="12" customFormat="false" ht="15" hidden="false" customHeight="false" outlineLevel="0" collapsed="false">
      <c r="A12" s="13"/>
      <c r="B12" s="13"/>
      <c r="C12" s="13"/>
      <c r="D12" s="16"/>
      <c r="E12" s="16"/>
      <c r="F12" s="26" t="str">
        <f aca="false">IF(AND(ISNUMBER(D12),ISNUMBER(E12)),E12-D12+1,"")</f>
        <v/>
      </c>
      <c r="G12" s="13"/>
      <c r="H12" s="13"/>
    </row>
    <row r="13" customFormat="false" ht="15" hidden="false" customHeight="false" outlineLevel="0" collapsed="false">
      <c r="A13" s="13"/>
      <c r="B13" s="13"/>
      <c r="C13" s="13"/>
      <c r="D13" s="16"/>
      <c r="E13" s="16"/>
      <c r="F13" s="26" t="str">
        <f aca="false">IF(AND(ISNUMBER(D13),ISNUMBER(E13)),E13-D13+1,"")</f>
        <v/>
      </c>
      <c r="G13" s="13"/>
      <c r="H13" s="13"/>
    </row>
    <row r="14" customFormat="false" ht="15" hidden="false" customHeight="false" outlineLevel="0" collapsed="false">
      <c r="A14" s="13"/>
      <c r="B14" s="13"/>
      <c r="C14" s="13"/>
      <c r="D14" s="16"/>
      <c r="E14" s="16"/>
      <c r="F14" s="26" t="str">
        <f aca="false">IF(AND(ISNUMBER(D14),ISNUMBER(E14)),E14-D14+1,"")</f>
        <v/>
      </c>
      <c r="G14" s="13"/>
      <c r="H14" s="13"/>
    </row>
    <row r="15" customFormat="false" ht="15" hidden="false" customHeight="false" outlineLevel="0" collapsed="false">
      <c r="A15" s="13"/>
      <c r="B15" s="13"/>
      <c r="C15" s="13"/>
      <c r="D15" s="16"/>
      <c r="E15" s="16"/>
      <c r="F15" s="26" t="str">
        <f aca="false">IF(AND(ISNUMBER(D15),ISNUMBER(E15)),E15-D15+1,"")</f>
        <v/>
      </c>
      <c r="G15" s="13"/>
      <c r="H15" s="13"/>
    </row>
    <row r="16" customFormat="false" ht="15" hidden="false" customHeight="false" outlineLevel="0" collapsed="false">
      <c r="A16" s="13"/>
      <c r="B16" s="13"/>
      <c r="C16" s="13"/>
      <c r="D16" s="16"/>
      <c r="E16" s="16"/>
      <c r="F16" s="26" t="str">
        <f aca="false">IF(AND(ISNUMBER(D16),ISNUMBER(E16)),E16-D16+1,"")</f>
        <v/>
      </c>
      <c r="G16" s="13"/>
      <c r="H16" s="13"/>
    </row>
    <row r="17" customFormat="false" ht="15" hidden="false" customHeight="false" outlineLevel="0" collapsed="false">
      <c r="A17" s="13"/>
      <c r="B17" s="13"/>
      <c r="C17" s="13"/>
      <c r="D17" s="16"/>
      <c r="E17" s="16"/>
      <c r="F17" s="26" t="str">
        <f aca="false">IF(AND(ISNUMBER(D17),ISNUMBER(E17)),E17-D17+1,"")</f>
        <v/>
      </c>
      <c r="G17" s="13"/>
      <c r="H17" s="13"/>
    </row>
    <row r="18" customFormat="false" ht="15" hidden="false" customHeight="false" outlineLevel="0" collapsed="false">
      <c r="A18" s="13"/>
      <c r="B18" s="13"/>
      <c r="C18" s="13"/>
      <c r="D18" s="16"/>
      <c r="E18" s="16"/>
      <c r="F18" s="26" t="str">
        <f aca="false">IF(AND(ISNUMBER(D18),ISNUMBER(E18)),E18-D18+1,"")</f>
        <v/>
      </c>
      <c r="G18" s="13"/>
      <c r="H18" s="13"/>
    </row>
    <row r="19" customFormat="false" ht="15" hidden="false" customHeight="false" outlineLevel="0" collapsed="false">
      <c r="A19" s="13"/>
      <c r="B19" s="13"/>
      <c r="C19" s="13"/>
      <c r="D19" s="16"/>
      <c r="E19" s="16"/>
      <c r="F19" s="26" t="str">
        <f aca="false">IF(AND(ISNUMBER(D19),ISNUMBER(E19)),E19-D19+1,"")</f>
        <v/>
      </c>
      <c r="G19" s="13"/>
      <c r="H19" s="13"/>
    </row>
    <row r="20" customFormat="false" ht="15" hidden="false" customHeight="false" outlineLevel="0" collapsed="false">
      <c r="A20" s="13"/>
      <c r="B20" s="13"/>
      <c r="C20" s="13"/>
      <c r="D20" s="16"/>
      <c r="E20" s="16"/>
      <c r="F20" s="26" t="str">
        <f aca="false">IF(AND(ISNUMBER(D20),ISNUMBER(E20)),E20-D20+1,"")</f>
        <v/>
      </c>
      <c r="G20" s="13"/>
      <c r="H20" s="13"/>
    </row>
    <row r="21" customFormat="false" ht="15" hidden="false" customHeight="false" outlineLevel="0" collapsed="false">
      <c r="A21" s="13"/>
      <c r="B21" s="13"/>
      <c r="C21" s="13"/>
      <c r="D21" s="16"/>
      <c r="E21" s="16"/>
      <c r="F21" s="26" t="str">
        <f aca="false">IF(AND(ISNUMBER(D21),ISNUMBER(E21)),E21-D21+1,"")</f>
        <v/>
      </c>
      <c r="G21" s="13"/>
      <c r="H21" s="13"/>
    </row>
    <row r="22" customFormat="false" ht="15" hidden="false" customHeight="false" outlineLevel="0" collapsed="false">
      <c r="A22" s="13"/>
      <c r="B22" s="13"/>
      <c r="C22" s="13"/>
      <c r="D22" s="16"/>
      <c r="E22" s="16"/>
      <c r="F22" s="26" t="str">
        <f aca="false">IF(AND(ISNUMBER(D22),ISNUMBER(E22)),E22-D22+1,"")</f>
        <v/>
      </c>
      <c r="G22" s="13"/>
      <c r="H22" s="13"/>
    </row>
    <row r="23" customFormat="false" ht="15" hidden="false" customHeight="false" outlineLevel="0" collapsed="false">
      <c r="A23" s="13"/>
      <c r="B23" s="13"/>
      <c r="C23" s="13"/>
      <c r="D23" s="16"/>
      <c r="E23" s="16"/>
      <c r="F23" s="26" t="str">
        <f aca="false">IF(AND(ISNUMBER(D23),ISNUMBER(E23)),E23-D23+1,"")</f>
        <v/>
      </c>
      <c r="G23" s="13"/>
      <c r="H23" s="13"/>
    </row>
    <row r="24" customFormat="false" ht="15" hidden="false" customHeight="false" outlineLevel="0" collapsed="false">
      <c r="A24" s="13"/>
      <c r="B24" s="13"/>
      <c r="C24" s="13"/>
      <c r="D24" s="16"/>
      <c r="E24" s="16"/>
      <c r="F24" s="26" t="str">
        <f aca="false">IF(AND(ISNUMBER(D24),ISNUMBER(E24)),E24-D24+1,"")</f>
        <v/>
      </c>
      <c r="G24" s="13"/>
      <c r="H24" s="13"/>
    </row>
    <row r="25" customFormat="false" ht="15" hidden="false" customHeight="false" outlineLevel="0" collapsed="false">
      <c r="A25" s="13"/>
      <c r="B25" s="13"/>
      <c r="C25" s="13"/>
      <c r="D25" s="16"/>
      <c r="E25" s="16"/>
      <c r="F25" s="26" t="str">
        <f aca="false">IF(AND(ISNUMBER(D25),ISNUMBER(E25)),E25-D25+1,"")</f>
        <v/>
      </c>
      <c r="G25" s="13"/>
      <c r="H25" s="13"/>
    </row>
    <row r="26" customFormat="false" ht="15" hidden="false" customHeight="false" outlineLevel="0" collapsed="false">
      <c r="A26" s="13"/>
      <c r="B26" s="13"/>
      <c r="C26" s="13"/>
      <c r="D26" s="16"/>
      <c r="E26" s="16"/>
      <c r="F26" s="26" t="str">
        <f aca="false">IF(AND(ISNUMBER(D26),ISNUMBER(E26)),E26-D26+1,"")</f>
        <v/>
      </c>
      <c r="G26" s="13"/>
      <c r="H26" s="13"/>
    </row>
    <row r="27" customFormat="false" ht="15" hidden="false" customHeight="false" outlineLevel="0" collapsed="false">
      <c r="A27" s="13"/>
      <c r="B27" s="13"/>
      <c r="C27" s="13"/>
      <c r="D27" s="16"/>
      <c r="E27" s="16"/>
      <c r="F27" s="26" t="str">
        <f aca="false">IF(AND(ISNUMBER(D27),ISNUMBER(E27)),E27-D27+1,"")</f>
        <v/>
      </c>
      <c r="G27" s="13"/>
      <c r="H27" s="13"/>
    </row>
    <row r="28" customFormat="false" ht="15" hidden="false" customHeight="false" outlineLevel="0" collapsed="false">
      <c r="A28" s="13"/>
      <c r="B28" s="13"/>
      <c r="C28" s="13"/>
      <c r="D28" s="16"/>
      <c r="E28" s="16"/>
      <c r="F28" s="26" t="str">
        <f aca="false">IF(AND(ISNUMBER(D28),ISNUMBER(E28)),E28-D28+1,"")</f>
        <v/>
      </c>
      <c r="G28" s="13"/>
      <c r="H28" s="13"/>
    </row>
    <row r="29" customFormat="false" ht="15" hidden="false" customHeight="false" outlineLevel="0" collapsed="false">
      <c r="A29" s="13"/>
      <c r="B29" s="13"/>
      <c r="C29" s="13"/>
      <c r="D29" s="16"/>
      <c r="E29" s="16"/>
      <c r="F29" s="26" t="str">
        <f aca="false">IF(AND(ISNUMBER(D29),ISNUMBER(E29)),E29-D29+1,"")</f>
        <v/>
      </c>
      <c r="G29" s="13"/>
      <c r="H29" s="13"/>
    </row>
    <row r="30" customFormat="false" ht="15" hidden="false" customHeight="false" outlineLevel="0" collapsed="false">
      <c r="A30" s="13"/>
      <c r="B30" s="13"/>
      <c r="C30" s="13"/>
      <c r="D30" s="16"/>
      <c r="E30" s="16"/>
      <c r="F30" s="26" t="str">
        <f aca="false">IF(AND(ISNUMBER(D30),ISNUMBER(E30)),E30-D30+1,"")</f>
        <v/>
      </c>
      <c r="G30" s="13"/>
      <c r="H30" s="13"/>
    </row>
    <row r="31" customFormat="false" ht="15" hidden="false" customHeight="false" outlineLevel="0" collapsed="false">
      <c r="A31" s="13"/>
      <c r="B31" s="13"/>
      <c r="C31" s="13"/>
      <c r="D31" s="16"/>
      <c r="E31" s="16"/>
      <c r="F31" s="26" t="str">
        <f aca="false">IF(AND(ISNUMBER(D31),ISNUMBER(E31)),E31-D31+1,"")</f>
        <v/>
      </c>
      <c r="G31" s="13"/>
      <c r="H31" s="13"/>
    </row>
    <row r="32" customFormat="false" ht="15" hidden="false" customHeight="false" outlineLevel="0" collapsed="false">
      <c r="A32" s="13"/>
      <c r="B32" s="13"/>
      <c r="C32" s="13"/>
      <c r="D32" s="16"/>
      <c r="E32" s="16"/>
      <c r="F32" s="26" t="str">
        <f aca="false">IF(AND(ISNUMBER(D32),ISNUMBER(E32)),E32-D32+1,"")</f>
        <v/>
      </c>
      <c r="G32" s="13"/>
      <c r="H32" s="13"/>
    </row>
    <row r="33" customFormat="false" ht="15" hidden="false" customHeight="false" outlineLevel="0" collapsed="false">
      <c r="A33" s="13"/>
      <c r="B33" s="13"/>
      <c r="C33" s="13"/>
      <c r="D33" s="16"/>
      <c r="E33" s="16"/>
      <c r="F33" s="26" t="str">
        <f aca="false">IF(AND(ISNUMBER(D33),ISNUMBER(E33)),E33-D33+1,"")</f>
        <v/>
      </c>
      <c r="G33" s="13"/>
      <c r="H33" s="13"/>
    </row>
    <row r="34" customFormat="false" ht="15" hidden="false" customHeight="false" outlineLevel="0" collapsed="false">
      <c r="A34" s="13"/>
      <c r="B34" s="13"/>
      <c r="C34" s="13"/>
      <c r="D34" s="16"/>
      <c r="E34" s="16"/>
      <c r="F34" s="26" t="str">
        <f aca="false">IF(AND(ISNUMBER(D34),ISNUMBER(E34)),E34-D34+1,"")</f>
        <v/>
      </c>
      <c r="G34" s="13"/>
      <c r="H34" s="13"/>
    </row>
    <row r="35" customFormat="false" ht="15" hidden="false" customHeight="false" outlineLevel="0" collapsed="false">
      <c r="A35" s="13"/>
      <c r="B35" s="13"/>
      <c r="C35" s="13"/>
      <c r="D35" s="16"/>
      <c r="E35" s="16"/>
      <c r="F35" s="26" t="str">
        <f aca="false">IF(AND(ISNUMBER(D35),ISNUMBER(E35)),E35-D35+1,"")</f>
        <v/>
      </c>
      <c r="G35" s="13"/>
      <c r="H35" s="13"/>
    </row>
    <row r="36" customFormat="false" ht="15" hidden="false" customHeight="false" outlineLevel="0" collapsed="false">
      <c r="A36" s="13"/>
      <c r="B36" s="13"/>
      <c r="C36" s="13"/>
      <c r="D36" s="16"/>
      <c r="E36" s="16"/>
      <c r="F36" s="26" t="str">
        <f aca="false">IF(AND(ISNUMBER(D36),ISNUMBER(E36)),E36-D36+1,"")</f>
        <v/>
      </c>
      <c r="G36" s="13"/>
      <c r="H36" s="13"/>
    </row>
    <row r="38" customFormat="false" ht="15" hidden="false" customHeight="false" outlineLevel="0" collapsed="false">
      <c r="A38" s="6" t="s">
        <v>138</v>
      </c>
      <c r="B38" s="19" t="n">
        <f aca="false">IF(COUNTA(B7:B36)=0,0,COUNTIF(H7:H36,"Fait")/COUNTA(B7:B36))</f>
        <v>0</v>
      </c>
    </row>
    <row r="39" customFormat="false" ht="15" hidden="false" customHeight="false" outlineLevel="0" collapsed="false">
      <c r="A39" s="6" t="s">
        <v>139</v>
      </c>
      <c r="B39" s="18" t="n">
        <f aca="false">COUNTIF(H7:H36,"Bloqué")</f>
        <v>0</v>
      </c>
    </row>
  </sheetData>
  <conditionalFormatting sqref="H6:H36">
    <cfRule type="cellIs" priority="2" operator="equal" aboveAverage="0" equalAverage="0" bottom="0" percent="0" rank="0" text="" dxfId="0">
      <formula>"Fait"</formula>
    </cfRule>
    <cfRule type="cellIs" priority="3" operator="equal" aboveAverage="0" equalAverage="0" bottom="0" percent="0" rank="0" text="" dxfId="1">
      <formula>"Bloqué"</formula>
    </cfRule>
    <cfRule type="cellIs" priority="4" operator="equal" aboveAverage="0" equalAverage="0" bottom="0" percent="0" rank="0" text="" dxfId="2">
      <formula>"En cours"</formula>
    </cfRule>
  </conditionalFormatting>
  <dataValidations count="1">
    <dataValidation allowBlank="true" errorStyle="stop" operator="between" showDropDown="false" showErrorMessage="false" showInputMessage="false" sqref="H7:H36" type="list">
      <formula1>"À faire,En cours,Fait,Bloqué"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92B"/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4"/>
    <col collapsed="false" customWidth="true" hidden="false" outlineLevel="0" max="7" min="7" style="0" width="26"/>
  </cols>
  <sheetData>
    <row r="1" customFormat="false" ht="19.7" hidden="false" customHeight="false" outlineLevel="0" collapsed="false">
      <c r="A1" s="8" t="s">
        <v>140</v>
      </c>
    </row>
    <row r="2" customFormat="false" ht="15" hidden="false" customHeight="false" outlineLevel="0" collapsed="false">
      <c r="A2" s="9" t="s">
        <v>141</v>
      </c>
    </row>
    <row r="3" customFormat="false" ht="15" hidden="false" customHeight="false" outlineLevel="0" collapsed="false">
      <c r="A3" s="10" t="s">
        <v>33</v>
      </c>
    </row>
    <row r="5" customFormat="false" ht="30" hidden="false" customHeight="true" outlineLevel="0" collapsed="false">
      <c r="A5" s="11" t="s">
        <v>142</v>
      </c>
      <c r="B5" s="28" t="s">
        <v>143</v>
      </c>
      <c r="C5" s="28" t="s">
        <v>144</v>
      </c>
      <c r="D5" s="28" t="s">
        <v>145</v>
      </c>
      <c r="E5" s="28" t="s">
        <v>146</v>
      </c>
      <c r="F5" s="28" t="s">
        <v>147</v>
      </c>
      <c r="G5" s="11" t="s">
        <v>148</v>
      </c>
    </row>
    <row r="6" customFormat="false" ht="23.85" hidden="false" customHeight="false" outlineLevel="0" collapsed="false">
      <c r="A6" s="14" t="s">
        <v>149</v>
      </c>
      <c r="B6" s="14" t="s">
        <v>150</v>
      </c>
      <c r="C6" s="14" t="s">
        <v>151</v>
      </c>
      <c r="D6" s="14"/>
      <c r="E6" s="14" t="s">
        <v>152</v>
      </c>
      <c r="F6" s="14"/>
      <c r="G6" s="26" t="str">
        <f aca="false">IF(A6="","",IF(COUNTIF(B6:F6,"A")+COUNTIF(B6:F6,"R/A")=1,"OK","Il faut exactement un A"))</f>
        <v>OK</v>
      </c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26" t="str">
        <f aca="false">IF(A7="","",IF(COUNTIF(B7:F7,"A")+COUNTIF(B7:F7,"R/A")=1,"OK","Il faut exactement un A"))</f>
        <v/>
      </c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26" t="str">
        <f aca="false">IF(A8="","",IF(COUNTIF(B8:F8,"A")+COUNTIF(B8:F8,"R/A")=1,"OK","Il faut exactement un A"))</f>
        <v/>
      </c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26" t="str">
        <f aca="false">IF(A9="","",IF(COUNTIF(B9:F9,"A")+COUNTIF(B9:F9,"R/A")=1,"OK","Il faut exactement un A"))</f>
        <v/>
      </c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26" t="str">
        <f aca="false">IF(A10="","",IF(COUNTIF(B10:F10,"A")+COUNTIF(B10:F10,"R/A")=1,"OK","Il faut exactement un A"))</f>
        <v/>
      </c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26" t="str">
        <f aca="false">IF(A11="","",IF(COUNTIF(B11:F11,"A")+COUNTIF(B11:F11,"R/A")=1,"OK","Il faut exactement un A"))</f>
        <v/>
      </c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26" t="str">
        <f aca="false">IF(A12="","",IF(COUNTIF(B12:F12,"A")+COUNTIF(B12:F12,"R/A")=1,"OK","Il faut exactement un A"))</f>
        <v/>
      </c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26" t="str">
        <f aca="false">IF(A13="","",IF(COUNTIF(B13:F13,"A")+COUNTIF(B13:F13,"R/A")=1,"OK","Il faut exactement un A"))</f>
        <v/>
      </c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26" t="str">
        <f aca="false">IF(A14="","",IF(COUNTIF(B14:F14,"A")+COUNTIF(B14:F14,"R/A")=1,"OK","Il faut exactement un A"))</f>
        <v/>
      </c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26" t="str">
        <f aca="false">IF(A15="","",IF(COUNTIF(B15:F15,"A")+COUNTIF(B15:F15,"R/A")=1,"OK","Il faut exactement un A"))</f>
        <v/>
      </c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26" t="str">
        <f aca="false">IF(A16="","",IF(COUNTIF(B16:F16,"A")+COUNTIF(B16:F16,"R/A")=1,"OK","Il faut exactement un A"))</f>
        <v/>
      </c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26" t="str">
        <f aca="false">IF(A17="","",IF(COUNTIF(B17:F17,"A")+COUNTIF(B17:F17,"R/A")=1,"OK","Il faut exactement un A"))</f>
        <v/>
      </c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26" t="str">
        <f aca="false">IF(A18="","",IF(COUNTIF(B18:F18,"A")+COUNTIF(B18:F18,"R/A")=1,"OK","Il faut exactement un A"))</f>
        <v/>
      </c>
    </row>
  </sheetData>
  <conditionalFormatting sqref="G6:G18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"Il faut exactement un A"</formula>
    </cfRule>
  </conditionalFormatting>
  <dataValidations count="1">
    <dataValidation allowBlank="true" errorStyle="stop" operator="between" showDropDown="false" showErrorMessage="false" showInputMessage="false" sqref="B7:F18" type="list">
      <formula1>"R,A,R/A,C,I"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92B"/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36"/>
    <col collapsed="false" customWidth="true" hidden="false" outlineLevel="0" max="5" min="5" style="0" width="18"/>
  </cols>
  <sheetData>
    <row r="1" customFormat="false" ht="19.7" hidden="false" customHeight="false" outlineLevel="0" collapsed="false">
      <c r="A1" s="8" t="s">
        <v>153</v>
      </c>
    </row>
    <row r="2" customFormat="false" ht="15" hidden="false" customHeight="false" outlineLevel="0" collapsed="false">
      <c r="A2" s="9" t="s">
        <v>154</v>
      </c>
    </row>
    <row r="3" customFormat="false" ht="15" hidden="false" customHeight="false" outlineLevel="0" collapsed="false">
      <c r="A3" s="10" t="s">
        <v>33</v>
      </c>
    </row>
    <row r="5" customFormat="false" ht="30" hidden="false" customHeight="true" outlineLevel="0" collapsed="false">
      <c r="A5" s="11" t="s">
        <v>155</v>
      </c>
      <c r="B5" s="11" t="s">
        <v>156</v>
      </c>
      <c r="C5" s="29"/>
      <c r="D5" s="11" t="s">
        <v>157</v>
      </c>
      <c r="E5" s="11" t="s">
        <v>156</v>
      </c>
    </row>
    <row r="6" customFormat="false" ht="15" hidden="false" customHeight="false" outlineLevel="0" collapsed="false">
      <c r="A6" s="15" t="s">
        <v>158</v>
      </c>
      <c r="B6" s="21" t="n">
        <v>900000</v>
      </c>
      <c r="D6" s="15" t="s">
        <v>159</v>
      </c>
      <c r="E6" s="21" t="n">
        <v>1500000</v>
      </c>
    </row>
    <row r="7" customFormat="false" ht="15" hidden="false" customHeight="false" outlineLevel="0" collapsed="false">
      <c r="A7" s="15" t="s">
        <v>160</v>
      </c>
      <c r="B7" s="21" t="n">
        <v>300000</v>
      </c>
      <c r="D7" s="15" t="s">
        <v>161</v>
      </c>
      <c r="E7" s="21" t="n">
        <v>500000</v>
      </c>
    </row>
    <row r="8" customFormat="false" ht="15" hidden="false" customHeight="false" outlineLevel="0" collapsed="false">
      <c r="A8" s="15" t="s">
        <v>162</v>
      </c>
      <c r="B8" s="21" t="n">
        <v>200000</v>
      </c>
      <c r="D8" s="15" t="s">
        <v>163</v>
      </c>
      <c r="E8" s="21" t="n">
        <v>200000</v>
      </c>
    </row>
    <row r="9" customFormat="false" ht="15" hidden="false" customHeight="false" outlineLevel="0" collapsed="false">
      <c r="A9" s="15" t="s">
        <v>164</v>
      </c>
      <c r="B9" s="21" t="n">
        <v>100000</v>
      </c>
      <c r="D9" s="15" t="s">
        <v>165</v>
      </c>
      <c r="E9" s="21" t="n">
        <v>385000</v>
      </c>
    </row>
    <row r="10" customFormat="false" ht="15" hidden="false" customHeight="false" outlineLevel="0" collapsed="false">
      <c r="A10" s="15" t="s">
        <v>166</v>
      </c>
      <c r="B10" s="21" t="n">
        <v>100000</v>
      </c>
      <c r="D10" s="15" t="s">
        <v>167</v>
      </c>
      <c r="E10" s="21"/>
    </row>
    <row r="11" customFormat="false" ht="15" hidden="false" customHeight="false" outlineLevel="0" collapsed="false">
      <c r="A11" s="13" t="s">
        <v>168</v>
      </c>
      <c r="B11" s="21"/>
      <c r="D11" s="15" t="s">
        <v>169</v>
      </c>
      <c r="E11" s="21"/>
    </row>
    <row r="12" customFormat="false" ht="23.85" hidden="false" customHeight="false" outlineLevel="0" collapsed="false">
      <c r="A12" s="15" t="s">
        <v>170</v>
      </c>
      <c r="B12" s="30" t="n">
        <f aca="false">B21*B22</f>
        <v>750000</v>
      </c>
      <c r="D12" s="15" t="s">
        <v>171</v>
      </c>
      <c r="E12" s="21"/>
    </row>
    <row r="13" customFormat="false" ht="15" hidden="false" customHeight="false" outlineLevel="0" collapsed="false">
      <c r="A13" s="12" t="s">
        <v>172</v>
      </c>
      <c r="B13" s="22" t="n">
        <f aca="false">SUM(B6:B12)</f>
        <v>2350000</v>
      </c>
    </row>
    <row r="14" customFormat="false" ht="15" hidden="false" customHeight="false" outlineLevel="0" collapsed="false">
      <c r="A14" s="15" t="s">
        <v>173</v>
      </c>
      <c r="B14" s="30" t="n">
        <f aca="false">ROUND(B13*B23,0)</f>
        <v>235000</v>
      </c>
    </row>
    <row r="15" customFormat="false" ht="15" hidden="false" customHeight="false" outlineLevel="0" collapsed="false">
      <c r="A15" s="12" t="s">
        <v>174</v>
      </c>
      <c r="B15" s="22" t="n">
        <f aca="false">B13+B14</f>
        <v>2585000</v>
      </c>
      <c r="D15" s="12" t="s">
        <v>175</v>
      </c>
      <c r="E15" s="22" t="n">
        <f aca="false">SUM(E6:E12)</f>
        <v>2585000</v>
      </c>
    </row>
    <row r="17" customFormat="false" ht="15" hidden="false" customHeight="false" outlineLevel="0" collapsed="false">
      <c r="D17" s="12" t="s">
        <v>176</v>
      </c>
      <c r="E17" s="22" t="n">
        <f aca="false">E15-B15</f>
        <v>0</v>
      </c>
    </row>
    <row r="18" customFormat="false" ht="15" hidden="false" customHeight="false" outlineLevel="0" collapsed="false">
      <c r="D18" s="12" t="s">
        <v>177</v>
      </c>
      <c r="E18" s="20" t="str">
        <f aca="false">IF(E17=0,"Équilibré",IF(E17&gt;0,"Excédent : à garder en réserve","Manque à financer"))</f>
        <v>Équilibré</v>
      </c>
    </row>
    <row r="20" customFormat="false" ht="15" hidden="false" customHeight="false" outlineLevel="0" collapsed="false">
      <c r="A20" s="31" t="s">
        <v>178</v>
      </c>
    </row>
    <row r="21" customFormat="false" ht="15" hidden="false" customHeight="false" outlineLevel="0" collapsed="false">
      <c r="A21" s="15" t="s">
        <v>179</v>
      </c>
      <c r="B21" s="21" t="n">
        <v>250000</v>
      </c>
    </row>
    <row r="22" customFormat="false" ht="15" hidden="false" customHeight="false" outlineLevel="0" collapsed="false">
      <c r="A22" s="15" t="s">
        <v>180</v>
      </c>
      <c r="B22" s="32" t="n">
        <v>3</v>
      </c>
    </row>
    <row r="23" customFormat="false" ht="15" hidden="false" customHeight="false" outlineLevel="0" collapsed="false">
      <c r="A23" s="15" t="s">
        <v>181</v>
      </c>
      <c r="B23" s="33" t="n">
        <v>0.1</v>
      </c>
    </row>
    <row r="25" customFormat="false" ht="15" hidden="false" customHeight="false" outlineLevel="0" collapsed="false">
      <c r="A25" s="24" t="s">
        <v>182</v>
      </c>
    </row>
  </sheetData>
  <conditionalFormatting sqref="E18">
    <cfRule type="cellIs" priority="2" operator="equal" aboveAverage="0" equalAverage="0" bottom="0" percent="0" rank="0" text="" dxfId="1">
      <formula>"Manque à financer"</formula>
    </cfRule>
    <cfRule type="cellIs" priority="3" operator="notEqual" aboveAverage="0" equalAverage="0" bottom="0" percent="0" rank="0" text="" dxfId="0">
      <formula>"Manque à financer"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92B"/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40"/>
  </cols>
  <sheetData>
    <row r="1" customFormat="false" ht="19.7" hidden="false" customHeight="false" outlineLevel="0" collapsed="false">
      <c r="A1" s="8" t="s">
        <v>183</v>
      </c>
    </row>
    <row r="2" customFormat="false" ht="15" hidden="false" customHeight="false" outlineLevel="0" collapsed="false">
      <c r="A2" s="9" t="s">
        <v>184</v>
      </c>
    </row>
    <row r="3" customFormat="false" ht="15" hidden="false" customHeight="false" outlineLevel="0" collapsed="false">
      <c r="A3" s="10" t="s">
        <v>33</v>
      </c>
    </row>
    <row r="4" customFormat="false" ht="15" hidden="false" customHeight="false" outlineLevel="0" collapsed="false">
      <c r="A4" s="6" t="s">
        <v>185</v>
      </c>
      <c r="B4" s="13"/>
    </row>
    <row r="5" customFormat="false" ht="30" hidden="false" customHeight="true" outlineLevel="0" collapsed="false">
      <c r="A5" s="11" t="s">
        <v>186</v>
      </c>
      <c r="B5" s="11" t="s">
        <v>187</v>
      </c>
      <c r="C5" s="11" t="s">
        <v>188</v>
      </c>
      <c r="D5" s="11" t="s">
        <v>189</v>
      </c>
      <c r="E5" s="11" t="s">
        <v>190</v>
      </c>
      <c r="F5" s="11" t="s">
        <v>134</v>
      </c>
      <c r="G5" s="11" t="s">
        <v>191</v>
      </c>
    </row>
    <row r="6" customFormat="false" ht="23.85" hidden="false" customHeight="false" outlineLevel="0" collapsed="false">
      <c r="A6" s="14" t="s">
        <v>192</v>
      </c>
      <c r="B6" s="14" t="s">
        <v>193</v>
      </c>
      <c r="C6" s="34" t="n">
        <v>1250</v>
      </c>
      <c r="D6" s="34" t="n">
        <v>900</v>
      </c>
      <c r="E6" s="35" t="n">
        <f aca="false">IF(OR(C6="",D6=""),"",IF(C6=0,"",D6/C6))</f>
        <v>0.72</v>
      </c>
      <c r="F6" s="25" t="str">
        <f aca="false">IF(OR(C6="",D6=""),"",IF(B6="Plus bas = mieux",IF(D6&lt;=C6,"Conforme",IF(D6-C6&lt;=MAX(1,0.2*C6),"À surveiller","Action immédiate")),IF(D6&gt;=C6,"Conforme",IF(D6&gt;=0.8*C6,"À surveiller","Action immédiate"))))</f>
        <v>Action immédiate</v>
      </c>
      <c r="G6" s="14" t="s">
        <v>194</v>
      </c>
    </row>
    <row r="7" customFormat="false" ht="15" hidden="false" customHeight="false" outlineLevel="0" collapsed="false">
      <c r="A7" s="13"/>
      <c r="B7" s="13"/>
      <c r="C7" s="21"/>
      <c r="D7" s="21"/>
      <c r="E7" s="36" t="str">
        <f aca="false">IF(OR(C7="",D7=""),"",IF(C7=0,"",D7/C7))</f>
        <v/>
      </c>
      <c r="F7" s="26" t="str">
        <f aca="false">IF(OR(C7="",D7=""),"",IF(B7="Plus bas = mieux",IF(D7&lt;=C7,"Conforme",IF(D7-C7&lt;=MAX(1,0.2*C7),"À surveiller","Action immédiate")),IF(D7&gt;=C7,"Conforme",IF(D7&gt;=0.8*C7,"À surveiller","Action immédiate"))))</f>
        <v/>
      </c>
      <c r="G7" s="13"/>
    </row>
    <row r="8" customFormat="false" ht="15" hidden="false" customHeight="false" outlineLevel="0" collapsed="false">
      <c r="A8" s="13"/>
      <c r="B8" s="13"/>
      <c r="C8" s="21"/>
      <c r="D8" s="21"/>
      <c r="E8" s="36" t="str">
        <f aca="false">IF(OR(C8="",D8=""),"",IF(C8=0,"",D8/C8))</f>
        <v/>
      </c>
      <c r="F8" s="26" t="str">
        <f aca="false">IF(OR(C8="",D8=""),"",IF(B8="Plus bas = mieux",IF(D8&lt;=C8,"Conforme",IF(D8-C8&lt;=MAX(1,0.2*C8),"À surveiller","Action immédiate")),IF(D8&gt;=C8,"Conforme",IF(D8&gt;=0.8*C8,"À surveiller","Action immédiate"))))</f>
        <v/>
      </c>
      <c r="G8" s="13"/>
    </row>
    <row r="9" customFormat="false" ht="15" hidden="false" customHeight="false" outlineLevel="0" collapsed="false">
      <c r="A9" s="13"/>
      <c r="B9" s="13"/>
      <c r="C9" s="21"/>
      <c r="D9" s="21"/>
      <c r="E9" s="36" t="str">
        <f aca="false">IF(OR(C9="",D9=""),"",IF(C9=0,"",D9/C9))</f>
        <v/>
      </c>
      <c r="F9" s="26" t="str">
        <f aca="false">IF(OR(C9="",D9=""),"",IF(B9="Plus bas = mieux",IF(D9&lt;=C9,"Conforme",IF(D9-C9&lt;=MAX(1,0.2*C9),"À surveiller","Action immédiate")),IF(D9&gt;=C9,"Conforme",IF(D9&gt;=0.8*C9,"À surveiller","Action immédiate"))))</f>
        <v/>
      </c>
      <c r="G9" s="13"/>
    </row>
    <row r="10" customFormat="false" ht="15" hidden="false" customHeight="false" outlineLevel="0" collapsed="false">
      <c r="A10" s="13"/>
      <c r="B10" s="13"/>
      <c r="C10" s="21"/>
      <c r="D10" s="21"/>
      <c r="E10" s="36" t="str">
        <f aca="false">IF(OR(C10="",D10=""),"",IF(C10=0,"",D10/C10))</f>
        <v/>
      </c>
      <c r="F10" s="26" t="str">
        <f aca="false">IF(OR(C10="",D10=""),"",IF(B10="Plus bas = mieux",IF(D10&lt;=C10,"Conforme",IF(D10-C10&lt;=MAX(1,0.2*C10),"À surveiller","Action immédiate")),IF(D10&gt;=C10,"Conforme",IF(D10&gt;=0.8*C10,"À surveiller","Action immédiate"))))</f>
        <v/>
      </c>
      <c r="G10" s="13"/>
    </row>
    <row r="11" customFormat="false" ht="15" hidden="false" customHeight="false" outlineLevel="0" collapsed="false">
      <c r="A11" s="13"/>
      <c r="B11" s="13"/>
      <c r="C11" s="21"/>
      <c r="D11" s="21"/>
      <c r="E11" s="36" t="str">
        <f aca="false">IF(OR(C11="",D11=""),"",IF(C11=0,"",D11/C11))</f>
        <v/>
      </c>
      <c r="F11" s="26" t="str">
        <f aca="false">IF(OR(C11="",D11=""),"",IF(B11="Plus bas = mieux",IF(D11&lt;=C11,"Conforme",IF(D11-C11&lt;=MAX(1,0.2*C11),"À surveiller","Action immédiate")),IF(D11&gt;=C11,"Conforme",IF(D11&gt;=0.8*C11,"À surveiller","Action immédiate"))))</f>
        <v/>
      </c>
      <c r="G11" s="13"/>
    </row>
    <row r="12" customFormat="false" ht="15" hidden="false" customHeight="false" outlineLevel="0" collapsed="false">
      <c r="A12" s="13"/>
      <c r="B12" s="13"/>
      <c r="C12" s="21"/>
      <c r="D12" s="21"/>
      <c r="E12" s="36" t="str">
        <f aca="false">IF(OR(C12="",D12=""),"",IF(C12=0,"",D12/C12))</f>
        <v/>
      </c>
      <c r="F12" s="26" t="str">
        <f aca="false">IF(OR(C12="",D12=""),"",IF(B12="Plus bas = mieux",IF(D12&lt;=C12,"Conforme",IF(D12-C12&lt;=MAX(1,0.2*C12),"À surveiller","Action immédiate")),IF(D12&gt;=C12,"Conforme",IF(D12&gt;=0.8*C12,"À surveiller","Action immédiate"))))</f>
        <v/>
      </c>
      <c r="G12" s="13"/>
    </row>
    <row r="13" customFormat="false" ht="15" hidden="false" customHeight="false" outlineLevel="0" collapsed="false">
      <c r="A13" s="13"/>
      <c r="B13" s="13"/>
      <c r="C13" s="21"/>
      <c r="D13" s="21"/>
      <c r="E13" s="36" t="str">
        <f aca="false">IF(OR(C13="",D13=""),"",IF(C13=0,"",D13/C13))</f>
        <v/>
      </c>
      <c r="F13" s="26" t="str">
        <f aca="false">IF(OR(C13="",D13=""),"",IF(B13="Plus bas = mieux",IF(D13&lt;=C13,"Conforme",IF(D13-C13&lt;=MAX(1,0.2*C13),"À surveiller","Action immédiate")),IF(D13&gt;=C13,"Conforme",IF(D13&gt;=0.8*C13,"À surveiller","Action immédiate"))))</f>
        <v/>
      </c>
      <c r="G13" s="13"/>
    </row>
    <row r="14" customFormat="false" ht="15" hidden="false" customHeight="false" outlineLevel="0" collapsed="false">
      <c r="A14" s="13"/>
      <c r="B14" s="13"/>
      <c r="C14" s="21"/>
      <c r="D14" s="21"/>
      <c r="E14" s="36" t="str">
        <f aca="false">IF(OR(C14="",D14=""),"",IF(C14=0,"",D14/C14))</f>
        <v/>
      </c>
      <c r="F14" s="26" t="str">
        <f aca="false">IF(OR(C14="",D14=""),"",IF(B14="Plus bas = mieux",IF(D14&lt;=C14,"Conforme",IF(D14-C14&lt;=MAX(1,0.2*C14),"À surveiller","Action immédiate")),IF(D14&gt;=C14,"Conforme",IF(D14&gt;=0.8*C14,"À surveiller","Action immédiate"))))</f>
        <v/>
      </c>
      <c r="G14" s="13"/>
    </row>
    <row r="16" customFormat="false" ht="15" hidden="false" customHeight="false" outlineLevel="0" collapsed="false">
      <c r="A16" s="24" t="s">
        <v>195</v>
      </c>
    </row>
    <row r="18" customFormat="false" ht="15" hidden="false" customHeight="false" outlineLevel="0" collapsed="false">
      <c r="A18" s="6" t="s">
        <v>196</v>
      </c>
      <c r="B18" s="18" t="n">
        <f aca="false">COUNTIF(F7:F14,"Conforme")</f>
        <v>0</v>
      </c>
    </row>
    <row r="19" customFormat="false" ht="15" hidden="false" customHeight="false" outlineLevel="0" collapsed="false">
      <c r="A19" s="6" t="s">
        <v>197</v>
      </c>
      <c r="B19" s="18" t="n">
        <f aca="false">COUNTIF(F7:F14,"À surveiller")</f>
        <v>0</v>
      </c>
    </row>
    <row r="20" customFormat="false" ht="15" hidden="false" customHeight="false" outlineLevel="0" collapsed="false">
      <c r="A20" s="6" t="s">
        <v>198</v>
      </c>
      <c r="B20" s="18" t="n">
        <f aca="false">COUNTIF(F7:F14,"Action immédiate")</f>
        <v>0</v>
      </c>
    </row>
  </sheetData>
  <conditionalFormatting sqref="F6:F14">
    <cfRule type="cellIs" priority="2" operator="equal" aboveAverage="0" equalAverage="0" bottom="0" percent="0" rank="0" text="" dxfId="0">
      <formula>"Conforme"</formula>
    </cfRule>
    <cfRule type="cellIs" priority="3" operator="equal" aboveAverage="0" equalAverage="0" bottom="0" percent="0" rank="0" text="" dxfId="2">
      <formula>"À surveiller"</formula>
    </cfRule>
    <cfRule type="cellIs" priority="4" operator="equal" aboveAverage="0" equalAverage="0" bottom="0" percent="0" rank="0" text="" dxfId="1">
      <formula>"Action immédiate"</formula>
    </cfRule>
  </conditionalFormatting>
  <dataValidations count="1">
    <dataValidation allowBlank="true" errorStyle="stop" operator="between" showDropDown="false" showErrorMessage="false" showInputMessage="false" sqref="B7:B14" type="list">
      <formula1>"Plus haut = mieux,Plus bas = mieux"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92B"/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48"/>
  </cols>
  <sheetData>
    <row r="1" customFormat="false" ht="19.7" hidden="false" customHeight="false" outlineLevel="0" collapsed="false">
      <c r="A1" s="8" t="s">
        <v>199</v>
      </c>
    </row>
    <row r="2" customFormat="false" ht="15" hidden="false" customHeight="false" outlineLevel="0" collapsed="false">
      <c r="A2" s="9" t="s">
        <v>200</v>
      </c>
    </row>
    <row r="3" customFormat="false" ht="15" hidden="false" customHeight="false" outlineLevel="0" collapsed="false">
      <c r="A3" s="10" t="s">
        <v>33</v>
      </c>
    </row>
    <row r="5" customFormat="false" ht="30" hidden="false" customHeight="true" outlineLevel="0" collapsed="false">
      <c r="A5" s="11" t="s">
        <v>201</v>
      </c>
      <c r="B5" s="11" t="s">
        <v>202</v>
      </c>
      <c r="C5" s="11" t="s">
        <v>189</v>
      </c>
      <c r="D5" s="11" t="s">
        <v>203</v>
      </c>
      <c r="E5" s="11" t="s">
        <v>204</v>
      </c>
      <c r="F5" s="11" t="s">
        <v>205</v>
      </c>
    </row>
    <row r="6" customFormat="false" ht="15" hidden="false" customHeight="false" outlineLevel="0" collapsed="false">
      <c r="A6" s="14" t="s">
        <v>206</v>
      </c>
      <c r="B6" s="34" t="n">
        <v>2585000</v>
      </c>
      <c r="C6" s="34" t="n">
        <v>2690000</v>
      </c>
      <c r="D6" s="34" t="n">
        <f aca="false">IF(AND(ISNUMBER(B6),ISNUMBER(C6)),C6-B6,"")</f>
        <v>105000</v>
      </c>
      <c r="E6" s="37" t="n">
        <f aca="false">IF(AND(ISNUMBER(B6),ISNUMBER(C6)),IF(B6=0,"",C6/B6-1),"")</f>
        <v>0.0406189555125724</v>
      </c>
      <c r="F6" s="14" t="s">
        <v>207</v>
      </c>
    </row>
    <row r="7" customFormat="false" ht="15" hidden="false" customHeight="false" outlineLevel="0" collapsed="false">
      <c r="A7" s="13"/>
      <c r="B7" s="21"/>
      <c r="C7" s="21"/>
      <c r="D7" s="30" t="str">
        <f aca="false">IF(AND(ISNUMBER(B7),ISNUMBER(C7)),C7-B7,"")</f>
        <v/>
      </c>
      <c r="E7" s="38" t="str">
        <f aca="false">IF(AND(ISNUMBER(B7),ISNUMBER(C7)),IF(B7=0,"",C7/B7-1),"")</f>
        <v/>
      </c>
      <c r="F7" s="13"/>
    </row>
    <row r="8" customFormat="false" ht="15" hidden="false" customHeight="false" outlineLevel="0" collapsed="false">
      <c r="A8" s="13"/>
      <c r="B8" s="21"/>
      <c r="C8" s="21"/>
      <c r="D8" s="30" t="str">
        <f aca="false">IF(AND(ISNUMBER(B8),ISNUMBER(C8)),C8-B8,"")</f>
        <v/>
      </c>
      <c r="E8" s="38" t="str">
        <f aca="false">IF(AND(ISNUMBER(B8),ISNUMBER(C8)),IF(B8=0,"",C8/B8-1),"")</f>
        <v/>
      </c>
      <c r="F8" s="13"/>
    </row>
    <row r="9" customFormat="false" ht="15" hidden="false" customHeight="false" outlineLevel="0" collapsed="false">
      <c r="A9" s="13"/>
      <c r="B9" s="21"/>
      <c r="C9" s="21"/>
      <c r="D9" s="30" t="str">
        <f aca="false">IF(AND(ISNUMBER(B9),ISNUMBER(C9)),C9-B9,"")</f>
        <v/>
      </c>
      <c r="E9" s="38" t="str">
        <f aca="false">IF(AND(ISNUMBER(B9),ISNUMBER(C9)),IF(B9=0,"",C9/B9-1),"")</f>
        <v/>
      </c>
      <c r="F9" s="13"/>
    </row>
    <row r="10" customFormat="false" ht="15" hidden="false" customHeight="false" outlineLevel="0" collapsed="false">
      <c r="A10" s="13"/>
      <c r="B10" s="21"/>
      <c r="C10" s="21"/>
      <c r="D10" s="30" t="str">
        <f aca="false">IF(AND(ISNUMBER(B10),ISNUMBER(C10)),C10-B10,"")</f>
        <v/>
      </c>
      <c r="E10" s="38" t="str">
        <f aca="false">IF(AND(ISNUMBER(B10),ISNUMBER(C10)),IF(B10=0,"",C10/B10-1),"")</f>
        <v/>
      </c>
      <c r="F10" s="13"/>
    </row>
    <row r="11" customFormat="false" ht="15" hidden="false" customHeight="false" outlineLevel="0" collapsed="false">
      <c r="A11" s="13"/>
      <c r="B11" s="21"/>
      <c r="C11" s="21"/>
      <c r="D11" s="30" t="str">
        <f aca="false">IF(AND(ISNUMBER(B11),ISNUMBER(C11)),C11-B11,"")</f>
        <v/>
      </c>
      <c r="E11" s="38" t="str">
        <f aca="false">IF(AND(ISNUMBER(B11),ISNUMBER(C11)),IF(B11=0,"",C11/B11-1),"")</f>
        <v/>
      </c>
      <c r="F11" s="13"/>
    </row>
    <row r="12" customFormat="false" ht="15" hidden="false" customHeight="false" outlineLevel="0" collapsed="false">
      <c r="A12" s="13"/>
      <c r="B12" s="21"/>
      <c r="C12" s="21"/>
      <c r="D12" s="30" t="str">
        <f aca="false">IF(AND(ISNUMBER(B12),ISNUMBER(C12)),C12-B12,"")</f>
        <v/>
      </c>
      <c r="E12" s="38" t="str">
        <f aca="false">IF(AND(ISNUMBER(B12),ISNUMBER(C12)),IF(B12=0,"",C12/B12-1),"")</f>
        <v/>
      </c>
      <c r="F12" s="13"/>
    </row>
    <row r="13" customFormat="false" ht="15" hidden="false" customHeight="false" outlineLevel="0" collapsed="false">
      <c r="A13" s="13"/>
      <c r="B13" s="21"/>
      <c r="C13" s="21"/>
      <c r="D13" s="30" t="str">
        <f aca="false">IF(AND(ISNUMBER(B13),ISNUMBER(C13)),C13-B13,"")</f>
        <v/>
      </c>
      <c r="E13" s="38" t="str">
        <f aca="false">IF(AND(ISNUMBER(B13),ISNUMBER(C13)),IF(B13=0,"",C13/B13-1),"")</f>
        <v/>
      </c>
      <c r="F13" s="13"/>
    </row>
    <row r="14" customFormat="false" ht="15" hidden="false" customHeight="false" outlineLevel="0" collapsed="false">
      <c r="A14" s="13"/>
      <c r="B14" s="21"/>
      <c r="C14" s="21"/>
      <c r="D14" s="30" t="str">
        <f aca="false">IF(AND(ISNUMBER(B14),ISNUMBER(C14)),C14-B14,"")</f>
        <v/>
      </c>
      <c r="E14" s="38" t="str">
        <f aca="false">IF(AND(ISNUMBER(B14),ISNUMBER(C14)),IF(B14=0,"",C14/B14-1),"")</f>
        <v/>
      </c>
      <c r="F14" s="13"/>
    </row>
    <row r="17" customFormat="false" ht="15" hidden="false" customHeight="false" outlineLevel="0" collapsed="false">
      <c r="A17" s="39" t="s">
        <v>208</v>
      </c>
    </row>
    <row r="18" customFormat="false" ht="39.75" hidden="false" customHeight="true" outlineLevel="0" collapsed="false">
      <c r="A18" s="12" t="s">
        <v>209</v>
      </c>
      <c r="B18" s="13"/>
      <c r="C18" s="13"/>
      <c r="D18" s="13"/>
      <c r="E18" s="13"/>
      <c r="F18" s="13"/>
    </row>
    <row r="19" customFormat="false" ht="39.75" hidden="false" customHeight="true" outlineLevel="0" collapsed="false">
      <c r="A19" s="12" t="s">
        <v>210</v>
      </c>
      <c r="B19" s="13"/>
      <c r="C19" s="13"/>
      <c r="D19" s="13"/>
      <c r="E19" s="13"/>
      <c r="F19" s="13"/>
    </row>
    <row r="20" customFormat="false" ht="39.75" hidden="false" customHeight="true" outlineLevel="0" collapsed="false">
      <c r="A20" s="12" t="s">
        <v>211</v>
      </c>
      <c r="B20" s="13"/>
      <c r="C20" s="13"/>
      <c r="D20" s="13"/>
      <c r="E20" s="13"/>
      <c r="F20" s="13"/>
    </row>
    <row r="21" customFormat="false" ht="39.75" hidden="false" customHeight="true" outlineLevel="0" collapsed="false">
      <c r="A21" s="12" t="s">
        <v>212</v>
      </c>
      <c r="B21" s="13"/>
      <c r="C21" s="13"/>
      <c r="D21" s="13"/>
      <c r="E21" s="13"/>
      <c r="F21" s="13"/>
    </row>
    <row r="22" customFormat="false" ht="39.75" hidden="false" customHeight="true" outlineLevel="0" collapsed="false">
      <c r="A22" s="12" t="s">
        <v>213</v>
      </c>
      <c r="B22" s="13"/>
      <c r="C22" s="13"/>
      <c r="D22" s="13"/>
      <c r="E22" s="13"/>
      <c r="F22" s="13"/>
    </row>
  </sheetData>
  <mergeCells count="5">
    <mergeCell ref="B18:F18"/>
    <mergeCell ref="B19:F19"/>
    <mergeCell ref="B20:F20"/>
    <mergeCell ref="B21:F21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92B"/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62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8" t="s">
        <v>214</v>
      </c>
    </row>
    <row r="2" customFormat="false" ht="15" hidden="false" customHeight="false" outlineLevel="0" collapsed="false">
      <c r="A2" s="9" t="s">
        <v>215</v>
      </c>
    </row>
    <row r="3" customFormat="false" ht="15" hidden="false" customHeight="false" outlineLevel="0" collapsed="false">
      <c r="A3" s="10" t="s">
        <v>33</v>
      </c>
    </row>
    <row r="4" customFormat="false" ht="15" hidden="false" customHeight="false" outlineLevel="0" collapsed="false">
      <c r="A4" s="6" t="s">
        <v>216</v>
      </c>
      <c r="B4" s="16"/>
    </row>
    <row r="5" customFormat="false" ht="30" hidden="false" customHeight="true" outlineLevel="0" collapsed="false">
      <c r="A5" s="11" t="s">
        <v>217</v>
      </c>
      <c r="B5" s="11" t="s">
        <v>218</v>
      </c>
      <c r="C5" s="11" t="s">
        <v>219</v>
      </c>
      <c r="D5" s="11" t="s">
        <v>220</v>
      </c>
      <c r="E5" s="11" t="s">
        <v>221</v>
      </c>
      <c r="F5" s="11" t="s">
        <v>222</v>
      </c>
    </row>
    <row r="6" customFormat="false" ht="31.5" hidden="false" customHeight="true" outlineLevel="0" collapsed="false">
      <c r="A6" s="15" t="s">
        <v>223</v>
      </c>
      <c r="B6" s="12" t="s">
        <v>224</v>
      </c>
      <c r="C6" s="15" t="s">
        <v>225</v>
      </c>
      <c r="D6" s="15" t="s">
        <v>226</v>
      </c>
      <c r="E6" s="13"/>
      <c r="F6" s="40" t="str">
        <f aca="false">IF(ISNUMBER($B$4),$B$4+2,"")</f>
        <v/>
      </c>
    </row>
    <row r="7" customFormat="false" ht="31.5" hidden="false" customHeight="true" outlineLevel="0" collapsed="false">
      <c r="A7" s="15" t="s">
        <v>227</v>
      </c>
      <c r="B7" s="12" t="s">
        <v>228</v>
      </c>
      <c r="C7" s="15" t="s">
        <v>229</v>
      </c>
      <c r="D7" s="15" t="s">
        <v>230</v>
      </c>
      <c r="E7" s="13"/>
      <c r="F7" s="40" t="str">
        <f aca="false">IF(ISNUMBER($B$4),$B$4+11,"")</f>
        <v/>
      </c>
    </row>
    <row r="8" customFormat="false" ht="31.5" hidden="false" customHeight="true" outlineLevel="0" collapsed="false">
      <c r="A8" s="15" t="s">
        <v>231</v>
      </c>
      <c r="B8" s="12" t="s">
        <v>232</v>
      </c>
      <c r="C8" s="15" t="s">
        <v>233</v>
      </c>
      <c r="D8" s="15" t="s">
        <v>234</v>
      </c>
      <c r="E8" s="13"/>
      <c r="F8" s="40" t="str">
        <f aca="false">IF(ISNUMBER($B$4),$B$4+17,"")</f>
        <v/>
      </c>
    </row>
    <row r="9" customFormat="false" ht="31.5" hidden="false" customHeight="true" outlineLevel="0" collapsed="false">
      <c r="A9" s="15" t="s">
        <v>235</v>
      </c>
      <c r="B9" s="12" t="s">
        <v>236</v>
      </c>
      <c r="C9" s="15" t="s">
        <v>237</v>
      </c>
      <c r="D9" s="15" t="s">
        <v>238</v>
      </c>
      <c r="E9" s="13"/>
      <c r="F9" s="40" t="str">
        <f aca="false">IF(ISNUMBER($B$4),$B$4+19,"")</f>
        <v/>
      </c>
    </row>
    <row r="10" customFormat="false" ht="31.5" hidden="false" customHeight="true" outlineLevel="0" collapsed="false">
      <c r="A10" s="15" t="s">
        <v>239</v>
      </c>
      <c r="B10" s="12" t="s">
        <v>240</v>
      </c>
      <c r="C10" s="15" t="s">
        <v>241</v>
      </c>
      <c r="D10" s="15" t="s">
        <v>242</v>
      </c>
      <c r="E10" s="13"/>
      <c r="F10" s="40" t="str">
        <f aca="false">IF(ISNUMBER($B$4),$B$4+29,"")</f>
        <v/>
      </c>
    </row>
    <row r="11" customFormat="false" ht="31.5" hidden="false" customHeight="true" outlineLevel="0" collapsed="false">
      <c r="A11" s="15" t="s">
        <v>243</v>
      </c>
      <c r="B11" s="12" t="s">
        <v>244</v>
      </c>
      <c r="C11" s="15" t="s">
        <v>245</v>
      </c>
      <c r="D11" s="15" t="s">
        <v>246</v>
      </c>
      <c r="E11" s="13"/>
      <c r="F11" s="40" t="str">
        <f aca="false">IF(ISNUMBER($B$4),$B$4+179,"")</f>
        <v/>
      </c>
    </row>
    <row r="13" customFormat="false" ht="15" hidden="false" customHeight="false" outlineLevel="0" collapsed="false">
      <c r="A13" s="31" t="s">
        <v>247</v>
      </c>
      <c r="B13" s="19" t="n">
        <f aca="false">COUNTIF(E6:E11,"Oui")/6</f>
        <v>0</v>
      </c>
    </row>
    <row r="15" customFormat="false" ht="15" hidden="false" customHeight="false" outlineLevel="0" collapsed="false">
      <c r="A15" s="41" t="s">
        <v>248</v>
      </c>
    </row>
  </sheetData>
  <conditionalFormatting sqref="E6:E11">
    <cfRule type="cellIs" priority="2" operator="equal" aboveAverage="0" equalAverage="0" bottom="0" percent="0" rank="0" text="" dxfId="0">
      <formula>"Oui"</formula>
    </cfRule>
  </conditionalFormatting>
  <dataValidations count="1">
    <dataValidation allowBlank="true" errorStyle="stop" operator="between" showDropDown="false" showErrorMessage="false" showInputMessage="false" sqref="E6:E11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2026-10-13T14:17:24Z</dcterms:created>
  <dc:creator>openpyxl</dc:creator>
  <dc:description/>
  <dc:language>en-US</dc:language>
  <cp:lastModifiedBy/>
  <dcterms:modified xsi:type="dcterms:W3CDTF">2026-10-13T14:17:24Z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