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LAHAD\PRODUITS DIGITAUX\LIVRES A VENDRE\"/>
    </mc:Choice>
  </mc:AlternateContent>
  <xr:revisionPtr revIDLastSave="0" documentId="13_ncr:1_{66A81F49-B398-4CCA-9319-EDBF3FEEA55D}" xr6:coauthVersionLast="47" xr6:coauthVersionMax="47" xr10:uidLastSave="{00000000-0000-0000-0000-000000000000}"/>
  <bookViews>
    <workbookView xWindow="-120" yWindow="-120" windowWidth="29040" windowHeight="15840" tabRatio="500" xr2:uid="{00000000-000D-0000-FFFF-FFFF00000000}"/>
  </bookViews>
  <sheets>
    <sheet name="Tableau de bord" sheetId="11" r:id="rId1"/>
    <sheet name="Accueil" sheetId="1" r:id="rId2"/>
    <sheet name="Paramètres" sheetId="2" r:id="rId3"/>
    <sheet name="Catalogue" sheetId="3" r:id="rId4"/>
    <sheet name="Grille produit" sheetId="4" r:id="rId5"/>
    <sheet name="Calcul marge" sheetId="5" r:id="rId6"/>
    <sheet name="Suivi pubs" sheetId="6" r:id="rId7"/>
    <sheet name="Synthèse pubs" sheetId="7" r:id="rId8"/>
    <sheet name="Ventes" sheetId="8" r:id="rId9"/>
    <sheet name="Clients" sheetId="9" r:id="rId10"/>
    <sheet name="Dépenses" sheetId="10" r:id="rId11"/>
    <sheet name="Bilan annuel" sheetId="12" r:id="rId12"/>
    <sheet name="Plan 30 jours" sheetId="13" r:id="rId13"/>
    <sheet name="Page pro" sheetId="14" r:id="rId14"/>
  </sheets>
  <calcPr calcId="191029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27" i="14" l="1"/>
  <c r="C28" i="14" s="1"/>
  <c r="D37" i="13"/>
  <c r="A17" i="12"/>
  <c r="A16" i="12"/>
  <c r="F15" i="12"/>
  <c r="A15" i="12"/>
  <c r="A14" i="12"/>
  <c r="F14" i="12" s="1"/>
  <c r="A13" i="12"/>
  <c r="C13" i="12" s="1"/>
  <c r="A12" i="12"/>
  <c r="F11" i="12"/>
  <c r="B11" i="12"/>
  <c r="A11" i="12"/>
  <c r="A10" i="12"/>
  <c r="F10" i="12" s="1"/>
  <c r="A9" i="12"/>
  <c r="C9" i="12" s="1"/>
  <c r="A8" i="12"/>
  <c r="F7" i="12"/>
  <c r="B7" i="12"/>
  <c r="A7" i="12"/>
  <c r="A6" i="12"/>
  <c r="H39" i="11"/>
  <c r="F39" i="11"/>
  <c r="G39" i="11" s="1"/>
  <c r="H38" i="11"/>
  <c r="F38" i="11"/>
  <c r="G38" i="11" s="1"/>
  <c r="F37" i="11"/>
  <c r="B37" i="11"/>
  <c r="F36" i="11"/>
  <c r="F35" i="11"/>
  <c r="G34" i="11"/>
  <c r="F34" i="11"/>
  <c r="F33" i="11"/>
  <c r="F32" i="11"/>
  <c r="F31" i="11"/>
  <c r="F30" i="11"/>
  <c r="I26" i="11"/>
  <c r="F26" i="11"/>
  <c r="G25" i="11"/>
  <c r="F25" i="11"/>
  <c r="G24" i="11"/>
  <c r="F24" i="11"/>
  <c r="G23" i="11"/>
  <c r="F23" i="11"/>
  <c r="G22" i="11"/>
  <c r="F22" i="11"/>
  <c r="G21" i="11"/>
  <c r="F21" i="11"/>
  <c r="G20" i="11"/>
  <c r="F20" i="11"/>
  <c r="G19" i="11"/>
  <c r="F19" i="11"/>
  <c r="G18" i="11"/>
  <c r="F18" i="11"/>
  <c r="G17" i="11"/>
  <c r="F17" i="11"/>
  <c r="G16" i="11"/>
  <c r="F16" i="11"/>
  <c r="G15" i="11"/>
  <c r="F15" i="11"/>
  <c r="G14" i="11"/>
  <c r="F14" i="11"/>
  <c r="G13" i="11"/>
  <c r="F13" i="11"/>
  <c r="G12" i="11"/>
  <c r="F12" i="11"/>
  <c r="G11" i="11"/>
  <c r="F11" i="11"/>
  <c r="F10" i="11"/>
  <c r="F9" i="11"/>
  <c r="F8" i="11"/>
  <c r="F7" i="11"/>
  <c r="C4" i="11"/>
  <c r="E205" i="10"/>
  <c r="E204" i="10"/>
  <c r="E203" i="10"/>
  <c r="E202" i="10"/>
  <c r="E201" i="10"/>
  <c r="E200" i="10"/>
  <c r="E199" i="10"/>
  <c r="E198" i="10"/>
  <c r="E197" i="10"/>
  <c r="E196" i="10"/>
  <c r="E195" i="10"/>
  <c r="E194" i="10"/>
  <c r="E193" i="10"/>
  <c r="E192" i="10"/>
  <c r="E191" i="10"/>
  <c r="E190" i="10"/>
  <c r="E189" i="10"/>
  <c r="E188" i="10"/>
  <c r="E187" i="10"/>
  <c r="E186" i="10"/>
  <c r="E185" i="10"/>
  <c r="E184" i="10"/>
  <c r="E183" i="10"/>
  <c r="E182" i="10"/>
  <c r="E181" i="10"/>
  <c r="E180" i="10"/>
  <c r="E179" i="10"/>
  <c r="E178" i="10"/>
  <c r="E177" i="10"/>
  <c r="E176" i="10"/>
  <c r="E175" i="10"/>
  <c r="E174" i="10"/>
  <c r="E173" i="10"/>
  <c r="E172" i="10"/>
  <c r="E171" i="10"/>
  <c r="E170" i="10"/>
  <c r="E169" i="10"/>
  <c r="E168" i="10"/>
  <c r="E167" i="10"/>
  <c r="E166" i="10"/>
  <c r="E165" i="10"/>
  <c r="E164" i="10"/>
  <c r="E163" i="10"/>
  <c r="E162" i="10"/>
  <c r="E161" i="10"/>
  <c r="E160" i="10"/>
  <c r="E159" i="10"/>
  <c r="E158" i="10"/>
  <c r="E157" i="10"/>
  <c r="E156" i="10"/>
  <c r="E155" i="10"/>
  <c r="E154" i="10"/>
  <c r="E153" i="10"/>
  <c r="E152" i="10"/>
  <c r="E151" i="10"/>
  <c r="E150" i="10"/>
  <c r="E149" i="10"/>
  <c r="E148" i="10"/>
  <c r="E147" i="10"/>
  <c r="E146" i="10"/>
  <c r="E145" i="10"/>
  <c r="E144" i="10"/>
  <c r="E143" i="10"/>
  <c r="E142" i="10"/>
  <c r="E141" i="10"/>
  <c r="E140" i="10"/>
  <c r="E139" i="10"/>
  <c r="E138" i="10"/>
  <c r="E137" i="10"/>
  <c r="E136" i="10"/>
  <c r="E135" i="10"/>
  <c r="E134" i="10"/>
  <c r="E133" i="10"/>
  <c r="E132" i="10"/>
  <c r="E131" i="10"/>
  <c r="E130" i="10"/>
  <c r="E129" i="10"/>
  <c r="E128" i="10"/>
  <c r="E127" i="10"/>
  <c r="E126" i="10"/>
  <c r="E125" i="10"/>
  <c r="E124" i="10"/>
  <c r="E123" i="10"/>
  <c r="E122" i="10"/>
  <c r="E121" i="10"/>
  <c r="E120" i="10"/>
  <c r="E119" i="10"/>
  <c r="E118" i="10"/>
  <c r="E117" i="10"/>
  <c r="E116" i="10"/>
  <c r="E115" i="10"/>
  <c r="E114" i="10"/>
  <c r="E113" i="10"/>
  <c r="E112" i="10"/>
  <c r="E111" i="10"/>
  <c r="E110" i="10"/>
  <c r="E109" i="10"/>
  <c r="E108" i="10"/>
  <c r="E107" i="10"/>
  <c r="E106" i="10"/>
  <c r="E105" i="10"/>
  <c r="E104" i="10"/>
  <c r="E103" i="10"/>
  <c r="E102" i="10"/>
  <c r="E101" i="10"/>
  <c r="E100" i="10"/>
  <c r="E99" i="10"/>
  <c r="E98" i="10"/>
  <c r="E97" i="10"/>
  <c r="E96" i="10"/>
  <c r="E95" i="10"/>
  <c r="E94" i="10"/>
  <c r="E93" i="10"/>
  <c r="E92" i="10"/>
  <c r="E91" i="10"/>
  <c r="E90" i="10"/>
  <c r="E89" i="10"/>
  <c r="E88" i="10"/>
  <c r="E87" i="10"/>
  <c r="E86" i="10"/>
  <c r="E85" i="10"/>
  <c r="E84" i="10"/>
  <c r="E83" i="10"/>
  <c r="E82" i="10"/>
  <c r="E81" i="10"/>
  <c r="E80" i="10"/>
  <c r="E79" i="10"/>
  <c r="E78" i="10"/>
  <c r="E77" i="10"/>
  <c r="E76" i="10"/>
  <c r="E75" i="10"/>
  <c r="E74" i="10"/>
  <c r="E73" i="10"/>
  <c r="E72" i="10"/>
  <c r="E71" i="10"/>
  <c r="E70" i="10"/>
  <c r="E69" i="10"/>
  <c r="E68" i="10"/>
  <c r="E67" i="10"/>
  <c r="E66" i="10"/>
  <c r="E65" i="10"/>
  <c r="E64" i="10"/>
  <c r="E63" i="10"/>
  <c r="E62" i="10"/>
  <c r="E61" i="10"/>
  <c r="E60" i="10"/>
  <c r="E59" i="10"/>
  <c r="E58" i="10"/>
  <c r="E57" i="10"/>
  <c r="E56" i="10"/>
  <c r="E55" i="10"/>
  <c r="E54" i="10"/>
  <c r="E53" i="10"/>
  <c r="E52" i="10"/>
  <c r="E51" i="10"/>
  <c r="E50" i="10"/>
  <c r="E49" i="10"/>
  <c r="E48" i="10"/>
  <c r="E47" i="10"/>
  <c r="E46" i="10"/>
  <c r="E45" i="10"/>
  <c r="E44" i="10"/>
  <c r="E43" i="10"/>
  <c r="E42" i="10"/>
  <c r="E41" i="10"/>
  <c r="E40" i="10"/>
  <c r="E39" i="10"/>
  <c r="E38" i="10"/>
  <c r="E37" i="10"/>
  <c r="E36" i="10"/>
  <c r="E35" i="10"/>
  <c r="E34" i="10"/>
  <c r="E33" i="10"/>
  <c r="E32" i="10"/>
  <c r="E31" i="10"/>
  <c r="E30" i="10"/>
  <c r="E29" i="10"/>
  <c r="E28" i="10"/>
  <c r="E27" i="10"/>
  <c r="E26" i="10"/>
  <c r="E25" i="10"/>
  <c r="E24" i="10"/>
  <c r="E23" i="10"/>
  <c r="E22" i="10"/>
  <c r="E21" i="10"/>
  <c r="E20" i="10"/>
  <c r="E19" i="10"/>
  <c r="E18" i="10"/>
  <c r="E17" i="10"/>
  <c r="E16" i="10"/>
  <c r="E15" i="10"/>
  <c r="E14" i="10"/>
  <c r="E13" i="10"/>
  <c r="E12" i="10"/>
  <c r="E11" i="10"/>
  <c r="E10" i="10"/>
  <c r="E9" i="10"/>
  <c r="E8" i="10"/>
  <c r="E7" i="10"/>
  <c r="E6" i="10"/>
  <c r="J305" i="9"/>
  <c r="I305" i="9"/>
  <c r="H305" i="9"/>
  <c r="F305" i="9"/>
  <c r="G305" i="9" s="1"/>
  <c r="E305" i="9"/>
  <c r="D305" i="9"/>
  <c r="J304" i="9"/>
  <c r="I304" i="9"/>
  <c r="H304" i="9"/>
  <c r="G304" i="9"/>
  <c r="F304" i="9"/>
  <c r="E304" i="9"/>
  <c r="D304" i="9"/>
  <c r="J303" i="9"/>
  <c r="I303" i="9"/>
  <c r="H303" i="9"/>
  <c r="G303" i="9"/>
  <c r="F303" i="9"/>
  <c r="E303" i="9"/>
  <c r="D303" i="9"/>
  <c r="J302" i="9"/>
  <c r="I302" i="9"/>
  <c r="H302" i="9"/>
  <c r="F302" i="9"/>
  <c r="G302" i="9" s="1"/>
  <c r="E302" i="9"/>
  <c r="D302" i="9"/>
  <c r="J301" i="9"/>
  <c r="I301" i="9"/>
  <c r="H301" i="9"/>
  <c r="F301" i="9"/>
  <c r="G301" i="9" s="1"/>
  <c r="E301" i="9"/>
  <c r="D301" i="9"/>
  <c r="J300" i="9"/>
  <c r="I300" i="9"/>
  <c r="H300" i="9"/>
  <c r="G300" i="9"/>
  <c r="F300" i="9"/>
  <c r="E300" i="9"/>
  <c r="D300" i="9"/>
  <c r="J299" i="9"/>
  <c r="I299" i="9"/>
  <c r="H299" i="9"/>
  <c r="F299" i="9"/>
  <c r="G299" i="9" s="1"/>
  <c r="E299" i="9"/>
  <c r="D299" i="9"/>
  <c r="J298" i="9"/>
  <c r="I298" i="9"/>
  <c r="H298" i="9"/>
  <c r="F298" i="9"/>
  <c r="G298" i="9" s="1"/>
  <c r="E298" i="9"/>
  <c r="D298" i="9"/>
  <c r="J297" i="9"/>
  <c r="I297" i="9"/>
  <c r="H297" i="9"/>
  <c r="F297" i="9"/>
  <c r="G297" i="9" s="1"/>
  <c r="E297" i="9"/>
  <c r="D297" i="9"/>
  <c r="J296" i="9"/>
  <c r="I296" i="9"/>
  <c r="H296" i="9"/>
  <c r="G296" i="9"/>
  <c r="F296" i="9"/>
  <c r="E296" i="9"/>
  <c r="D296" i="9"/>
  <c r="J295" i="9"/>
  <c r="I295" i="9"/>
  <c r="H295" i="9"/>
  <c r="G295" i="9"/>
  <c r="F295" i="9"/>
  <c r="E295" i="9"/>
  <c r="D295" i="9"/>
  <c r="J294" i="9"/>
  <c r="I294" i="9"/>
  <c r="H294" i="9"/>
  <c r="F294" i="9"/>
  <c r="G294" i="9" s="1"/>
  <c r="E294" i="9"/>
  <c r="D294" i="9"/>
  <c r="J293" i="9"/>
  <c r="I293" i="9"/>
  <c r="H293" i="9"/>
  <c r="F293" i="9"/>
  <c r="G293" i="9" s="1"/>
  <c r="E293" i="9"/>
  <c r="D293" i="9"/>
  <c r="J292" i="9"/>
  <c r="I292" i="9"/>
  <c r="H292" i="9"/>
  <c r="G292" i="9"/>
  <c r="F292" i="9"/>
  <c r="E292" i="9"/>
  <c r="D292" i="9"/>
  <c r="J291" i="9"/>
  <c r="I291" i="9"/>
  <c r="H291" i="9"/>
  <c r="F291" i="9"/>
  <c r="G291" i="9" s="1"/>
  <c r="E291" i="9"/>
  <c r="D291" i="9"/>
  <c r="J290" i="9"/>
  <c r="I290" i="9"/>
  <c r="H290" i="9"/>
  <c r="F290" i="9"/>
  <c r="G290" i="9" s="1"/>
  <c r="E290" i="9"/>
  <c r="D290" i="9"/>
  <c r="J289" i="9"/>
  <c r="I289" i="9"/>
  <c r="H289" i="9"/>
  <c r="F289" i="9"/>
  <c r="G289" i="9" s="1"/>
  <c r="E289" i="9"/>
  <c r="D289" i="9"/>
  <c r="J288" i="9"/>
  <c r="I288" i="9"/>
  <c r="H288" i="9"/>
  <c r="G288" i="9"/>
  <c r="F288" i="9"/>
  <c r="E288" i="9"/>
  <c r="D288" i="9"/>
  <c r="J287" i="9"/>
  <c r="I287" i="9"/>
  <c r="H287" i="9"/>
  <c r="G287" i="9"/>
  <c r="F287" i="9"/>
  <c r="E287" i="9"/>
  <c r="D287" i="9"/>
  <c r="J286" i="9"/>
  <c r="I286" i="9"/>
  <c r="H286" i="9"/>
  <c r="F286" i="9"/>
  <c r="G286" i="9" s="1"/>
  <c r="E286" i="9"/>
  <c r="D286" i="9"/>
  <c r="J285" i="9"/>
  <c r="I285" i="9"/>
  <c r="H285" i="9"/>
  <c r="F285" i="9"/>
  <c r="G285" i="9" s="1"/>
  <c r="E285" i="9"/>
  <c r="D285" i="9"/>
  <c r="J284" i="9"/>
  <c r="I284" i="9"/>
  <c r="H284" i="9"/>
  <c r="G284" i="9"/>
  <c r="F284" i="9"/>
  <c r="E284" i="9"/>
  <c r="D284" i="9"/>
  <c r="J283" i="9"/>
  <c r="I283" i="9"/>
  <c r="H283" i="9"/>
  <c r="F283" i="9"/>
  <c r="G283" i="9" s="1"/>
  <c r="E283" i="9"/>
  <c r="D283" i="9"/>
  <c r="J282" i="9"/>
  <c r="I282" i="9"/>
  <c r="H282" i="9"/>
  <c r="F282" i="9"/>
  <c r="G282" i="9" s="1"/>
  <c r="E282" i="9"/>
  <c r="D282" i="9"/>
  <c r="J281" i="9"/>
  <c r="I281" i="9"/>
  <c r="H281" i="9"/>
  <c r="F281" i="9"/>
  <c r="G281" i="9" s="1"/>
  <c r="E281" i="9"/>
  <c r="D281" i="9"/>
  <c r="J280" i="9"/>
  <c r="I280" i="9"/>
  <c r="H280" i="9"/>
  <c r="G280" i="9"/>
  <c r="F280" i="9"/>
  <c r="E280" i="9"/>
  <c r="D280" i="9"/>
  <c r="J279" i="9"/>
  <c r="I279" i="9"/>
  <c r="H279" i="9"/>
  <c r="G279" i="9"/>
  <c r="F279" i="9"/>
  <c r="E279" i="9"/>
  <c r="D279" i="9"/>
  <c r="J278" i="9"/>
  <c r="I278" i="9"/>
  <c r="H278" i="9"/>
  <c r="F278" i="9"/>
  <c r="G278" i="9" s="1"/>
  <c r="E278" i="9"/>
  <c r="D278" i="9"/>
  <c r="J277" i="9"/>
  <c r="I277" i="9"/>
  <c r="H277" i="9"/>
  <c r="F277" i="9"/>
  <c r="G277" i="9" s="1"/>
  <c r="E277" i="9"/>
  <c r="D277" i="9"/>
  <c r="J276" i="9"/>
  <c r="I276" i="9"/>
  <c r="H276" i="9"/>
  <c r="G276" i="9"/>
  <c r="F276" i="9"/>
  <c r="E276" i="9"/>
  <c r="D276" i="9"/>
  <c r="J275" i="9"/>
  <c r="I275" i="9"/>
  <c r="H275" i="9"/>
  <c r="G275" i="9"/>
  <c r="F275" i="9"/>
  <c r="E275" i="9"/>
  <c r="D275" i="9"/>
  <c r="J274" i="9"/>
  <c r="I274" i="9"/>
  <c r="H274" i="9"/>
  <c r="G274" i="9"/>
  <c r="F274" i="9"/>
  <c r="E274" i="9"/>
  <c r="D274" i="9"/>
  <c r="J273" i="9"/>
  <c r="I273" i="9"/>
  <c r="H273" i="9"/>
  <c r="F273" i="9"/>
  <c r="G273" i="9" s="1"/>
  <c r="E273" i="9"/>
  <c r="D273" i="9"/>
  <c r="J272" i="9"/>
  <c r="I272" i="9"/>
  <c r="H272" i="9"/>
  <c r="G272" i="9"/>
  <c r="F272" i="9"/>
  <c r="E272" i="9"/>
  <c r="D272" i="9"/>
  <c r="J271" i="9"/>
  <c r="I271" i="9"/>
  <c r="H271" i="9"/>
  <c r="G271" i="9"/>
  <c r="F271" i="9"/>
  <c r="E271" i="9"/>
  <c r="D271" i="9"/>
  <c r="J270" i="9"/>
  <c r="I270" i="9"/>
  <c r="H270" i="9"/>
  <c r="G270" i="9"/>
  <c r="F270" i="9"/>
  <c r="E270" i="9"/>
  <c r="D270" i="9"/>
  <c r="J269" i="9"/>
  <c r="I269" i="9"/>
  <c r="H269" i="9"/>
  <c r="F269" i="9"/>
  <c r="G269" i="9" s="1"/>
  <c r="E269" i="9"/>
  <c r="D269" i="9"/>
  <c r="J268" i="9"/>
  <c r="I268" i="9"/>
  <c r="H268" i="9"/>
  <c r="G268" i="9"/>
  <c r="F268" i="9"/>
  <c r="E268" i="9"/>
  <c r="D268" i="9"/>
  <c r="J267" i="9"/>
  <c r="I267" i="9"/>
  <c r="H267" i="9"/>
  <c r="G267" i="9"/>
  <c r="F267" i="9"/>
  <c r="E267" i="9"/>
  <c r="D267" i="9"/>
  <c r="J266" i="9"/>
  <c r="I266" i="9"/>
  <c r="H266" i="9"/>
  <c r="F266" i="9"/>
  <c r="G266" i="9" s="1"/>
  <c r="E266" i="9"/>
  <c r="D266" i="9"/>
  <c r="J265" i="9"/>
  <c r="I265" i="9"/>
  <c r="H265" i="9"/>
  <c r="F265" i="9"/>
  <c r="G265" i="9" s="1"/>
  <c r="E265" i="9"/>
  <c r="D265" i="9"/>
  <c r="J264" i="9"/>
  <c r="I264" i="9"/>
  <c r="H264" i="9"/>
  <c r="G264" i="9"/>
  <c r="F264" i="9"/>
  <c r="E264" i="9"/>
  <c r="D264" i="9"/>
  <c r="J263" i="9"/>
  <c r="I263" i="9"/>
  <c r="H263" i="9"/>
  <c r="G263" i="9"/>
  <c r="F263" i="9"/>
  <c r="E263" i="9"/>
  <c r="D263" i="9"/>
  <c r="J262" i="9"/>
  <c r="I262" i="9"/>
  <c r="H262" i="9"/>
  <c r="F262" i="9"/>
  <c r="G262" i="9" s="1"/>
  <c r="E262" i="9"/>
  <c r="D262" i="9"/>
  <c r="J261" i="9"/>
  <c r="I261" i="9"/>
  <c r="H261" i="9"/>
  <c r="F261" i="9"/>
  <c r="G261" i="9" s="1"/>
  <c r="E261" i="9"/>
  <c r="D261" i="9"/>
  <c r="J260" i="9"/>
  <c r="I260" i="9"/>
  <c r="H260" i="9"/>
  <c r="G260" i="9"/>
  <c r="F260" i="9"/>
  <c r="E260" i="9"/>
  <c r="D260" i="9"/>
  <c r="J259" i="9"/>
  <c r="I259" i="9"/>
  <c r="H259" i="9"/>
  <c r="G259" i="9"/>
  <c r="F259" i="9"/>
  <c r="E259" i="9"/>
  <c r="D259" i="9"/>
  <c r="J258" i="9"/>
  <c r="I258" i="9"/>
  <c r="H258" i="9"/>
  <c r="G258" i="9"/>
  <c r="F258" i="9"/>
  <c r="E258" i="9"/>
  <c r="D258" i="9"/>
  <c r="J257" i="9"/>
  <c r="I257" i="9"/>
  <c r="H257" i="9"/>
  <c r="F257" i="9"/>
  <c r="G257" i="9" s="1"/>
  <c r="E257" i="9"/>
  <c r="D257" i="9"/>
  <c r="J256" i="9"/>
  <c r="I256" i="9"/>
  <c r="H256" i="9"/>
  <c r="G256" i="9"/>
  <c r="F256" i="9"/>
  <c r="E256" i="9"/>
  <c r="D256" i="9"/>
  <c r="J255" i="9"/>
  <c r="I255" i="9"/>
  <c r="H255" i="9"/>
  <c r="G255" i="9"/>
  <c r="F255" i="9"/>
  <c r="E255" i="9"/>
  <c r="D255" i="9"/>
  <c r="J254" i="9"/>
  <c r="I254" i="9"/>
  <c r="H254" i="9"/>
  <c r="G254" i="9"/>
  <c r="F254" i="9"/>
  <c r="E254" i="9"/>
  <c r="D254" i="9"/>
  <c r="J253" i="9"/>
  <c r="I253" i="9"/>
  <c r="H253" i="9"/>
  <c r="F253" i="9"/>
  <c r="G253" i="9" s="1"/>
  <c r="E253" i="9"/>
  <c r="D253" i="9"/>
  <c r="J252" i="9"/>
  <c r="I252" i="9"/>
  <c r="H252" i="9"/>
  <c r="G252" i="9"/>
  <c r="F252" i="9"/>
  <c r="E252" i="9"/>
  <c r="D252" i="9"/>
  <c r="J251" i="9"/>
  <c r="I251" i="9"/>
  <c r="H251" i="9"/>
  <c r="G251" i="9"/>
  <c r="F251" i="9"/>
  <c r="E251" i="9"/>
  <c r="D251" i="9"/>
  <c r="J250" i="9"/>
  <c r="I250" i="9"/>
  <c r="H250" i="9"/>
  <c r="F250" i="9"/>
  <c r="G250" i="9" s="1"/>
  <c r="E250" i="9"/>
  <c r="D250" i="9"/>
  <c r="J249" i="9"/>
  <c r="I249" i="9"/>
  <c r="H249" i="9"/>
  <c r="F249" i="9"/>
  <c r="G249" i="9" s="1"/>
  <c r="E249" i="9"/>
  <c r="D249" i="9"/>
  <c r="J248" i="9"/>
  <c r="I248" i="9"/>
  <c r="H248" i="9"/>
  <c r="G248" i="9"/>
  <c r="F248" i="9"/>
  <c r="E248" i="9"/>
  <c r="D248" i="9"/>
  <c r="J247" i="9"/>
  <c r="I247" i="9"/>
  <c r="H247" i="9"/>
  <c r="G247" i="9"/>
  <c r="F247" i="9"/>
  <c r="E247" i="9"/>
  <c r="D247" i="9"/>
  <c r="J246" i="9"/>
  <c r="I246" i="9"/>
  <c r="H246" i="9"/>
  <c r="F246" i="9"/>
  <c r="G246" i="9" s="1"/>
  <c r="E246" i="9"/>
  <c r="D246" i="9"/>
  <c r="J245" i="9"/>
  <c r="I245" i="9"/>
  <c r="H245" i="9"/>
  <c r="F245" i="9"/>
  <c r="G245" i="9" s="1"/>
  <c r="E245" i="9"/>
  <c r="D245" i="9"/>
  <c r="J244" i="9"/>
  <c r="I244" i="9"/>
  <c r="H244" i="9"/>
  <c r="G244" i="9"/>
  <c r="F244" i="9"/>
  <c r="E244" i="9"/>
  <c r="D244" i="9"/>
  <c r="J243" i="9"/>
  <c r="I243" i="9"/>
  <c r="H243" i="9"/>
  <c r="G243" i="9"/>
  <c r="F243" i="9"/>
  <c r="E243" i="9"/>
  <c r="D243" i="9"/>
  <c r="J242" i="9"/>
  <c r="I242" i="9"/>
  <c r="H242" i="9"/>
  <c r="G242" i="9"/>
  <c r="F242" i="9"/>
  <c r="E242" i="9"/>
  <c r="D242" i="9"/>
  <c r="J241" i="9"/>
  <c r="I241" i="9"/>
  <c r="H241" i="9"/>
  <c r="F241" i="9"/>
  <c r="G241" i="9" s="1"/>
  <c r="E241" i="9"/>
  <c r="D241" i="9"/>
  <c r="J240" i="9"/>
  <c r="I240" i="9"/>
  <c r="H240" i="9"/>
  <c r="G240" i="9"/>
  <c r="F240" i="9"/>
  <c r="E240" i="9"/>
  <c r="D240" i="9"/>
  <c r="J239" i="9"/>
  <c r="I239" i="9"/>
  <c r="H239" i="9"/>
  <c r="G239" i="9"/>
  <c r="F239" i="9"/>
  <c r="E239" i="9"/>
  <c r="D239" i="9"/>
  <c r="J238" i="9"/>
  <c r="I238" i="9"/>
  <c r="H238" i="9"/>
  <c r="G238" i="9"/>
  <c r="F238" i="9"/>
  <c r="E238" i="9"/>
  <c r="D238" i="9"/>
  <c r="J237" i="9"/>
  <c r="I237" i="9"/>
  <c r="H237" i="9"/>
  <c r="F237" i="9"/>
  <c r="G237" i="9" s="1"/>
  <c r="E237" i="9"/>
  <c r="D237" i="9"/>
  <c r="J236" i="9"/>
  <c r="I236" i="9"/>
  <c r="H236" i="9"/>
  <c r="G236" i="9"/>
  <c r="F236" i="9"/>
  <c r="E236" i="9"/>
  <c r="D236" i="9"/>
  <c r="J235" i="9"/>
  <c r="I235" i="9"/>
  <c r="H235" i="9"/>
  <c r="G235" i="9"/>
  <c r="F235" i="9"/>
  <c r="E235" i="9"/>
  <c r="D235" i="9"/>
  <c r="J234" i="9"/>
  <c r="I234" i="9"/>
  <c r="H234" i="9"/>
  <c r="F234" i="9"/>
  <c r="G234" i="9" s="1"/>
  <c r="E234" i="9"/>
  <c r="D234" i="9"/>
  <c r="J233" i="9"/>
  <c r="I233" i="9"/>
  <c r="H233" i="9"/>
  <c r="F233" i="9"/>
  <c r="G233" i="9" s="1"/>
  <c r="E233" i="9"/>
  <c r="D233" i="9"/>
  <c r="J232" i="9"/>
  <c r="I232" i="9"/>
  <c r="H232" i="9"/>
  <c r="G232" i="9"/>
  <c r="F232" i="9"/>
  <c r="E232" i="9"/>
  <c r="D232" i="9"/>
  <c r="J231" i="9"/>
  <c r="I231" i="9"/>
  <c r="H231" i="9"/>
  <c r="G231" i="9"/>
  <c r="F231" i="9"/>
  <c r="E231" i="9"/>
  <c r="D231" i="9"/>
  <c r="J230" i="9"/>
  <c r="I230" i="9"/>
  <c r="H230" i="9"/>
  <c r="F230" i="9"/>
  <c r="G230" i="9" s="1"/>
  <c r="E230" i="9"/>
  <c r="D230" i="9"/>
  <c r="J229" i="9"/>
  <c r="I229" i="9"/>
  <c r="H229" i="9"/>
  <c r="F229" i="9"/>
  <c r="G229" i="9" s="1"/>
  <c r="E229" i="9"/>
  <c r="D229" i="9"/>
  <c r="J228" i="9"/>
  <c r="I228" i="9"/>
  <c r="H228" i="9"/>
  <c r="G228" i="9"/>
  <c r="F228" i="9"/>
  <c r="E228" i="9"/>
  <c r="D228" i="9"/>
  <c r="J227" i="9"/>
  <c r="I227" i="9"/>
  <c r="H227" i="9"/>
  <c r="G227" i="9"/>
  <c r="F227" i="9"/>
  <c r="E227" i="9"/>
  <c r="D227" i="9"/>
  <c r="J226" i="9"/>
  <c r="I226" i="9"/>
  <c r="H226" i="9"/>
  <c r="G226" i="9"/>
  <c r="F226" i="9"/>
  <c r="E226" i="9"/>
  <c r="D226" i="9"/>
  <c r="J225" i="9"/>
  <c r="I225" i="9"/>
  <c r="H225" i="9"/>
  <c r="F225" i="9"/>
  <c r="G225" i="9" s="1"/>
  <c r="E225" i="9"/>
  <c r="D225" i="9"/>
  <c r="J224" i="9"/>
  <c r="I224" i="9"/>
  <c r="H224" i="9"/>
  <c r="G224" i="9"/>
  <c r="F224" i="9"/>
  <c r="E224" i="9"/>
  <c r="D224" i="9"/>
  <c r="J223" i="9"/>
  <c r="I223" i="9"/>
  <c r="H223" i="9"/>
  <c r="G223" i="9"/>
  <c r="F223" i="9"/>
  <c r="E223" i="9"/>
  <c r="D223" i="9"/>
  <c r="J222" i="9"/>
  <c r="I222" i="9"/>
  <c r="H222" i="9"/>
  <c r="G222" i="9"/>
  <c r="F222" i="9"/>
  <c r="E222" i="9"/>
  <c r="D222" i="9"/>
  <c r="J221" i="9"/>
  <c r="I221" i="9"/>
  <c r="H221" i="9"/>
  <c r="F221" i="9"/>
  <c r="G221" i="9" s="1"/>
  <c r="E221" i="9"/>
  <c r="D221" i="9"/>
  <c r="J220" i="9"/>
  <c r="I220" i="9"/>
  <c r="H220" i="9"/>
  <c r="G220" i="9"/>
  <c r="F220" i="9"/>
  <c r="E220" i="9"/>
  <c r="D220" i="9"/>
  <c r="J219" i="9"/>
  <c r="I219" i="9"/>
  <c r="H219" i="9"/>
  <c r="G219" i="9"/>
  <c r="F219" i="9"/>
  <c r="E219" i="9"/>
  <c r="D219" i="9"/>
  <c r="J218" i="9"/>
  <c r="I218" i="9"/>
  <c r="H218" i="9"/>
  <c r="F218" i="9"/>
  <c r="G218" i="9" s="1"/>
  <c r="E218" i="9"/>
  <c r="D218" i="9"/>
  <c r="J217" i="9"/>
  <c r="I217" i="9"/>
  <c r="H217" i="9"/>
  <c r="F217" i="9"/>
  <c r="G217" i="9" s="1"/>
  <c r="E217" i="9"/>
  <c r="D217" i="9"/>
  <c r="J216" i="9"/>
  <c r="I216" i="9"/>
  <c r="H216" i="9"/>
  <c r="G216" i="9"/>
  <c r="F216" i="9"/>
  <c r="E216" i="9"/>
  <c r="D216" i="9"/>
  <c r="J215" i="9"/>
  <c r="I215" i="9"/>
  <c r="H215" i="9"/>
  <c r="G215" i="9"/>
  <c r="F215" i="9"/>
  <c r="E215" i="9"/>
  <c r="D215" i="9"/>
  <c r="J214" i="9"/>
  <c r="I214" i="9"/>
  <c r="H214" i="9"/>
  <c r="F214" i="9"/>
  <c r="G214" i="9" s="1"/>
  <c r="E214" i="9"/>
  <c r="D214" i="9"/>
  <c r="J213" i="9"/>
  <c r="I213" i="9"/>
  <c r="H213" i="9"/>
  <c r="F213" i="9"/>
  <c r="G213" i="9" s="1"/>
  <c r="E213" i="9"/>
  <c r="D213" i="9"/>
  <c r="J212" i="9"/>
  <c r="I212" i="9"/>
  <c r="H212" i="9"/>
  <c r="G212" i="9"/>
  <c r="F212" i="9"/>
  <c r="E212" i="9"/>
  <c r="D212" i="9"/>
  <c r="J211" i="9"/>
  <c r="I211" i="9"/>
  <c r="H211" i="9"/>
  <c r="G211" i="9"/>
  <c r="F211" i="9"/>
  <c r="E211" i="9"/>
  <c r="D211" i="9"/>
  <c r="J210" i="9"/>
  <c r="I210" i="9"/>
  <c r="H210" i="9"/>
  <c r="G210" i="9"/>
  <c r="F210" i="9"/>
  <c r="E210" i="9"/>
  <c r="D210" i="9"/>
  <c r="J209" i="9"/>
  <c r="I209" i="9"/>
  <c r="H209" i="9"/>
  <c r="F209" i="9"/>
  <c r="G209" i="9" s="1"/>
  <c r="E209" i="9"/>
  <c r="D209" i="9"/>
  <c r="J208" i="9"/>
  <c r="I208" i="9"/>
  <c r="H208" i="9"/>
  <c r="G208" i="9"/>
  <c r="F208" i="9"/>
  <c r="E208" i="9"/>
  <c r="D208" i="9"/>
  <c r="J207" i="9"/>
  <c r="I207" i="9"/>
  <c r="H207" i="9"/>
  <c r="G207" i="9"/>
  <c r="F207" i="9"/>
  <c r="E207" i="9"/>
  <c r="D207" i="9"/>
  <c r="J206" i="9"/>
  <c r="I206" i="9"/>
  <c r="H206" i="9"/>
  <c r="G206" i="9"/>
  <c r="F206" i="9"/>
  <c r="E206" i="9"/>
  <c r="D206" i="9"/>
  <c r="J205" i="9"/>
  <c r="I205" i="9"/>
  <c r="H205" i="9"/>
  <c r="F205" i="9"/>
  <c r="G205" i="9" s="1"/>
  <c r="E205" i="9"/>
  <c r="D205" i="9"/>
  <c r="J204" i="9"/>
  <c r="I204" i="9"/>
  <c r="H204" i="9"/>
  <c r="G204" i="9"/>
  <c r="F204" i="9"/>
  <c r="E204" i="9"/>
  <c r="D204" i="9"/>
  <c r="J203" i="9"/>
  <c r="I203" i="9"/>
  <c r="H203" i="9"/>
  <c r="G203" i="9"/>
  <c r="F203" i="9"/>
  <c r="E203" i="9"/>
  <c r="D203" i="9"/>
  <c r="J202" i="9"/>
  <c r="I202" i="9"/>
  <c r="H202" i="9"/>
  <c r="F202" i="9"/>
  <c r="G202" i="9" s="1"/>
  <c r="E202" i="9"/>
  <c r="D202" i="9"/>
  <c r="J201" i="9"/>
  <c r="I201" i="9"/>
  <c r="H201" i="9"/>
  <c r="F201" i="9"/>
  <c r="G201" i="9" s="1"/>
  <c r="E201" i="9"/>
  <c r="D201" i="9"/>
  <c r="J200" i="9"/>
  <c r="I200" i="9"/>
  <c r="H200" i="9"/>
  <c r="G200" i="9"/>
  <c r="F200" i="9"/>
  <c r="E200" i="9"/>
  <c r="D200" i="9"/>
  <c r="J199" i="9"/>
  <c r="I199" i="9"/>
  <c r="H199" i="9"/>
  <c r="G199" i="9"/>
  <c r="F199" i="9"/>
  <c r="E199" i="9"/>
  <c r="D199" i="9"/>
  <c r="J198" i="9"/>
  <c r="I198" i="9"/>
  <c r="H198" i="9"/>
  <c r="F198" i="9"/>
  <c r="G198" i="9" s="1"/>
  <c r="E198" i="9"/>
  <c r="D198" i="9"/>
  <c r="J197" i="9"/>
  <c r="I197" i="9"/>
  <c r="H197" i="9"/>
  <c r="F197" i="9"/>
  <c r="G197" i="9" s="1"/>
  <c r="E197" i="9"/>
  <c r="D197" i="9"/>
  <c r="J196" i="9"/>
  <c r="I196" i="9"/>
  <c r="H196" i="9"/>
  <c r="G196" i="9"/>
  <c r="F196" i="9"/>
  <c r="E196" i="9"/>
  <c r="D196" i="9"/>
  <c r="J195" i="9"/>
  <c r="I195" i="9"/>
  <c r="H195" i="9"/>
  <c r="G195" i="9"/>
  <c r="F195" i="9"/>
  <c r="E195" i="9"/>
  <c r="D195" i="9"/>
  <c r="J194" i="9"/>
  <c r="I194" i="9"/>
  <c r="H194" i="9"/>
  <c r="G194" i="9"/>
  <c r="F194" i="9"/>
  <c r="E194" i="9"/>
  <c r="D194" i="9"/>
  <c r="J193" i="9"/>
  <c r="I193" i="9"/>
  <c r="H193" i="9"/>
  <c r="F193" i="9"/>
  <c r="G193" i="9" s="1"/>
  <c r="E193" i="9"/>
  <c r="D193" i="9"/>
  <c r="J192" i="9"/>
  <c r="I192" i="9"/>
  <c r="H192" i="9"/>
  <c r="G192" i="9"/>
  <c r="F192" i="9"/>
  <c r="E192" i="9"/>
  <c r="D192" i="9"/>
  <c r="J191" i="9"/>
  <c r="I191" i="9"/>
  <c r="H191" i="9"/>
  <c r="G191" i="9"/>
  <c r="F191" i="9"/>
  <c r="E191" i="9"/>
  <c r="D191" i="9"/>
  <c r="J190" i="9"/>
  <c r="I190" i="9"/>
  <c r="H190" i="9"/>
  <c r="G190" i="9"/>
  <c r="F190" i="9"/>
  <c r="E190" i="9"/>
  <c r="D190" i="9"/>
  <c r="J189" i="9"/>
  <c r="I189" i="9"/>
  <c r="H189" i="9"/>
  <c r="F189" i="9"/>
  <c r="G189" i="9" s="1"/>
  <c r="E189" i="9"/>
  <c r="D189" i="9"/>
  <c r="J188" i="9"/>
  <c r="I188" i="9"/>
  <c r="H188" i="9"/>
  <c r="G188" i="9"/>
  <c r="F188" i="9"/>
  <c r="E188" i="9"/>
  <c r="D188" i="9"/>
  <c r="J187" i="9"/>
  <c r="I187" i="9"/>
  <c r="H187" i="9"/>
  <c r="G187" i="9"/>
  <c r="F187" i="9"/>
  <c r="E187" i="9"/>
  <c r="D187" i="9"/>
  <c r="J186" i="9"/>
  <c r="I186" i="9"/>
  <c r="H186" i="9"/>
  <c r="F186" i="9"/>
  <c r="G186" i="9" s="1"/>
  <c r="E186" i="9"/>
  <c r="D186" i="9"/>
  <c r="J185" i="9"/>
  <c r="I185" i="9"/>
  <c r="H185" i="9"/>
  <c r="F185" i="9"/>
  <c r="G185" i="9" s="1"/>
  <c r="E185" i="9"/>
  <c r="D185" i="9"/>
  <c r="J184" i="9"/>
  <c r="I184" i="9"/>
  <c r="H184" i="9"/>
  <c r="G184" i="9"/>
  <c r="F184" i="9"/>
  <c r="E184" i="9"/>
  <c r="D184" i="9"/>
  <c r="J183" i="9"/>
  <c r="I183" i="9"/>
  <c r="H183" i="9"/>
  <c r="G183" i="9"/>
  <c r="F183" i="9"/>
  <c r="E183" i="9"/>
  <c r="D183" i="9"/>
  <c r="J182" i="9"/>
  <c r="I182" i="9"/>
  <c r="H182" i="9"/>
  <c r="F182" i="9"/>
  <c r="G182" i="9" s="1"/>
  <c r="E182" i="9"/>
  <c r="D182" i="9"/>
  <c r="J181" i="9"/>
  <c r="I181" i="9"/>
  <c r="H181" i="9"/>
  <c r="F181" i="9"/>
  <c r="G181" i="9" s="1"/>
  <c r="E181" i="9"/>
  <c r="D181" i="9"/>
  <c r="J180" i="9"/>
  <c r="I180" i="9"/>
  <c r="H180" i="9"/>
  <c r="G180" i="9"/>
  <c r="F180" i="9"/>
  <c r="E180" i="9"/>
  <c r="D180" i="9"/>
  <c r="J179" i="9"/>
  <c r="I179" i="9"/>
  <c r="H179" i="9"/>
  <c r="G179" i="9"/>
  <c r="F179" i="9"/>
  <c r="E179" i="9"/>
  <c r="D179" i="9"/>
  <c r="J178" i="9"/>
  <c r="I178" i="9"/>
  <c r="H178" i="9"/>
  <c r="G178" i="9"/>
  <c r="F178" i="9"/>
  <c r="E178" i="9"/>
  <c r="D178" i="9"/>
  <c r="J177" i="9"/>
  <c r="I177" i="9"/>
  <c r="H177" i="9"/>
  <c r="F177" i="9"/>
  <c r="G177" i="9" s="1"/>
  <c r="E177" i="9"/>
  <c r="D177" i="9"/>
  <c r="J176" i="9"/>
  <c r="I176" i="9"/>
  <c r="H176" i="9"/>
  <c r="G176" i="9"/>
  <c r="F176" i="9"/>
  <c r="E176" i="9"/>
  <c r="D176" i="9"/>
  <c r="J175" i="9"/>
  <c r="I175" i="9"/>
  <c r="H175" i="9"/>
  <c r="G175" i="9"/>
  <c r="F175" i="9"/>
  <c r="E175" i="9"/>
  <c r="D175" i="9"/>
  <c r="J174" i="9"/>
  <c r="I174" i="9"/>
  <c r="H174" i="9"/>
  <c r="G174" i="9"/>
  <c r="F174" i="9"/>
  <c r="E174" i="9"/>
  <c r="D174" i="9"/>
  <c r="J173" i="9"/>
  <c r="I173" i="9"/>
  <c r="H173" i="9"/>
  <c r="F173" i="9"/>
  <c r="G173" i="9" s="1"/>
  <c r="E173" i="9"/>
  <c r="D173" i="9"/>
  <c r="J172" i="9"/>
  <c r="I172" i="9"/>
  <c r="H172" i="9"/>
  <c r="G172" i="9"/>
  <c r="F172" i="9"/>
  <c r="E172" i="9"/>
  <c r="D172" i="9"/>
  <c r="J171" i="9"/>
  <c r="I171" i="9"/>
  <c r="H171" i="9"/>
  <c r="G171" i="9"/>
  <c r="F171" i="9"/>
  <c r="E171" i="9"/>
  <c r="D171" i="9"/>
  <c r="J170" i="9"/>
  <c r="I170" i="9"/>
  <c r="H170" i="9"/>
  <c r="F170" i="9"/>
  <c r="G170" i="9" s="1"/>
  <c r="E170" i="9"/>
  <c r="D170" i="9"/>
  <c r="J169" i="9"/>
  <c r="I169" i="9"/>
  <c r="H169" i="9"/>
  <c r="F169" i="9"/>
  <c r="G169" i="9" s="1"/>
  <c r="E169" i="9"/>
  <c r="D169" i="9"/>
  <c r="J168" i="9"/>
  <c r="I168" i="9"/>
  <c r="H168" i="9"/>
  <c r="G168" i="9"/>
  <c r="F168" i="9"/>
  <c r="E168" i="9"/>
  <c r="D168" i="9"/>
  <c r="J167" i="9"/>
  <c r="I167" i="9"/>
  <c r="H167" i="9"/>
  <c r="G167" i="9"/>
  <c r="F167" i="9"/>
  <c r="E167" i="9"/>
  <c r="D167" i="9"/>
  <c r="J166" i="9"/>
  <c r="I166" i="9"/>
  <c r="H166" i="9"/>
  <c r="F166" i="9"/>
  <c r="G166" i="9" s="1"/>
  <c r="E166" i="9"/>
  <c r="D166" i="9"/>
  <c r="J165" i="9"/>
  <c r="I165" i="9"/>
  <c r="H165" i="9"/>
  <c r="F165" i="9"/>
  <c r="G165" i="9" s="1"/>
  <c r="E165" i="9"/>
  <c r="D165" i="9"/>
  <c r="J164" i="9"/>
  <c r="I164" i="9"/>
  <c r="H164" i="9"/>
  <c r="G164" i="9"/>
  <c r="F164" i="9"/>
  <c r="E164" i="9"/>
  <c r="D164" i="9"/>
  <c r="J163" i="9"/>
  <c r="I163" i="9"/>
  <c r="H163" i="9"/>
  <c r="G163" i="9"/>
  <c r="F163" i="9"/>
  <c r="E163" i="9"/>
  <c r="D163" i="9"/>
  <c r="J162" i="9"/>
  <c r="I162" i="9"/>
  <c r="H162" i="9"/>
  <c r="G162" i="9"/>
  <c r="F162" i="9"/>
  <c r="E162" i="9"/>
  <c r="D162" i="9"/>
  <c r="J161" i="9"/>
  <c r="I161" i="9"/>
  <c r="H161" i="9"/>
  <c r="F161" i="9"/>
  <c r="G161" i="9" s="1"/>
  <c r="E161" i="9"/>
  <c r="D161" i="9"/>
  <c r="J160" i="9"/>
  <c r="I160" i="9"/>
  <c r="H160" i="9"/>
  <c r="G160" i="9"/>
  <c r="F160" i="9"/>
  <c r="E160" i="9"/>
  <c r="D160" i="9"/>
  <c r="J159" i="9"/>
  <c r="I159" i="9"/>
  <c r="H159" i="9"/>
  <c r="G159" i="9"/>
  <c r="F159" i="9"/>
  <c r="E159" i="9"/>
  <c r="D159" i="9"/>
  <c r="J158" i="9"/>
  <c r="I158" i="9"/>
  <c r="H158" i="9"/>
  <c r="G158" i="9"/>
  <c r="F158" i="9"/>
  <c r="E158" i="9"/>
  <c r="D158" i="9"/>
  <c r="J157" i="9"/>
  <c r="I157" i="9"/>
  <c r="H157" i="9"/>
  <c r="F157" i="9"/>
  <c r="G157" i="9" s="1"/>
  <c r="E157" i="9"/>
  <c r="D157" i="9"/>
  <c r="J156" i="9"/>
  <c r="I156" i="9"/>
  <c r="H156" i="9"/>
  <c r="G156" i="9"/>
  <c r="F156" i="9"/>
  <c r="E156" i="9"/>
  <c r="D156" i="9"/>
  <c r="J155" i="9"/>
  <c r="I155" i="9"/>
  <c r="H155" i="9"/>
  <c r="G155" i="9"/>
  <c r="F155" i="9"/>
  <c r="E155" i="9"/>
  <c r="D155" i="9"/>
  <c r="J154" i="9"/>
  <c r="I154" i="9"/>
  <c r="H154" i="9"/>
  <c r="F154" i="9"/>
  <c r="G154" i="9" s="1"/>
  <c r="E154" i="9"/>
  <c r="D154" i="9"/>
  <c r="J153" i="9"/>
  <c r="I153" i="9"/>
  <c r="H153" i="9"/>
  <c r="F153" i="9"/>
  <c r="G153" i="9" s="1"/>
  <c r="E153" i="9"/>
  <c r="D153" i="9"/>
  <c r="J152" i="9"/>
  <c r="I152" i="9"/>
  <c r="H152" i="9"/>
  <c r="G152" i="9"/>
  <c r="F152" i="9"/>
  <c r="E152" i="9"/>
  <c r="D152" i="9"/>
  <c r="J151" i="9"/>
  <c r="I151" i="9"/>
  <c r="H151" i="9"/>
  <c r="G151" i="9"/>
  <c r="F151" i="9"/>
  <c r="E151" i="9"/>
  <c r="D151" i="9"/>
  <c r="J150" i="9"/>
  <c r="I150" i="9"/>
  <c r="H150" i="9"/>
  <c r="F150" i="9"/>
  <c r="G150" i="9" s="1"/>
  <c r="E150" i="9"/>
  <c r="D150" i="9"/>
  <c r="J149" i="9"/>
  <c r="I149" i="9"/>
  <c r="H149" i="9"/>
  <c r="F149" i="9"/>
  <c r="G149" i="9" s="1"/>
  <c r="E149" i="9"/>
  <c r="D149" i="9"/>
  <c r="J148" i="9"/>
  <c r="I148" i="9"/>
  <c r="H148" i="9"/>
  <c r="G148" i="9"/>
  <c r="F148" i="9"/>
  <c r="E148" i="9"/>
  <c r="D148" i="9"/>
  <c r="J147" i="9"/>
  <c r="I147" i="9"/>
  <c r="H147" i="9"/>
  <c r="G147" i="9"/>
  <c r="F147" i="9"/>
  <c r="E147" i="9"/>
  <c r="D147" i="9"/>
  <c r="J146" i="9"/>
  <c r="I146" i="9"/>
  <c r="H146" i="9"/>
  <c r="G146" i="9"/>
  <c r="F146" i="9"/>
  <c r="E146" i="9"/>
  <c r="D146" i="9"/>
  <c r="J145" i="9"/>
  <c r="I145" i="9"/>
  <c r="H145" i="9"/>
  <c r="F145" i="9"/>
  <c r="G145" i="9" s="1"/>
  <c r="E145" i="9"/>
  <c r="D145" i="9"/>
  <c r="J144" i="9"/>
  <c r="I144" i="9"/>
  <c r="H144" i="9"/>
  <c r="G144" i="9"/>
  <c r="F144" i="9"/>
  <c r="E144" i="9"/>
  <c r="D144" i="9"/>
  <c r="J143" i="9"/>
  <c r="I143" i="9"/>
  <c r="H143" i="9"/>
  <c r="G143" i="9"/>
  <c r="F143" i="9"/>
  <c r="E143" i="9"/>
  <c r="D143" i="9"/>
  <c r="J142" i="9"/>
  <c r="I142" i="9"/>
  <c r="H142" i="9"/>
  <c r="G142" i="9"/>
  <c r="F142" i="9"/>
  <c r="E142" i="9"/>
  <c r="D142" i="9"/>
  <c r="J141" i="9"/>
  <c r="I141" i="9"/>
  <c r="H141" i="9"/>
  <c r="F141" i="9"/>
  <c r="G141" i="9" s="1"/>
  <c r="E141" i="9"/>
  <c r="D141" i="9"/>
  <c r="J140" i="9"/>
  <c r="I140" i="9"/>
  <c r="H140" i="9"/>
  <c r="G140" i="9"/>
  <c r="F140" i="9"/>
  <c r="E140" i="9"/>
  <c r="D140" i="9"/>
  <c r="J139" i="9"/>
  <c r="I139" i="9"/>
  <c r="H139" i="9"/>
  <c r="G139" i="9"/>
  <c r="F139" i="9"/>
  <c r="E139" i="9"/>
  <c r="D139" i="9"/>
  <c r="J138" i="9"/>
  <c r="I138" i="9"/>
  <c r="H138" i="9"/>
  <c r="F138" i="9"/>
  <c r="G138" i="9" s="1"/>
  <c r="E138" i="9"/>
  <c r="D138" i="9"/>
  <c r="J137" i="9"/>
  <c r="I137" i="9"/>
  <c r="H137" i="9"/>
  <c r="F137" i="9"/>
  <c r="G137" i="9" s="1"/>
  <c r="E137" i="9"/>
  <c r="D137" i="9"/>
  <c r="J136" i="9"/>
  <c r="I136" i="9"/>
  <c r="H136" i="9"/>
  <c r="G136" i="9"/>
  <c r="F136" i="9"/>
  <c r="E136" i="9"/>
  <c r="D136" i="9"/>
  <c r="J135" i="9"/>
  <c r="I135" i="9"/>
  <c r="H135" i="9"/>
  <c r="G135" i="9"/>
  <c r="F135" i="9"/>
  <c r="E135" i="9"/>
  <c r="D135" i="9"/>
  <c r="J134" i="9"/>
  <c r="I134" i="9"/>
  <c r="H134" i="9"/>
  <c r="F134" i="9"/>
  <c r="G134" i="9" s="1"/>
  <c r="E134" i="9"/>
  <c r="D134" i="9"/>
  <c r="J133" i="9"/>
  <c r="I133" i="9"/>
  <c r="H133" i="9"/>
  <c r="F133" i="9"/>
  <c r="G133" i="9" s="1"/>
  <c r="E133" i="9"/>
  <c r="D133" i="9"/>
  <c r="J132" i="9"/>
  <c r="I132" i="9"/>
  <c r="H132" i="9"/>
  <c r="G132" i="9"/>
  <c r="F132" i="9"/>
  <c r="E132" i="9"/>
  <c r="D132" i="9"/>
  <c r="J131" i="9"/>
  <c r="I131" i="9"/>
  <c r="H131" i="9"/>
  <c r="G131" i="9"/>
  <c r="F131" i="9"/>
  <c r="E131" i="9"/>
  <c r="D131" i="9"/>
  <c r="J130" i="9"/>
  <c r="I130" i="9"/>
  <c r="H130" i="9"/>
  <c r="G130" i="9"/>
  <c r="F130" i="9"/>
  <c r="E130" i="9"/>
  <c r="D130" i="9"/>
  <c r="J129" i="9"/>
  <c r="I129" i="9"/>
  <c r="H129" i="9"/>
  <c r="F129" i="9"/>
  <c r="G129" i="9" s="1"/>
  <c r="E129" i="9"/>
  <c r="D129" i="9"/>
  <c r="J128" i="9"/>
  <c r="I128" i="9"/>
  <c r="H128" i="9"/>
  <c r="G128" i="9"/>
  <c r="F128" i="9"/>
  <c r="E128" i="9"/>
  <c r="D128" i="9"/>
  <c r="J127" i="9"/>
  <c r="I127" i="9"/>
  <c r="H127" i="9"/>
  <c r="G127" i="9"/>
  <c r="F127" i="9"/>
  <c r="E127" i="9"/>
  <c r="D127" i="9"/>
  <c r="J126" i="9"/>
  <c r="I126" i="9"/>
  <c r="H126" i="9"/>
  <c r="G126" i="9"/>
  <c r="F126" i="9"/>
  <c r="E126" i="9"/>
  <c r="D126" i="9"/>
  <c r="J125" i="9"/>
  <c r="I125" i="9"/>
  <c r="H125" i="9"/>
  <c r="F125" i="9"/>
  <c r="G125" i="9" s="1"/>
  <c r="E125" i="9"/>
  <c r="D125" i="9"/>
  <c r="J124" i="9"/>
  <c r="I124" i="9"/>
  <c r="H124" i="9"/>
  <c r="G124" i="9"/>
  <c r="F124" i="9"/>
  <c r="E124" i="9"/>
  <c r="D124" i="9"/>
  <c r="J123" i="9"/>
  <c r="I123" i="9"/>
  <c r="H123" i="9"/>
  <c r="G123" i="9"/>
  <c r="F123" i="9"/>
  <c r="E123" i="9"/>
  <c r="D123" i="9"/>
  <c r="J122" i="9"/>
  <c r="I122" i="9"/>
  <c r="H122" i="9"/>
  <c r="F122" i="9"/>
  <c r="G122" i="9" s="1"/>
  <c r="E122" i="9"/>
  <c r="D122" i="9"/>
  <c r="J121" i="9"/>
  <c r="I121" i="9"/>
  <c r="H121" i="9"/>
  <c r="F121" i="9"/>
  <c r="G121" i="9" s="1"/>
  <c r="E121" i="9"/>
  <c r="D121" i="9"/>
  <c r="J120" i="9"/>
  <c r="I120" i="9"/>
  <c r="H120" i="9"/>
  <c r="G120" i="9"/>
  <c r="F120" i="9"/>
  <c r="E120" i="9"/>
  <c r="D120" i="9"/>
  <c r="J119" i="9"/>
  <c r="I119" i="9"/>
  <c r="H119" i="9"/>
  <c r="G119" i="9"/>
  <c r="F119" i="9"/>
  <c r="E119" i="9"/>
  <c r="D119" i="9"/>
  <c r="J118" i="9"/>
  <c r="I118" i="9"/>
  <c r="H118" i="9"/>
  <c r="F118" i="9"/>
  <c r="G118" i="9" s="1"/>
  <c r="E118" i="9"/>
  <c r="D118" i="9"/>
  <c r="J117" i="9"/>
  <c r="I117" i="9"/>
  <c r="H117" i="9"/>
  <c r="F117" i="9"/>
  <c r="G117" i="9" s="1"/>
  <c r="E117" i="9"/>
  <c r="D117" i="9"/>
  <c r="J116" i="9"/>
  <c r="I116" i="9"/>
  <c r="H116" i="9"/>
  <c r="G116" i="9"/>
  <c r="F116" i="9"/>
  <c r="E116" i="9"/>
  <c r="D116" i="9"/>
  <c r="J115" i="9"/>
  <c r="I115" i="9"/>
  <c r="H115" i="9"/>
  <c r="G115" i="9"/>
  <c r="F115" i="9"/>
  <c r="E115" i="9"/>
  <c r="D115" i="9"/>
  <c r="J114" i="9"/>
  <c r="I114" i="9"/>
  <c r="H114" i="9"/>
  <c r="G114" i="9"/>
  <c r="F114" i="9"/>
  <c r="E114" i="9"/>
  <c r="D114" i="9"/>
  <c r="J113" i="9"/>
  <c r="I113" i="9"/>
  <c r="H113" i="9"/>
  <c r="F113" i="9"/>
  <c r="G113" i="9" s="1"/>
  <c r="E113" i="9"/>
  <c r="D113" i="9"/>
  <c r="J112" i="9"/>
  <c r="I112" i="9"/>
  <c r="H112" i="9"/>
  <c r="G112" i="9"/>
  <c r="F112" i="9"/>
  <c r="E112" i="9"/>
  <c r="D112" i="9"/>
  <c r="J111" i="9"/>
  <c r="I111" i="9"/>
  <c r="H111" i="9"/>
  <c r="G111" i="9"/>
  <c r="F111" i="9"/>
  <c r="E111" i="9"/>
  <c r="D111" i="9"/>
  <c r="J110" i="9"/>
  <c r="I110" i="9"/>
  <c r="H110" i="9"/>
  <c r="G110" i="9"/>
  <c r="F110" i="9"/>
  <c r="E110" i="9"/>
  <c r="D110" i="9"/>
  <c r="J109" i="9"/>
  <c r="I109" i="9"/>
  <c r="H109" i="9"/>
  <c r="F109" i="9"/>
  <c r="G109" i="9" s="1"/>
  <c r="E109" i="9"/>
  <c r="D109" i="9"/>
  <c r="J108" i="9"/>
  <c r="I108" i="9"/>
  <c r="H108" i="9"/>
  <c r="G108" i="9"/>
  <c r="F108" i="9"/>
  <c r="E108" i="9"/>
  <c r="D108" i="9"/>
  <c r="J107" i="9"/>
  <c r="I107" i="9"/>
  <c r="H107" i="9"/>
  <c r="G107" i="9"/>
  <c r="F107" i="9"/>
  <c r="E107" i="9"/>
  <c r="D107" i="9"/>
  <c r="J106" i="9"/>
  <c r="I106" i="9"/>
  <c r="H106" i="9"/>
  <c r="F106" i="9"/>
  <c r="G106" i="9" s="1"/>
  <c r="E106" i="9"/>
  <c r="D106" i="9"/>
  <c r="J105" i="9"/>
  <c r="I105" i="9"/>
  <c r="H105" i="9"/>
  <c r="F105" i="9"/>
  <c r="G105" i="9" s="1"/>
  <c r="E105" i="9"/>
  <c r="D105" i="9"/>
  <c r="J104" i="9"/>
  <c r="I104" i="9"/>
  <c r="H104" i="9"/>
  <c r="G104" i="9"/>
  <c r="F104" i="9"/>
  <c r="E104" i="9"/>
  <c r="D104" i="9"/>
  <c r="J103" i="9"/>
  <c r="I103" i="9"/>
  <c r="H103" i="9"/>
  <c r="G103" i="9"/>
  <c r="F103" i="9"/>
  <c r="E103" i="9"/>
  <c r="D103" i="9"/>
  <c r="J102" i="9"/>
  <c r="I102" i="9"/>
  <c r="H102" i="9"/>
  <c r="F102" i="9"/>
  <c r="G102" i="9" s="1"/>
  <c r="E102" i="9"/>
  <c r="D102" i="9"/>
  <c r="J101" i="9"/>
  <c r="I101" i="9"/>
  <c r="H101" i="9"/>
  <c r="F101" i="9"/>
  <c r="G101" i="9" s="1"/>
  <c r="E101" i="9"/>
  <c r="D101" i="9"/>
  <c r="J100" i="9"/>
  <c r="I100" i="9"/>
  <c r="H100" i="9"/>
  <c r="G100" i="9"/>
  <c r="F100" i="9"/>
  <c r="E100" i="9"/>
  <c r="D100" i="9"/>
  <c r="J99" i="9"/>
  <c r="I99" i="9"/>
  <c r="H99" i="9"/>
  <c r="G99" i="9"/>
  <c r="F99" i="9"/>
  <c r="E99" i="9"/>
  <c r="D99" i="9"/>
  <c r="J98" i="9"/>
  <c r="I98" i="9"/>
  <c r="H98" i="9"/>
  <c r="G98" i="9"/>
  <c r="F98" i="9"/>
  <c r="E98" i="9"/>
  <c r="D98" i="9"/>
  <c r="J97" i="9"/>
  <c r="I97" i="9"/>
  <c r="H97" i="9"/>
  <c r="F97" i="9"/>
  <c r="G97" i="9" s="1"/>
  <c r="E97" i="9"/>
  <c r="D97" i="9"/>
  <c r="J96" i="9"/>
  <c r="I96" i="9"/>
  <c r="H96" i="9"/>
  <c r="G96" i="9"/>
  <c r="F96" i="9"/>
  <c r="E96" i="9"/>
  <c r="D96" i="9"/>
  <c r="J95" i="9"/>
  <c r="I95" i="9"/>
  <c r="H95" i="9"/>
  <c r="G95" i="9"/>
  <c r="F95" i="9"/>
  <c r="E95" i="9"/>
  <c r="D95" i="9"/>
  <c r="J94" i="9"/>
  <c r="I94" i="9"/>
  <c r="H94" i="9"/>
  <c r="G94" i="9"/>
  <c r="F94" i="9"/>
  <c r="E94" i="9"/>
  <c r="D94" i="9"/>
  <c r="J93" i="9"/>
  <c r="I93" i="9"/>
  <c r="H93" i="9"/>
  <c r="F93" i="9"/>
  <c r="G93" i="9" s="1"/>
  <c r="E93" i="9"/>
  <c r="D93" i="9"/>
  <c r="J92" i="9"/>
  <c r="I92" i="9"/>
  <c r="H92" i="9"/>
  <c r="G92" i="9"/>
  <c r="F92" i="9"/>
  <c r="E92" i="9"/>
  <c r="D92" i="9"/>
  <c r="J91" i="9"/>
  <c r="I91" i="9"/>
  <c r="H91" i="9"/>
  <c r="G91" i="9"/>
  <c r="F91" i="9"/>
  <c r="E91" i="9"/>
  <c r="D91" i="9"/>
  <c r="J90" i="9"/>
  <c r="I90" i="9"/>
  <c r="H90" i="9"/>
  <c r="F90" i="9"/>
  <c r="G90" i="9" s="1"/>
  <c r="E90" i="9"/>
  <c r="D90" i="9"/>
  <c r="J89" i="9"/>
  <c r="I89" i="9"/>
  <c r="H89" i="9"/>
  <c r="F89" i="9"/>
  <c r="G89" i="9" s="1"/>
  <c r="E89" i="9"/>
  <c r="D89" i="9"/>
  <c r="J88" i="9"/>
  <c r="I88" i="9"/>
  <c r="H88" i="9"/>
  <c r="G88" i="9"/>
  <c r="F88" i="9"/>
  <c r="E88" i="9"/>
  <c r="D88" i="9"/>
  <c r="J87" i="9"/>
  <c r="I87" i="9"/>
  <c r="H87" i="9"/>
  <c r="G87" i="9"/>
  <c r="F87" i="9"/>
  <c r="E87" i="9"/>
  <c r="D87" i="9"/>
  <c r="J86" i="9"/>
  <c r="I86" i="9"/>
  <c r="H86" i="9"/>
  <c r="F86" i="9"/>
  <c r="G86" i="9" s="1"/>
  <c r="E86" i="9"/>
  <c r="D86" i="9"/>
  <c r="J85" i="9"/>
  <c r="I85" i="9"/>
  <c r="H85" i="9"/>
  <c r="F85" i="9"/>
  <c r="G85" i="9" s="1"/>
  <c r="E85" i="9"/>
  <c r="D85" i="9"/>
  <c r="J84" i="9"/>
  <c r="I84" i="9"/>
  <c r="H84" i="9"/>
  <c r="F84" i="9"/>
  <c r="G84" i="9" s="1"/>
  <c r="E84" i="9"/>
  <c r="D84" i="9"/>
  <c r="J83" i="9"/>
  <c r="I83" i="9"/>
  <c r="H83" i="9"/>
  <c r="F83" i="9"/>
  <c r="G83" i="9" s="1"/>
  <c r="E83" i="9"/>
  <c r="D83" i="9"/>
  <c r="J82" i="9"/>
  <c r="I82" i="9"/>
  <c r="H82" i="9"/>
  <c r="G82" i="9"/>
  <c r="F82" i="9"/>
  <c r="E82" i="9"/>
  <c r="D82" i="9"/>
  <c r="J81" i="9"/>
  <c r="I81" i="9"/>
  <c r="H81" i="9"/>
  <c r="G81" i="9"/>
  <c r="F81" i="9"/>
  <c r="E81" i="9"/>
  <c r="D81" i="9"/>
  <c r="J80" i="9"/>
  <c r="I80" i="9"/>
  <c r="H80" i="9"/>
  <c r="F80" i="9"/>
  <c r="G80" i="9" s="1"/>
  <c r="E80" i="9"/>
  <c r="D80" i="9"/>
  <c r="J79" i="9"/>
  <c r="I79" i="9"/>
  <c r="H79" i="9"/>
  <c r="F79" i="9"/>
  <c r="G79" i="9" s="1"/>
  <c r="E79" i="9"/>
  <c r="D79" i="9"/>
  <c r="J78" i="9"/>
  <c r="I78" i="9"/>
  <c r="H78" i="9"/>
  <c r="G78" i="9"/>
  <c r="F78" i="9"/>
  <c r="E78" i="9"/>
  <c r="D78" i="9"/>
  <c r="J77" i="9"/>
  <c r="I77" i="9"/>
  <c r="H77" i="9"/>
  <c r="G77" i="9"/>
  <c r="F77" i="9"/>
  <c r="E77" i="9"/>
  <c r="D77" i="9"/>
  <c r="J76" i="9"/>
  <c r="I76" i="9"/>
  <c r="H76" i="9"/>
  <c r="F76" i="9"/>
  <c r="G76" i="9" s="1"/>
  <c r="E76" i="9"/>
  <c r="D76" i="9"/>
  <c r="J75" i="9"/>
  <c r="I75" i="9"/>
  <c r="H75" i="9"/>
  <c r="F75" i="9"/>
  <c r="G75" i="9" s="1"/>
  <c r="E75" i="9"/>
  <c r="D75" i="9"/>
  <c r="J74" i="9"/>
  <c r="I74" i="9"/>
  <c r="H74" i="9"/>
  <c r="G74" i="9"/>
  <c r="F74" i="9"/>
  <c r="E74" i="9"/>
  <c r="D74" i="9"/>
  <c r="J73" i="9"/>
  <c r="I73" i="9"/>
  <c r="H73" i="9"/>
  <c r="G73" i="9"/>
  <c r="F73" i="9"/>
  <c r="E73" i="9"/>
  <c r="D73" i="9"/>
  <c r="J72" i="9"/>
  <c r="I72" i="9"/>
  <c r="H72" i="9"/>
  <c r="F72" i="9"/>
  <c r="G72" i="9" s="1"/>
  <c r="E72" i="9"/>
  <c r="D72" i="9"/>
  <c r="J71" i="9"/>
  <c r="I71" i="9"/>
  <c r="H71" i="9"/>
  <c r="F71" i="9"/>
  <c r="G71" i="9" s="1"/>
  <c r="E71" i="9"/>
  <c r="D71" i="9"/>
  <c r="J70" i="9"/>
  <c r="I70" i="9"/>
  <c r="H70" i="9"/>
  <c r="G70" i="9"/>
  <c r="F70" i="9"/>
  <c r="E70" i="9"/>
  <c r="D70" i="9"/>
  <c r="J69" i="9"/>
  <c r="I69" i="9"/>
  <c r="H69" i="9"/>
  <c r="G69" i="9"/>
  <c r="F69" i="9"/>
  <c r="E69" i="9"/>
  <c r="D69" i="9"/>
  <c r="J68" i="9"/>
  <c r="I68" i="9"/>
  <c r="H68" i="9"/>
  <c r="F68" i="9"/>
  <c r="G68" i="9" s="1"/>
  <c r="E68" i="9"/>
  <c r="D68" i="9"/>
  <c r="J67" i="9"/>
  <c r="I67" i="9"/>
  <c r="H67" i="9"/>
  <c r="F67" i="9"/>
  <c r="G67" i="9" s="1"/>
  <c r="E67" i="9"/>
  <c r="D67" i="9"/>
  <c r="J66" i="9"/>
  <c r="I66" i="9"/>
  <c r="H66" i="9"/>
  <c r="G66" i="9"/>
  <c r="F66" i="9"/>
  <c r="E66" i="9"/>
  <c r="D66" i="9"/>
  <c r="J65" i="9"/>
  <c r="I65" i="9"/>
  <c r="H65" i="9"/>
  <c r="G65" i="9"/>
  <c r="F65" i="9"/>
  <c r="E65" i="9"/>
  <c r="D65" i="9"/>
  <c r="J64" i="9"/>
  <c r="I64" i="9"/>
  <c r="H64" i="9"/>
  <c r="F64" i="9"/>
  <c r="G64" i="9" s="1"/>
  <c r="E64" i="9"/>
  <c r="D64" i="9"/>
  <c r="J63" i="9"/>
  <c r="I63" i="9"/>
  <c r="H63" i="9"/>
  <c r="F63" i="9"/>
  <c r="G63" i="9" s="1"/>
  <c r="E63" i="9"/>
  <c r="D63" i="9"/>
  <c r="J62" i="9"/>
  <c r="I62" i="9"/>
  <c r="H62" i="9"/>
  <c r="G62" i="9"/>
  <c r="F62" i="9"/>
  <c r="E62" i="9"/>
  <c r="D62" i="9"/>
  <c r="J61" i="9"/>
  <c r="I61" i="9"/>
  <c r="H61" i="9"/>
  <c r="G61" i="9"/>
  <c r="F61" i="9"/>
  <c r="E61" i="9"/>
  <c r="D61" i="9"/>
  <c r="J60" i="9"/>
  <c r="I60" i="9"/>
  <c r="H60" i="9"/>
  <c r="F60" i="9"/>
  <c r="G60" i="9" s="1"/>
  <c r="E60" i="9"/>
  <c r="D60" i="9"/>
  <c r="J59" i="9"/>
  <c r="I59" i="9"/>
  <c r="H59" i="9"/>
  <c r="F59" i="9"/>
  <c r="G59" i="9" s="1"/>
  <c r="E59" i="9"/>
  <c r="D59" i="9"/>
  <c r="J58" i="9"/>
  <c r="I58" i="9"/>
  <c r="H58" i="9"/>
  <c r="G58" i="9"/>
  <c r="F58" i="9"/>
  <c r="E58" i="9"/>
  <c r="D58" i="9"/>
  <c r="J57" i="9"/>
  <c r="I57" i="9"/>
  <c r="H57" i="9"/>
  <c r="G57" i="9"/>
  <c r="F57" i="9"/>
  <c r="E57" i="9"/>
  <c r="D57" i="9"/>
  <c r="J56" i="9"/>
  <c r="I56" i="9"/>
  <c r="H56" i="9"/>
  <c r="F56" i="9"/>
  <c r="G56" i="9" s="1"/>
  <c r="E56" i="9"/>
  <c r="D56" i="9"/>
  <c r="J55" i="9"/>
  <c r="I55" i="9"/>
  <c r="H55" i="9"/>
  <c r="F55" i="9"/>
  <c r="G55" i="9" s="1"/>
  <c r="E55" i="9"/>
  <c r="D55" i="9"/>
  <c r="J54" i="9"/>
  <c r="I54" i="9"/>
  <c r="H54" i="9"/>
  <c r="G54" i="9"/>
  <c r="F54" i="9"/>
  <c r="E54" i="9"/>
  <c r="D54" i="9"/>
  <c r="J53" i="9"/>
  <c r="I53" i="9"/>
  <c r="H53" i="9"/>
  <c r="G53" i="9"/>
  <c r="F53" i="9"/>
  <c r="E53" i="9"/>
  <c r="D53" i="9"/>
  <c r="J52" i="9"/>
  <c r="I52" i="9"/>
  <c r="H52" i="9"/>
  <c r="F52" i="9"/>
  <c r="G52" i="9" s="1"/>
  <c r="E52" i="9"/>
  <c r="D52" i="9"/>
  <c r="J51" i="9"/>
  <c r="I51" i="9"/>
  <c r="H51" i="9"/>
  <c r="F51" i="9"/>
  <c r="G51" i="9" s="1"/>
  <c r="E51" i="9"/>
  <c r="D51" i="9"/>
  <c r="J50" i="9"/>
  <c r="I50" i="9"/>
  <c r="H50" i="9"/>
  <c r="G50" i="9"/>
  <c r="F50" i="9"/>
  <c r="E50" i="9"/>
  <c r="D50" i="9"/>
  <c r="J49" i="9"/>
  <c r="I49" i="9"/>
  <c r="H49" i="9"/>
  <c r="G49" i="9"/>
  <c r="F49" i="9"/>
  <c r="E49" i="9"/>
  <c r="D49" i="9"/>
  <c r="J48" i="9"/>
  <c r="I48" i="9"/>
  <c r="H48" i="9"/>
  <c r="F48" i="9"/>
  <c r="G48" i="9" s="1"/>
  <c r="E48" i="9"/>
  <c r="D48" i="9"/>
  <c r="J47" i="9"/>
  <c r="I47" i="9"/>
  <c r="H47" i="9"/>
  <c r="F47" i="9"/>
  <c r="G47" i="9" s="1"/>
  <c r="E47" i="9"/>
  <c r="D47" i="9"/>
  <c r="J46" i="9"/>
  <c r="I46" i="9"/>
  <c r="H46" i="9"/>
  <c r="G46" i="9"/>
  <c r="F46" i="9"/>
  <c r="E46" i="9"/>
  <c r="D46" i="9"/>
  <c r="J45" i="9"/>
  <c r="I45" i="9"/>
  <c r="H45" i="9"/>
  <c r="G45" i="9"/>
  <c r="F45" i="9"/>
  <c r="E45" i="9"/>
  <c r="D45" i="9"/>
  <c r="J44" i="9"/>
  <c r="I44" i="9"/>
  <c r="H44" i="9"/>
  <c r="F44" i="9"/>
  <c r="G44" i="9" s="1"/>
  <c r="E44" i="9"/>
  <c r="D44" i="9"/>
  <c r="J43" i="9"/>
  <c r="I43" i="9"/>
  <c r="H43" i="9"/>
  <c r="F43" i="9"/>
  <c r="G43" i="9" s="1"/>
  <c r="E43" i="9"/>
  <c r="D43" i="9"/>
  <c r="J42" i="9"/>
  <c r="I42" i="9"/>
  <c r="H42" i="9"/>
  <c r="G42" i="9"/>
  <c r="F42" i="9"/>
  <c r="E42" i="9"/>
  <c r="D42" i="9"/>
  <c r="J41" i="9"/>
  <c r="I41" i="9"/>
  <c r="H41" i="9"/>
  <c r="G41" i="9"/>
  <c r="F41" i="9"/>
  <c r="E41" i="9"/>
  <c r="D41" i="9"/>
  <c r="J40" i="9"/>
  <c r="I40" i="9"/>
  <c r="H40" i="9"/>
  <c r="F40" i="9"/>
  <c r="G40" i="9" s="1"/>
  <c r="E40" i="9"/>
  <c r="D40" i="9"/>
  <c r="J39" i="9"/>
  <c r="I39" i="9"/>
  <c r="H39" i="9"/>
  <c r="F39" i="9"/>
  <c r="G39" i="9" s="1"/>
  <c r="E39" i="9"/>
  <c r="D39" i="9"/>
  <c r="J38" i="9"/>
  <c r="I38" i="9"/>
  <c r="H38" i="9"/>
  <c r="G38" i="9"/>
  <c r="F38" i="9"/>
  <c r="E38" i="9"/>
  <c r="D38" i="9"/>
  <c r="J37" i="9"/>
  <c r="I37" i="9"/>
  <c r="H37" i="9"/>
  <c r="G37" i="9"/>
  <c r="F37" i="9"/>
  <c r="E37" i="9"/>
  <c r="D37" i="9"/>
  <c r="J36" i="9"/>
  <c r="I36" i="9"/>
  <c r="H36" i="9"/>
  <c r="F36" i="9"/>
  <c r="G36" i="9" s="1"/>
  <c r="E36" i="9"/>
  <c r="D36" i="9"/>
  <c r="J35" i="9"/>
  <c r="I35" i="9"/>
  <c r="H35" i="9"/>
  <c r="F35" i="9"/>
  <c r="G35" i="9" s="1"/>
  <c r="E35" i="9"/>
  <c r="D35" i="9"/>
  <c r="J34" i="9"/>
  <c r="I34" i="9"/>
  <c r="H34" i="9"/>
  <c r="G34" i="9"/>
  <c r="F34" i="9"/>
  <c r="E34" i="9"/>
  <c r="D34" i="9"/>
  <c r="J33" i="9"/>
  <c r="I33" i="9"/>
  <c r="H33" i="9"/>
  <c r="G33" i="9"/>
  <c r="F33" i="9"/>
  <c r="E33" i="9"/>
  <c r="D33" i="9"/>
  <c r="J32" i="9"/>
  <c r="I32" i="9"/>
  <c r="H32" i="9"/>
  <c r="F32" i="9"/>
  <c r="G32" i="9" s="1"/>
  <c r="E32" i="9"/>
  <c r="D32" i="9"/>
  <c r="J31" i="9"/>
  <c r="I31" i="9"/>
  <c r="H31" i="9"/>
  <c r="F31" i="9"/>
  <c r="G31" i="9" s="1"/>
  <c r="E31" i="9"/>
  <c r="D31" i="9"/>
  <c r="J30" i="9"/>
  <c r="I30" i="9"/>
  <c r="H30" i="9"/>
  <c r="G30" i="9"/>
  <c r="F30" i="9"/>
  <c r="E30" i="9"/>
  <c r="D30" i="9"/>
  <c r="J29" i="9"/>
  <c r="I29" i="9"/>
  <c r="H29" i="9"/>
  <c r="G29" i="9"/>
  <c r="F29" i="9"/>
  <c r="E29" i="9"/>
  <c r="D29" i="9"/>
  <c r="J28" i="9"/>
  <c r="I28" i="9"/>
  <c r="H28" i="9"/>
  <c r="F28" i="9"/>
  <c r="G28" i="9" s="1"/>
  <c r="E28" i="9"/>
  <c r="D28" i="9"/>
  <c r="J27" i="9"/>
  <c r="I27" i="9"/>
  <c r="H27" i="9"/>
  <c r="F27" i="9"/>
  <c r="G27" i="9" s="1"/>
  <c r="E27" i="9"/>
  <c r="D27" i="9"/>
  <c r="J26" i="9"/>
  <c r="I26" i="9"/>
  <c r="H26" i="9"/>
  <c r="G26" i="9"/>
  <c r="F26" i="9"/>
  <c r="E26" i="9"/>
  <c r="D26" i="9"/>
  <c r="J25" i="9"/>
  <c r="I25" i="9"/>
  <c r="H25" i="9"/>
  <c r="G25" i="9"/>
  <c r="F25" i="9"/>
  <c r="E25" i="9"/>
  <c r="D25" i="9"/>
  <c r="J24" i="9"/>
  <c r="I24" i="9"/>
  <c r="H24" i="9"/>
  <c r="F24" i="9"/>
  <c r="G24" i="9" s="1"/>
  <c r="E24" i="9"/>
  <c r="D24" i="9"/>
  <c r="J23" i="9"/>
  <c r="I23" i="9"/>
  <c r="H23" i="9"/>
  <c r="F23" i="9"/>
  <c r="G23" i="9" s="1"/>
  <c r="E23" i="9"/>
  <c r="D23" i="9"/>
  <c r="J22" i="9"/>
  <c r="I22" i="9"/>
  <c r="H22" i="9"/>
  <c r="G22" i="9"/>
  <c r="F22" i="9"/>
  <c r="E22" i="9"/>
  <c r="D22" i="9"/>
  <c r="J21" i="9"/>
  <c r="I21" i="9"/>
  <c r="H21" i="9"/>
  <c r="G21" i="9"/>
  <c r="F21" i="9"/>
  <c r="E21" i="9"/>
  <c r="D21" i="9"/>
  <c r="J20" i="9"/>
  <c r="I20" i="9"/>
  <c r="H20" i="9"/>
  <c r="F20" i="9"/>
  <c r="G20" i="9" s="1"/>
  <c r="E20" i="9"/>
  <c r="D20" i="9"/>
  <c r="J19" i="9"/>
  <c r="I19" i="9"/>
  <c r="H19" i="9"/>
  <c r="F19" i="9"/>
  <c r="G19" i="9" s="1"/>
  <c r="E19" i="9"/>
  <c r="D19" i="9"/>
  <c r="J18" i="9"/>
  <c r="I18" i="9"/>
  <c r="H18" i="9"/>
  <c r="G18" i="9"/>
  <c r="F18" i="9"/>
  <c r="E18" i="9"/>
  <c r="D18" i="9"/>
  <c r="J17" i="9"/>
  <c r="I17" i="9"/>
  <c r="H17" i="9"/>
  <c r="G17" i="9"/>
  <c r="F17" i="9"/>
  <c r="E17" i="9"/>
  <c r="D17" i="9"/>
  <c r="J16" i="9"/>
  <c r="I16" i="9"/>
  <c r="H16" i="9"/>
  <c r="F16" i="9"/>
  <c r="G16" i="9" s="1"/>
  <c r="E16" i="9"/>
  <c r="D16" i="9"/>
  <c r="J15" i="9"/>
  <c r="I15" i="9"/>
  <c r="H15" i="9"/>
  <c r="F15" i="9"/>
  <c r="G15" i="9" s="1"/>
  <c r="E15" i="9"/>
  <c r="D15" i="9"/>
  <c r="J14" i="9"/>
  <c r="I14" i="9"/>
  <c r="H14" i="9"/>
  <c r="G14" i="9"/>
  <c r="F14" i="9"/>
  <c r="E14" i="9"/>
  <c r="D14" i="9"/>
  <c r="H13" i="9"/>
  <c r="J13" i="9" s="1"/>
  <c r="G13" i="9"/>
  <c r="D13" i="9"/>
  <c r="F13" i="9" s="1"/>
  <c r="J12" i="9"/>
  <c r="H12" i="9"/>
  <c r="F12" i="9"/>
  <c r="G12" i="9" s="1"/>
  <c r="D12" i="9"/>
  <c r="J11" i="9"/>
  <c r="H11" i="9"/>
  <c r="F11" i="9"/>
  <c r="G11" i="9" s="1"/>
  <c r="I11" i="9" s="1"/>
  <c r="D11" i="9"/>
  <c r="H10" i="9"/>
  <c r="J10" i="9" s="1"/>
  <c r="D10" i="9"/>
  <c r="H9" i="9"/>
  <c r="J9" i="9" s="1"/>
  <c r="D9" i="9"/>
  <c r="F9" i="9" s="1"/>
  <c r="G9" i="9" s="1"/>
  <c r="J8" i="9"/>
  <c r="H8" i="9"/>
  <c r="F8" i="9"/>
  <c r="G8" i="9" s="1"/>
  <c r="D8" i="9"/>
  <c r="J7" i="9"/>
  <c r="H7" i="9"/>
  <c r="F7" i="9"/>
  <c r="G7" i="9" s="1"/>
  <c r="I7" i="9" s="1"/>
  <c r="D7" i="9"/>
  <c r="H6" i="9"/>
  <c r="J6" i="9" s="1"/>
  <c r="D6" i="9"/>
  <c r="U505" i="8"/>
  <c r="T505" i="8"/>
  <c r="R505" i="8"/>
  <c r="Q505" i="8"/>
  <c r="P505" i="8"/>
  <c r="K505" i="8"/>
  <c r="I505" i="8"/>
  <c r="A505" i="8"/>
  <c r="U504" i="8"/>
  <c r="T504" i="8"/>
  <c r="R504" i="8"/>
  <c r="Q504" i="8"/>
  <c r="P504" i="8"/>
  <c r="K504" i="8"/>
  <c r="I504" i="8"/>
  <c r="A504" i="8"/>
  <c r="U503" i="8"/>
  <c r="T503" i="8"/>
  <c r="R503" i="8"/>
  <c r="Q503" i="8"/>
  <c r="P503" i="8"/>
  <c r="K503" i="8"/>
  <c r="I503" i="8"/>
  <c r="A503" i="8"/>
  <c r="U502" i="8"/>
  <c r="T502" i="8"/>
  <c r="R502" i="8"/>
  <c r="Q502" i="8"/>
  <c r="P502" i="8"/>
  <c r="K502" i="8"/>
  <c r="I502" i="8"/>
  <c r="A502" i="8"/>
  <c r="U501" i="8"/>
  <c r="T501" i="8"/>
  <c r="R501" i="8"/>
  <c r="Q501" i="8"/>
  <c r="P501" i="8"/>
  <c r="K501" i="8"/>
  <c r="I501" i="8"/>
  <c r="A501" i="8"/>
  <c r="U500" i="8"/>
  <c r="T500" i="8"/>
  <c r="R500" i="8"/>
  <c r="Q500" i="8"/>
  <c r="P500" i="8"/>
  <c r="K500" i="8"/>
  <c r="I500" i="8"/>
  <c r="A500" i="8"/>
  <c r="U499" i="8"/>
  <c r="T499" i="8"/>
  <c r="R499" i="8"/>
  <c r="Q499" i="8"/>
  <c r="P499" i="8"/>
  <c r="K499" i="8"/>
  <c r="I499" i="8"/>
  <c r="A499" i="8"/>
  <c r="U498" i="8"/>
  <c r="T498" i="8"/>
  <c r="R498" i="8"/>
  <c r="Q498" i="8"/>
  <c r="P498" i="8"/>
  <c r="K498" i="8"/>
  <c r="I498" i="8"/>
  <c r="A498" i="8"/>
  <c r="U497" i="8"/>
  <c r="T497" i="8"/>
  <c r="R497" i="8"/>
  <c r="Q497" i="8"/>
  <c r="P497" i="8"/>
  <c r="K497" i="8"/>
  <c r="I497" i="8"/>
  <c r="A497" i="8"/>
  <c r="U496" i="8"/>
  <c r="T496" i="8"/>
  <c r="R496" i="8"/>
  <c r="Q496" i="8"/>
  <c r="P496" i="8"/>
  <c r="K496" i="8"/>
  <c r="I496" i="8"/>
  <c r="A496" i="8"/>
  <c r="U495" i="8"/>
  <c r="T495" i="8"/>
  <c r="R495" i="8"/>
  <c r="Q495" i="8"/>
  <c r="P495" i="8"/>
  <c r="K495" i="8"/>
  <c r="I495" i="8"/>
  <c r="A495" i="8"/>
  <c r="U494" i="8"/>
  <c r="T494" i="8"/>
  <c r="R494" i="8"/>
  <c r="Q494" i="8"/>
  <c r="P494" i="8"/>
  <c r="K494" i="8"/>
  <c r="I494" i="8"/>
  <c r="A494" i="8"/>
  <c r="U493" i="8"/>
  <c r="T493" i="8"/>
  <c r="R493" i="8"/>
  <c r="Q493" i="8"/>
  <c r="P493" i="8"/>
  <c r="K493" i="8"/>
  <c r="I493" i="8"/>
  <c r="A493" i="8"/>
  <c r="U492" i="8"/>
  <c r="T492" i="8"/>
  <c r="R492" i="8"/>
  <c r="Q492" i="8"/>
  <c r="P492" i="8"/>
  <c r="K492" i="8"/>
  <c r="I492" i="8"/>
  <c r="A492" i="8"/>
  <c r="U491" i="8"/>
  <c r="T491" i="8"/>
  <c r="R491" i="8"/>
  <c r="Q491" i="8"/>
  <c r="P491" i="8"/>
  <c r="K491" i="8"/>
  <c r="I491" i="8"/>
  <c r="A491" i="8"/>
  <c r="U490" i="8"/>
  <c r="T490" i="8"/>
  <c r="R490" i="8"/>
  <c r="Q490" i="8"/>
  <c r="P490" i="8"/>
  <c r="K490" i="8"/>
  <c r="I490" i="8"/>
  <c r="A490" i="8"/>
  <c r="U489" i="8"/>
  <c r="T489" i="8"/>
  <c r="R489" i="8"/>
  <c r="Q489" i="8"/>
  <c r="P489" i="8"/>
  <c r="K489" i="8"/>
  <c r="I489" i="8"/>
  <c r="A489" i="8"/>
  <c r="U488" i="8"/>
  <c r="T488" i="8"/>
  <c r="R488" i="8"/>
  <c r="Q488" i="8"/>
  <c r="P488" i="8"/>
  <c r="K488" i="8"/>
  <c r="I488" i="8"/>
  <c r="A488" i="8"/>
  <c r="U487" i="8"/>
  <c r="T487" i="8"/>
  <c r="R487" i="8"/>
  <c r="Q487" i="8"/>
  <c r="P487" i="8"/>
  <c r="K487" i="8"/>
  <c r="I487" i="8"/>
  <c r="A487" i="8"/>
  <c r="U486" i="8"/>
  <c r="T486" i="8"/>
  <c r="R486" i="8"/>
  <c r="Q486" i="8"/>
  <c r="P486" i="8"/>
  <c r="K486" i="8"/>
  <c r="I486" i="8"/>
  <c r="A486" i="8"/>
  <c r="U485" i="8"/>
  <c r="T485" i="8"/>
  <c r="R485" i="8"/>
  <c r="Q485" i="8"/>
  <c r="P485" i="8"/>
  <c r="K485" i="8"/>
  <c r="I485" i="8"/>
  <c r="A485" i="8"/>
  <c r="U484" i="8"/>
  <c r="T484" i="8"/>
  <c r="R484" i="8"/>
  <c r="Q484" i="8"/>
  <c r="P484" i="8"/>
  <c r="K484" i="8"/>
  <c r="I484" i="8"/>
  <c r="A484" i="8"/>
  <c r="U483" i="8"/>
  <c r="T483" i="8"/>
  <c r="R483" i="8"/>
  <c r="Q483" i="8"/>
  <c r="P483" i="8"/>
  <c r="K483" i="8"/>
  <c r="I483" i="8"/>
  <c r="A483" i="8"/>
  <c r="U482" i="8"/>
  <c r="T482" i="8"/>
  <c r="R482" i="8"/>
  <c r="Q482" i="8"/>
  <c r="P482" i="8"/>
  <c r="K482" i="8"/>
  <c r="I482" i="8"/>
  <c r="A482" i="8"/>
  <c r="U481" i="8"/>
  <c r="T481" i="8"/>
  <c r="R481" i="8"/>
  <c r="Q481" i="8"/>
  <c r="P481" i="8"/>
  <c r="K481" i="8"/>
  <c r="I481" i="8"/>
  <c r="A481" i="8"/>
  <c r="U480" i="8"/>
  <c r="T480" i="8"/>
  <c r="R480" i="8"/>
  <c r="Q480" i="8"/>
  <c r="P480" i="8"/>
  <c r="K480" i="8"/>
  <c r="I480" i="8"/>
  <c r="A480" i="8"/>
  <c r="U479" i="8"/>
  <c r="T479" i="8"/>
  <c r="R479" i="8"/>
  <c r="Q479" i="8"/>
  <c r="P479" i="8"/>
  <c r="K479" i="8"/>
  <c r="I479" i="8"/>
  <c r="A479" i="8"/>
  <c r="U478" i="8"/>
  <c r="T478" i="8"/>
  <c r="R478" i="8"/>
  <c r="Q478" i="8"/>
  <c r="P478" i="8"/>
  <c r="K478" i="8"/>
  <c r="I478" i="8"/>
  <c r="A478" i="8"/>
  <c r="U477" i="8"/>
  <c r="T477" i="8"/>
  <c r="R477" i="8"/>
  <c r="Q477" i="8"/>
  <c r="P477" i="8"/>
  <c r="K477" i="8"/>
  <c r="I477" i="8"/>
  <c r="A477" i="8"/>
  <c r="U476" i="8"/>
  <c r="T476" i="8"/>
  <c r="R476" i="8"/>
  <c r="Q476" i="8"/>
  <c r="P476" i="8"/>
  <c r="K476" i="8"/>
  <c r="I476" i="8"/>
  <c r="A476" i="8"/>
  <c r="U475" i="8"/>
  <c r="T475" i="8"/>
  <c r="R475" i="8"/>
  <c r="Q475" i="8"/>
  <c r="P475" i="8"/>
  <c r="K475" i="8"/>
  <c r="I475" i="8"/>
  <c r="A475" i="8"/>
  <c r="U474" i="8"/>
  <c r="T474" i="8"/>
  <c r="R474" i="8"/>
  <c r="Q474" i="8"/>
  <c r="P474" i="8"/>
  <c r="K474" i="8"/>
  <c r="I474" i="8"/>
  <c r="A474" i="8"/>
  <c r="U473" i="8"/>
  <c r="T473" i="8"/>
  <c r="R473" i="8"/>
  <c r="Q473" i="8"/>
  <c r="P473" i="8"/>
  <c r="K473" i="8"/>
  <c r="I473" i="8"/>
  <c r="A473" i="8"/>
  <c r="U472" i="8"/>
  <c r="T472" i="8"/>
  <c r="R472" i="8"/>
  <c r="Q472" i="8"/>
  <c r="P472" i="8"/>
  <c r="K472" i="8"/>
  <c r="I472" i="8"/>
  <c r="A472" i="8"/>
  <c r="U471" i="8"/>
  <c r="T471" i="8"/>
  <c r="R471" i="8"/>
  <c r="Q471" i="8"/>
  <c r="P471" i="8"/>
  <c r="K471" i="8"/>
  <c r="I471" i="8"/>
  <c r="A471" i="8"/>
  <c r="U470" i="8"/>
  <c r="T470" i="8"/>
  <c r="R470" i="8"/>
  <c r="Q470" i="8"/>
  <c r="P470" i="8"/>
  <c r="K470" i="8"/>
  <c r="I470" i="8"/>
  <c r="A470" i="8"/>
  <c r="U469" i="8"/>
  <c r="T469" i="8"/>
  <c r="R469" i="8"/>
  <c r="Q469" i="8"/>
  <c r="P469" i="8"/>
  <c r="K469" i="8"/>
  <c r="I469" i="8"/>
  <c r="A469" i="8"/>
  <c r="U468" i="8"/>
  <c r="T468" i="8"/>
  <c r="R468" i="8"/>
  <c r="Q468" i="8"/>
  <c r="P468" i="8"/>
  <c r="K468" i="8"/>
  <c r="I468" i="8"/>
  <c r="A468" i="8"/>
  <c r="U467" i="8"/>
  <c r="T467" i="8"/>
  <c r="R467" i="8"/>
  <c r="Q467" i="8"/>
  <c r="P467" i="8"/>
  <c r="K467" i="8"/>
  <c r="I467" i="8"/>
  <c r="A467" i="8"/>
  <c r="U466" i="8"/>
  <c r="T466" i="8"/>
  <c r="R466" i="8"/>
  <c r="Q466" i="8"/>
  <c r="P466" i="8"/>
  <c r="K466" i="8"/>
  <c r="I466" i="8"/>
  <c r="A466" i="8"/>
  <c r="U465" i="8"/>
  <c r="T465" i="8"/>
  <c r="R465" i="8"/>
  <c r="Q465" i="8"/>
  <c r="P465" i="8"/>
  <c r="K465" i="8"/>
  <c r="I465" i="8"/>
  <c r="A465" i="8"/>
  <c r="U464" i="8"/>
  <c r="T464" i="8"/>
  <c r="R464" i="8"/>
  <c r="Q464" i="8"/>
  <c r="P464" i="8"/>
  <c r="K464" i="8"/>
  <c r="I464" i="8"/>
  <c r="A464" i="8"/>
  <c r="U463" i="8"/>
  <c r="T463" i="8"/>
  <c r="R463" i="8"/>
  <c r="Q463" i="8"/>
  <c r="P463" i="8"/>
  <c r="K463" i="8"/>
  <c r="I463" i="8"/>
  <c r="A463" i="8"/>
  <c r="U462" i="8"/>
  <c r="T462" i="8"/>
  <c r="R462" i="8"/>
  <c r="Q462" i="8"/>
  <c r="P462" i="8"/>
  <c r="K462" i="8"/>
  <c r="I462" i="8"/>
  <c r="A462" i="8"/>
  <c r="U461" i="8"/>
  <c r="T461" i="8"/>
  <c r="R461" i="8"/>
  <c r="Q461" i="8"/>
  <c r="P461" i="8"/>
  <c r="K461" i="8"/>
  <c r="I461" i="8"/>
  <c r="A461" i="8"/>
  <c r="U460" i="8"/>
  <c r="T460" i="8"/>
  <c r="R460" i="8"/>
  <c r="Q460" i="8"/>
  <c r="P460" i="8"/>
  <c r="K460" i="8"/>
  <c r="I460" i="8"/>
  <c r="A460" i="8"/>
  <c r="U459" i="8"/>
  <c r="T459" i="8"/>
  <c r="R459" i="8"/>
  <c r="Q459" i="8"/>
  <c r="P459" i="8"/>
  <c r="K459" i="8"/>
  <c r="I459" i="8"/>
  <c r="A459" i="8"/>
  <c r="U458" i="8"/>
  <c r="T458" i="8"/>
  <c r="R458" i="8"/>
  <c r="Q458" i="8"/>
  <c r="P458" i="8"/>
  <c r="K458" i="8"/>
  <c r="I458" i="8"/>
  <c r="A458" i="8"/>
  <c r="U457" i="8"/>
  <c r="T457" i="8"/>
  <c r="R457" i="8"/>
  <c r="Q457" i="8"/>
  <c r="P457" i="8"/>
  <c r="K457" i="8"/>
  <c r="I457" i="8"/>
  <c r="A457" i="8"/>
  <c r="U456" i="8"/>
  <c r="T456" i="8"/>
  <c r="R456" i="8"/>
  <c r="Q456" i="8"/>
  <c r="P456" i="8"/>
  <c r="K456" i="8"/>
  <c r="I456" i="8"/>
  <c r="A456" i="8"/>
  <c r="U455" i="8"/>
  <c r="T455" i="8"/>
  <c r="R455" i="8"/>
  <c r="Q455" i="8"/>
  <c r="P455" i="8"/>
  <c r="K455" i="8"/>
  <c r="I455" i="8"/>
  <c r="A455" i="8"/>
  <c r="U454" i="8"/>
  <c r="T454" i="8"/>
  <c r="R454" i="8"/>
  <c r="Q454" i="8"/>
  <c r="P454" i="8"/>
  <c r="K454" i="8"/>
  <c r="I454" i="8"/>
  <c r="A454" i="8"/>
  <c r="U453" i="8"/>
  <c r="T453" i="8"/>
  <c r="R453" i="8"/>
  <c r="Q453" i="8"/>
  <c r="P453" i="8"/>
  <c r="K453" i="8"/>
  <c r="I453" i="8"/>
  <c r="A453" i="8"/>
  <c r="U452" i="8"/>
  <c r="T452" i="8"/>
  <c r="R452" i="8"/>
  <c r="Q452" i="8"/>
  <c r="P452" i="8"/>
  <c r="K452" i="8"/>
  <c r="I452" i="8"/>
  <c r="A452" i="8"/>
  <c r="U451" i="8"/>
  <c r="T451" i="8"/>
  <c r="R451" i="8"/>
  <c r="Q451" i="8"/>
  <c r="P451" i="8"/>
  <c r="K451" i="8"/>
  <c r="I451" i="8"/>
  <c r="A451" i="8"/>
  <c r="U450" i="8"/>
  <c r="T450" i="8"/>
  <c r="R450" i="8"/>
  <c r="Q450" i="8"/>
  <c r="P450" i="8"/>
  <c r="K450" i="8"/>
  <c r="I450" i="8"/>
  <c r="A450" i="8"/>
  <c r="U449" i="8"/>
  <c r="T449" i="8"/>
  <c r="R449" i="8"/>
  <c r="Q449" i="8"/>
  <c r="P449" i="8"/>
  <c r="K449" i="8"/>
  <c r="I449" i="8"/>
  <c r="A449" i="8"/>
  <c r="U448" i="8"/>
  <c r="T448" i="8"/>
  <c r="R448" i="8"/>
  <c r="Q448" i="8"/>
  <c r="P448" i="8"/>
  <c r="K448" i="8"/>
  <c r="I448" i="8"/>
  <c r="A448" i="8"/>
  <c r="U447" i="8"/>
  <c r="T447" i="8"/>
  <c r="R447" i="8"/>
  <c r="Q447" i="8"/>
  <c r="P447" i="8"/>
  <c r="K447" i="8"/>
  <c r="I447" i="8"/>
  <c r="A447" i="8"/>
  <c r="U446" i="8"/>
  <c r="T446" i="8"/>
  <c r="R446" i="8"/>
  <c r="Q446" i="8"/>
  <c r="P446" i="8"/>
  <c r="K446" i="8"/>
  <c r="I446" i="8"/>
  <c r="A446" i="8"/>
  <c r="U445" i="8"/>
  <c r="T445" i="8"/>
  <c r="R445" i="8"/>
  <c r="Q445" i="8"/>
  <c r="P445" i="8"/>
  <c r="K445" i="8"/>
  <c r="I445" i="8"/>
  <c r="A445" i="8"/>
  <c r="U444" i="8"/>
  <c r="T444" i="8"/>
  <c r="R444" i="8"/>
  <c r="Q444" i="8"/>
  <c r="P444" i="8"/>
  <c r="K444" i="8"/>
  <c r="I444" i="8"/>
  <c r="A444" i="8"/>
  <c r="U443" i="8"/>
  <c r="T443" i="8"/>
  <c r="R443" i="8"/>
  <c r="Q443" i="8"/>
  <c r="P443" i="8"/>
  <c r="K443" i="8"/>
  <c r="I443" i="8"/>
  <c r="A443" i="8"/>
  <c r="U442" i="8"/>
  <c r="T442" i="8"/>
  <c r="R442" i="8"/>
  <c r="Q442" i="8"/>
  <c r="P442" i="8"/>
  <c r="K442" i="8"/>
  <c r="I442" i="8"/>
  <c r="A442" i="8"/>
  <c r="U441" i="8"/>
  <c r="T441" i="8"/>
  <c r="R441" i="8"/>
  <c r="Q441" i="8"/>
  <c r="P441" i="8"/>
  <c r="K441" i="8"/>
  <c r="I441" i="8"/>
  <c r="A441" i="8"/>
  <c r="U440" i="8"/>
  <c r="T440" i="8"/>
  <c r="R440" i="8"/>
  <c r="Q440" i="8"/>
  <c r="P440" i="8"/>
  <c r="K440" i="8"/>
  <c r="I440" i="8"/>
  <c r="A440" i="8"/>
  <c r="U439" i="8"/>
  <c r="T439" i="8"/>
  <c r="R439" i="8"/>
  <c r="Q439" i="8"/>
  <c r="P439" i="8"/>
  <c r="K439" i="8"/>
  <c r="I439" i="8"/>
  <c r="A439" i="8"/>
  <c r="U438" i="8"/>
  <c r="T438" i="8"/>
  <c r="R438" i="8"/>
  <c r="Q438" i="8"/>
  <c r="P438" i="8"/>
  <c r="K438" i="8"/>
  <c r="I438" i="8"/>
  <c r="A438" i="8"/>
  <c r="U437" i="8"/>
  <c r="T437" i="8"/>
  <c r="R437" i="8"/>
  <c r="Q437" i="8"/>
  <c r="P437" i="8"/>
  <c r="K437" i="8"/>
  <c r="I437" i="8"/>
  <c r="A437" i="8"/>
  <c r="U436" i="8"/>
  <c r="T436" i="8"/>
  <c r="R436" i="8"/>
  <c r="Q436" i="8"/>
  <c r="P436" i="8"/>
  <c r="K436" i="8"/>
  <c r="I436" i="8"/>
  <c r="A436" i="8"/>
  <c r="U435" i="8"/>
  <c r="T435" i="8"/>
  <c r="R435" i="8"/>
  <c r="Q435" i="8"/>
  <c r="P435" i="8"/>
  <c r="K435" i="8"/>
  <c r="I435" i="8"/>
  <c r="A435" i="8"/>
  <c r="U434" i="8"/>
  <c r="T434" i="8"/>
  <c r="R434" i="8"/>
  <c r="Q434" i="8"/>
  <c r="P434" i="8"/>
  <c r="K434" i="8"/>
  <c r="I434" i="8"/>
  <c r="A434" i="8"/>
  <c r="U433" i="8"/>
  <c r="T433" i="8"/>
  <c r="R433" i="8"/>
  <c r="Q433" i="8"/>
  <c r="P433" i="8"/>
  <c r="K433" i="8"/>
  <c r="I433" i="8"/>
  <c r="A433" i="8"/>
  <c r="U432" i="8"/>
  <c r="T432" i="8"/>
  <c r="R432" i="8"/>
  <c r="Q432" i="8"/>
  <c r="P432" i="8"/>
  <c r="K432" i="8"/>
  <c r="I432" i="8"/>
  <c r="A432" i="8"/>
  <c r="U431" i="8"/>
  <c r="T431" i="8"/>
  <c r="R431" i="8"/>
  <c r="Q431" i="8"/>
  <c r="P431" i="8"/>
  <c r="K431" i="8"/>
  <c r="I431" i="8"/>
  <c r="A431" i="8"/>
  <c r="U430" i="8"/>
  <c r="T430" i="8"/>
  <c r="R430" i="8"/>
  <c r="Q430" i="8"/>
  <c r="P430" i="8"/>
  <c r="K430" i="8"/>
  <c r="I430" i="8"/>
  <c r="A430" i="8"/>
  <c r="U429" i="8"/>
  <c r="T429" i="8"/>
  <c r="R429" i="8"/>
  <c r="Q429" i="8"/>
  <c r="P429" i="8"/>
  <c r="K429" i="8"/>
  <c r="I429" i="8"/>
  <c r="A429" i="8"/>
  <c r="U428" i="8"/>
  <c r="T428" i="8"/>
  <c r="R428" i="8"/>
  <c r="Q428" i="8"/>
  <c r="P428" i="8"/>
  <c r="K428" i="8"/>
  <c r="I428" i="8"/>
  <c r="A428" i="8"/>
  <c r="U427" i="8"/>
  <c r="T427" i="8"/>
  <c r="R427" i="8"/>
  <c r="Q427" i="8"/>
  <c r="P427" i="8"/>
  <c r="K427" i="8"/>
  <c r="I427" i="8"/>
  <c r="A427" i="8"/>
  <c r="U426" i="8"/>
  <c r="T426" i="8"/>
  <c r="R426" i="8"/>
  <c r="Q426" i="8"/>
  <c r="P426" i="8"/>
  <c r="K426" i="8"/>
  <c r="I426" i="8"/>
  <c r="A426" i="8"/>
  <c r="U425" i="8"/>
  <c r="T425" i="8"/>
  <c r="R425" i="8"/>
  <c r="Q425" i="8"/>
  <c r="P425" i="8"/>
  <c r="K425" i="8"/>
  <c r="I425" i="8"/>
  <c r="A425" i="8"/>
  <c r="U424" i="8"/>
  <c r="T424" i="8"/>
  <c r="R424" i="8"/>
  <c r="Q424" i="8"/>
  <c r="P424" i="8"/>
  <c r="K424" i="8"/>
  <c r="I424" i="8"/>
  <c r="A424" i="8"/>
  <c r="U423" i="8"/>
  <c r="T423" i="8"/>
  <c r="R423" i="8"/>
  <c r="Q423" i="8"/>
  <c r="P423" i="8"/>
  <c r="K423" i="8"/>
  <c r="I423" i="8"/>
  <c r="A423" i="8"/>
  <c r="U422" i="8"/>
  <c r="T422" i="8"/>
  <c r="R422" i="8"/>
  <c r="Q422" i="8"/>
  <c r="P422" i="8"/>
  <c r="K422" i="8"/>
  <c r="I422" i="8"/>
  <c r="A422" i="8"/>
  <c r="U421" i="8"/>
  <c r="T421" i="8"/>
  <c r="R421" i="8"/>
  <c r="Q421" i="8"/>
  <c r="P421" i="8"/>
  <c r="K421" i="8"/>
  <c r="I421" i="8"/>
  <c r="A421" i="8"/>
  <c r="U420" i="8"/>
  <c r="T420" i="8"/>
  <c r="R420" i="8"/>
  <c r="Q420" i="8"/>
  <c r="P420" i="8"/>
  <c r="K420" i="8"/>
  <c r="I420" i="8"/>
  <c r="A420" i="8"/>
  <c r="U419" i="8"/>
  <c r="T419" i="8"/>
  <c r="R419" i="8"/>
  <c r="Q419" i="8"/>
  <c r="P419" i="8"/>
  <c r="K419" i="8"/>
  <c r="I419" i="8"/>
  <c r="A419" i="8"/>
  <c r="U418" i="8"/>
  <c r="T418" i="8"/>
  <c r="R418" i="8"/>
  <c r="Q418" i="8"/>
  <c r="P418" i="8"/>
  <c r="K418" i="8"/>
  <c r="I418" i="8"/>
  <c r="A418" i="8"/>
  <c r="U417" i="8"/>
  <c r="T417" i="8"/>
  <c r="R417" i="8"/>
  <c r="Q417" i="8"/>
  <c r="P417" i="8"/>
  <c r="K417" i="8"/>
  <c r="I417" i="8"/>
  <c r="A417" i="8"/>
  <c r="U416" i="8"/>
  <c r="T416" i="8"/>
  <c r="R416" i="8"/>
  <c r="Q416" i="8"/>
  <c r="P416" i="8"/>
  <c r="K416" i="8"/>
  <c r="I416" i="8"/>
  <c r="A416" i="8"/>
  <c r="U415" i="8"/>
  <c r="T415" i="8"/>
  <c r="R415" i="8"/>
  <c r="Q415" i="8"/>
  <c r="P415" i="8"/>
  <c r="K415" i="8"/>
  <c r="I415" i="8"/>
  <c r="A415" i="8"/>
  <c r="U414" i="8"/>
  <c r="T414" i="8"/>
  <c r="R414" i="8"/>
  <c r="Q414" i="8"/>
  <c r="P414" i="8"/>
  <c r="K414" i="8"/>
  <c r="I414" i="8"/>
  <c r="A414" i="8"/>
  <c r="U413" i="8"/>
  <c r="T413" i="8"/>
  <c r="R413" i="8"/>
  <c r="Q413" i="8"/>
  <c r="P413" i="8"/>
  <c r="K413" i="8"/>
  <c r="I413" i="8"/>
  <c r="A413" i="8"/>
  <c r="U412" i="8"/>
  <c r="T412" i="8"/>
  <c r="R412" i="8"/>
  <c r="Q412" i="8"/>
  <c r="P412" i="8"/>
  <c r="K412" i="8"/>
  <c r="I412" i="8"/>
  <c r="A412" i="8"/>
  <c r="U411" i="8"/>
  <c r="T411" i="8"/>
  <c r="R411" i="8"/>
  <c r="Q411" i="8"/>
  <c r="P411" i="8"/>
  <c r="K411" i="8"/>
  <c r="I411" i="8"/>
  <c r="A411" i="8"/>
  <c r="U410" i="8"/>
  <c r="T410" i="8"/>
  <c r="R410" i="8"/>
  <c r="Q410" i="8"/>
  <c r="P410" i="8"/>
  <c r="K410" i="8"/>
  <c r="I410" i="8"/>
  <c r="A410" i="8"/>
  <c r="U409" i="8"/>
  <c r="T409" i="8"/>
  <c r="R409" i="8"/>
  <c r="Q409" i="8"/>
  <c r="P409" i="8"/>
  <c r="K409" i="8"/>
  <c r="I409" i="8"/>
  <c r="A409" i="8"/>
  <c r="U408" i="8"/>
  <c r="T408" i="8"/>
  <c r="R408" i="8"/>
  <c r="Q408" i="8"/>
  <c r="P408" i="8"/>
  <c r="K408" i="8"/>
  <c r="I408" i="8"/>
  <c r="A408" i="8"/>
  <c r="U407" i="8"/>
  <c r="T407" i="8"/>
  <c r="R407" i="8"/>
  <c r="Q407" i="8"/>
  <c r="P407" i="8"/>
  <c r="K407" i="8"/>
  <c r="I407" i="8"/>
  <c r="A407" i="8"/>
  <c r="U406" i="8"/>
  <c r="T406" i="8"/>
  <c r="R406" i="8"/>
  <c r="Q406" i="8"/>
  <c r="P406" i="8"/>
  <c r="K406" i="8"/>
  <c r="I406" i="8"/>
  <c r="A406" i="8"/>
  <c r="U405" i="8"/>
  <c r="T405" i="8"/>
  <c r="R405" i="8"/>
  <c r="Q405" i="8"/>
  <c r="P405" i="8"/>
  <c r="K405" i="8"/>
  <c r="I405" i="8"/>
  <c r="A405" i="8"/>
  <c r="U404" i="8"/>
  <c r="T404" i="8"/>
  <c r="R404" i="8"/>
  <c r="Q404" i="8"/>
  <c r="P404" i="8"/>
  <c r="K404" i="8"/>
  <c r="I404" i="8"/>
  <c r="A404" i="8"/>
  <c r="U403" i="8"/>
  <c r="T403" i="8"/>
  <c r="R403" i="8"/>
  <c r="Q403" i="8"/>
  <c r="P403" i="8"/>
  <c r="K403" i="8"/>
  <c r="I403" i="8"/>
  <c r="A403" i="8"/>
  <c r="U402" i="8"/>
  <c r="T402" i="8"/>
  <c r="R402" i="8"/>
  <c r="Q402" i="8"/>
  <c r="P402" i="8"/>
  <c r="K402" i="8"/>
  <c r="I402" i="8"/>
  <c r="A402" i="8"/>
  <c r="U401" i="8"/>
  <c r="T401" i="8"/>
  <c r="R401" i="8"/>
  <c r="Q401" i="8"/>
  <c r="P401" i="8"/>
  <c r="K401" i="8"/>
  <c r="I401" i="8"/>
  <c r="A401" i="8"/>
  <c r="U400" i="8"/>
  <c r="T400" i="8"/>
  <c r="R400" i="8"/>
  <c r="Q400" i="8"/>
  <c r="P400" i="8"/>
  <c r="K400" i="8"/>
  <c r="I400" i="8"/>
  <c r="A400" i="8"/>
  <c r="U399" i="8"/>
  <c r="T399" i="8"/>
  <c r="R399" i="8"/>
  <c r="Q399" i="8"/>
  <c r="P399" i="8"/>
  <c r="K399" i="8"/>
  <c r="I399" i="8"/>
  <c r="A399" i="8"/>
  <c r="U398" i="8"/>
  <c r="T398" i="8"/>
  <c r="R398" i="8"/>
  <c r="Q398" i="8"/>
  <c r="P398" i="8"/>
  <c r="K398" i="8"/>
  <c r="I398" i="8"/>
  <c r="A398" i="8"/>
  <c r="U397" i="8"/>
  <c r="T397" i="8"/>
  <c r="R397" i="8"/>
  <c r="Q397" i="8"/>
  <c r="P397" i="8"/>
  <c r="K397" i="8"/>
  <c r="I397" i="8"/>
  <c r="A397" i="8"/>
  <c r="U396" i="8"/>
  <c r="T396" i="8"/>
  <c r="R396" i="8"/>
  <c r="Q396" i="8"/>
  <c r="P396" i="8"/>
  <c r="K396" i="8"/>
  <c r="I396" i="8"/>
  <c r="A396" i="8"/>
  <c r="U395" i="8"/>
  <c r="T395" i="8"/>
  <c r="R395" i="8"/>
  <c r="Q395" i="8"/>
  <c r="P395" i="8"/>
  <c r="K395" i="8"/>
  <c r="I395" i="8"/>
  <c r="A395" i="8"/>
  <c r="U394" i="8"/>
  <c r="T394" i="8"/>
  <c r="R394" i="8"/>
  <c r="Q394" i="8"/>
  <c r="P394" i="8"/>
  <c r="K394" i="8"/>
  <c r="I394" i="8"/>
  <c r="A394" i="8"/>
  <c r="U393" i="8"/>
  <c r="T393" i="8"/>
  <c r="R393" i="8"/>
  <c r="Q393" i="8"/>
  <c r="P393" i="8"/>
  <c r="K393" i="8"/>
  <c r="I393" i="8"/>
  <c r="A393" i="8"/>
  <c r="U392" i="8"/>
  <c r="T392" i="8"/>
  <c r="R392" i="8"/>
  <c r="Q392" i="8"/>
  <c r="P392" i="8"/>
  <c r="K392" i="8"/>
  <c r="I392" i="8"/>
  <c r="A392" i="8"/>
  <c r="U391" i="8"/>
  <c r="T391" i="8"/>
  <c r="R391" i="8"/>
  <c r="Q391" i="8"/>
  <c r="P391" i="8"/>
  <c r="K391" i="8"/>
  <c r="I391" i="8"/>
  <c r="A391" i="8"/>
  <c r="U390" i="8"/>
  <c r="T390" i="8"/>
  <c r="R390" i="8"/>
  <c r="Q390" i="8"/>
  <c r="P390" i="8"/>
  <c r="K390" i="8"/>
  <c r="I390" i="8"/>
  <c r="A390" i="8"/>
  <c r="U389" i="8"/>
  <c r="T389" i="8"/>
  <c r="R389" i="8"/>
  <c r="Q389" i="8"/>
  <c r="P389" i="8"/>
  <c r="K389" i="8"/>
  <c r="I389" i="8"/>
  <c r="A389" i="8"/>
  <c r="U388" i="8"/>
  <c r="T388" i="8"/>
  <c r="R388" i="8"/>
  <c r="Q388" i="8"/>
  <c r="P388" i="8"/>
  <c r="K388" i="8"/>
  <c r="I388" i="8"/>
  <c r="A388" i="8"/>
  <c r="U387" i="8"/>
  <c r="T387" i="8"/>
  <c r="R387" i="8"/>
  <c r="Q387" i="8"/>
  <c r="P387" i="8"/>
  <c r="K387" i="8"/>
  <c r="I387" i="8"/>
  <c r="A387" i="8"/>
  <c r="U386" i="8"/>
  <c r="T386" i="8"/>
  <c r="R386" i="8"/>
  <c r="Q386" i="8"/>
  <c r="P386" i="8"/>
  <c r="K386" i="8"/>
  <c r="I386" i="8"/>
  <c r="A386" i="8"/>
  <c r="U385" i="8"/>
  <c r="T385" i="8"/>
  <c r="R385" i="8"/>
  <c r="Q385" i="8"/>
  <c r="P385" i="8"/>
  <c r="K385" i="8"/>
  <c r="I385" i="8"/>
  <c r="A385" i="8"/>
  <c r="U384" i="8"/>
  <c r="T384" i="8"/>
  <c r="R384" i="8"/>
  <c r="Q384" i="8"/>
  <c r="P384" i="8"/>
  <c r="K384" i="8"/>
  <c r="I384" i="8"/>
  <c r="A384" i="8"/>
  <c r="U383" i="8"/>
  <c r="T383" i="8"/>
  <c r="R383" i="8"/>
  <c r="Q383" i="8"/>
  <c r="P383" i="8"/>
  <c r="K383" i="8"/>
  <c r="I383" i="8"/>
  <c r="A383" i="8"/>
  <c r="U382" i="8"/>
  <c r="T382" i="8"/>
  <c r="R382" i="8"/>
  <c r="Q382" i="8"/>
  <c r="P382" i="8"/>
  <c r="K382" i="8"/>
  <c r="I382" i="8"/>
  <c r="A382" i="8"/>
  <c r="U381" i="8"/>
  <c r="T381" i="8"/>
  <c r="R381" i="8"/>
  <c r="Q381" i="8"/>
  <c r="P381" i="8"/>
  <c r="K381" i="8"/>
  <c r="I381" i="8"/>
  <c r="A381" i="8"/>
  <c r="U380" i="8"/>
  <c r="T380" i="8"/>
  <c r="R380" i="8"/>
  <c r="Q380" i="8"/>
  <c r="P380" i="8"/>
  <c r="K380" i="8"/>
  <c r="I380" i="8"/>
  <c r="A380" i="8"/>
  <c r="U379" i="8"/>
  <c r="T379" i="8"/>
  <c r="R379" i="8"/>
  <c r="Q379" i="8"/>
  <c r="P379" i="8"/>
  <c r="K379" i="8"/>
  <c r="I379" i="8"/>
  <c r="A379" i="8"/>
  <c r="U378" i="8"/>
  <c r="T378" i="8"/>
  <c r="R378" i="8"/>
  <c r="Q378" i="8"/>
  <c r="P378" i="8"/>
  <c r="K378" i="8"/>
  <c r="I378" i="8"/>
  <c r="A378" i="8"/>
  <c r="U377" i="8"/>
  <c r="T377" i="8"/>
  <c r="R377" i="8"/>
  <c r="Q377" i="8"/>
  <c r="P377" i="8"/>
  <c r="K377" i="8"/>
  <c r="I377" i="8"/>
  <c r="A377" i="8"/>
  <c r="U376" i="8"/>
  <c r="T376" i="8"/>
  <c r="R376" i="8"/>
  <c r="Q376" i="8"/>
  <c r="P376" i="8"/>
  <c r="K376" i="8"/>
  <c r="I376" i="8"/>
  <c r="A376" i="8"/>
  <c r="U375" i="8"/>
  <c r="T375" i="8"/>
  <c r="R375" i="8"/>
  <c r="Q375" i="8"/>
  <c r="P375" i="8"/>
  <c r="K375" i="8"/>
  <c r="I375" i="8"/>
  <c r="A375" i="8"/>
  <c r="U374" i="8"/>
  <c r="T374" i="8"/>
  <c r="R374" i="8"/>
  <c r="Q374" i="8"/>
  <c r="P374" i="8"/>
  <c r="K374" i="8"/>
  <c r="I374" i="8"/>
  <c r="A374" i="8"/>
  <c r="U373" i="8"/>
  <c r="T373" i="8"/>
  <c r="R373" i="8"/>
  <c r="Q373" i="8"/>
  <c r="P373" i="8"/>
  <c r="K373" i="8"/>
  <c r="I373" i="8"/>
  <c r="A373" i="8"/>
  <c r="U372" i="8"/>
  <c r="T372" i="8"/>
  <c r="R372" i="8"/>
  <c r="Q372" i="8"/>
  <c r="P372" i="8"/>
  <c r="K372" i="8"/>
  <c r="I372" i="8"/>
  <c r="A372" i="8"/>
  <c r="U371" i="8"/>
  <c r="T371" i="8"/>
  <c r="R371" i="8"/>
  <c r="Q371" i="8"/>
  <c r="P371" i="8"/>
  <c r="K371" i="8"/>
  <c r="I371" i="8"/>
  <c r="A371" i="8"/>
  <c r="U370" i="8"/>
  <c r="T370" i="8"/>
  <c r="R370" i="8"/>
  <c r="Q370" i="8"/>
  <c r="P370" i="8"/>
  <c r="K370" i="8"/>
  <c r="I370" i="8"/>
  <c r="A370" i="8"/>
  <c r="U369" i="8"/>
  <c r="T369" i="8"/>
  <c r="R369" i="8"/>
  <c r="Q369" i="8"/>
  <c r="P369" i="8"/>
  <c r="K369" i="8"/>
  <c r="I369" i="8"/>
  <c r="A369" i="8"/>
  <c r="U368" i="8"/>
  <c r="T368" i="8"/>
  <c r="R368" i="8"/>
  <c r="Q368" i="8"/>
  <c r="P368" i="8"/>
  <c r="K368" i="8"/>
  <c r="I368" i="8"/>
  <c r="A368" i="8"/>
  <c r="U367" i="8"/>
  <c r="T367" i="8"/>
  <c r="R367" i="8"/>
  <c r="Q367" i="8"/>
  <c r="P367" i="8"/>
  <c r="K367" i="8"/>
  <c r="I367" i="8"/>
  <c r="A367" i="8"/>
  <c r="U366" i="8"/>
  <c r="T366" i="8"/>
  <c r="R366" i="8"/>
  <c r="Q366" i="8"/>
  <c r="P366" i="8"/>
  <c r="K366" i="8"/>
  <c r="I366" i="8"/>
  <c r="A366" i="8"/>
  <c r="U365" i="8"/>
  <c r="T365" i="8"/>
  <c r="R365" i="8"/>
  <c r="Q365" i="8"/>
  <c r="P365" i="8"/>
  <c r="K365" i="8"/>
  <c r="I365" i="8"/>
  <c r="A365" i="8"/>
  <c r="U364" i="8"/>
  <c r="T364" i="8"/>
  <c r="R364" i="8"/>
  <c r="Q364" i="8"/>
  <c r="P364" i="8"/>
  <c r="K364" i="8"/>
  <c r="I364" i="8"/>
  <c r="A364" i="8"/>
  <c r="U363" i="8"/>
  <c r="T363" i="8"/>
  <c r="R363" i="8"/>
  <c r="Q363" i="8"/>
  <c r="P363" i="8"/>
  <c r="K363" i="8"/>
  <c r="I363" i="8"/>
  <c r="A363" i="8"/>
  <c r="U362" i="8"/>
  <c r="T362" i="8"/>
  <c r="R362" i="8"/>
  <c r="Q362" i="8"/>
  <c r="P362" i="8"/>
  <c r="K362" i="8"/>
  <c r="I362" i="8"/>
  <c r="A362" i="8"/>
  <c r="U361" i="8"/>
  <c r="T361" i="8"/>
  <c r="R361" i="8"/>
  <c r="Q361" i="8"/>
  <c r="P361" i="8"/>
  <c r="K361" i="8"/>
  <c r="I361" i="8"/>
  <c r="A361" i="8"/>
  <c r="U360" i="8"/>
  <c r="T360" i="8"/>
  <c r="R360" i="8"/>
  <c r="Q360" i="8"/>
  <c r="P360" i="8"/>
  <c r="K360" i="8"/>
  <c r="I360" i="8"/>
  <c r="A360" i="8"/>
  <c r="U359" i="8"/>
  <c r="T359" i="8"/>
  <c r="R359" i="8"/>
  <c r="Q359" i="8"/>
  <c r="P359" i="8"/>
  <c r="K359" i="8"/>
  <c r="I359" i="8"/>
  <c r="A359" i="8"/>
  <c r="U358" i="8"/>
  <c r="T358" i="8"/>
  <c r="R358" i="8"/>
  <c r="Q358" i="8"/>
  <c r="P358" i="8"/>
  <c r="K358" i="8"/>
  <c r="I358" i="8"/>
  <c r="A358" i="8"/>
  <c r="U357" i="8"/>
  <c r="T357" i="8"/>
  <c r="R357" i="8"/>
  <c r="Q357" i="8"/>
  <c r="P357" i="8"/>
  <c r="K357" i="8"/>
  <c r="I357" i="8"/>
  <c r="A357" i="8"/>
  <c r="U356" i="8"/>
  <c r="T356" i="8"/>
  <c r="R356" i="8"/>
  <c r="Q356" i="8"/>
  <c r="P356" i="8"/>
  <c r="K356" i="8"/>
  <c r="I356" i="8"/>
  <c r="A356" i="8"/>
  <c r="U355" i="8"/>
  <c r="T355" i="8"/>
  <c r="R355" i="8"/>
  <c r="Q355" i="8"/>
  <c r="P355" i="8"/>
  <c r="K355" i="8"/>
  <c r="I355" i="8"/>
  <c r="A355" i="8"/>
  <c r="U354" i="8"/>
  <c r="T354" i="8"/>
  <c r="R354" i="8"/>
  <c r="Q354" i="8"/>
  <c r="P354" i="8"/>
  <c r="K354" i="8"/>
  <c r="I354" i="8"/>
  <c r="A354" i="8"/>
  <c r="U353" i="8"/>
  <c r="T353" i="8"/>
  <c r="R353" i="8"/>
  <c r="Q353" i="8"/>
  <c r="P353" i="8"/>
  <c r="K353" i="8"/>
  <c r="I353" i="8"/>
  <c r="A353" i="8"/>
  <c r="U352" i="8"/>
  <c r="T352" i="8"/>
  <c r="R352" i="8"/>
  <c r="Q352" i="8"/>
  <c r="P352" i="8"/>
  <c r="K352" i="8"/>
  <c r="I352" i="8"/>
  <c r="A352" i="8"/>
  <c r="U351" i="8"/>
  <c r="T351" i="8"/>
  <c r="R351" i="8"/>
  <c r="Q351" i="8"/>
  <c r="P351" i="8"/>
  <c r="K351" i="8"/>
  <c r="I351" i="8"/>
  <c r="A351" i="8"/>
  <c r="U350" i="8"/>
  <c r="T350" i="8"/>
  <c r="R350" i="8"/>
  <c r="Q350" i="8"/>
  <c r="P350" i="8"/>
  <c r="K350" i="8"/>
  <c r="I350" i="8"/>
  <c r="A350" i="8"/>
  <c r="U349" i="8"/>
  <c r="T349" i="8"/>
  <c r="R349" i="8"/>
  <c r="Q349" i="8"/>
  <c r="P349" i="8"/>
  <c r="K349" i="8"/>
  <c r="I349" i="8"/>
  <c r="A349" i="8"/>
  <c r="U348" i="8"/>
  <c r="T348" i="8"/>
  <c r="R348" i="8"/>
  <c r="Q348" i="8"/>
  <c r="P348" i="8"/>
  <c r="K348" i="8"/>
  <c r="I348" i="8"/>
  <c r="A348" i="8"/>
  <c r="U347" i="8"/>
  <c r="T347" i="8"/>
  <c r="R347" i="8"/>
  <c r="Q347" i="8"/>
  <c r="P347" i="8"/>
  <c r="K347" i="8"/>
  <c r="I347" i="8"/>
  <c r="A347" i="8"/>
  <c r="U346" i="8"/>
  <c r="T346" i="8"/>
  <c r="R346" i="8"/>
  <c r="Q346" i="8"/>
  <c r="P346" i="8"/>
  <c r="K346" i="8"/>
  <c r="I346" i="8"/>
  <c r="A346" i="8"/>
  <c r="U345" i="8"/>
  <c r="T345" i="8"/>
  <c r="R345" i="8"/>
  <c r="Q345" i="8"/>
  <c r="P345" i="8"/>
  <c r="K345" i="8"/>
  <c r="I345" i="8"/>
  <c r="A345" i="8"/>
  <c r="U344" i="8"/>
  <c r="T344" i="8"/>
  <c r="R344" i="8"/>
  <c r="Q344" i="8"/>
  <c r="P344" i="8"/>
  <c r="K344" i="8"/>
  <c r="I344" i="8"/>
  <c r="A344" i="8"/>
  <c r="U343" i="8"/>
  <c r="T343" i="8"/>
  <c r="R343" i="8"/>
  <c r="Q343" i="8"/>
  <c r="P343" i="8"/>
  <c r="K343" i="8"/>
  <c r="I343" i="8"/>
  <c r="A343" i="8"/>
  <c r="U342" i="8"/>
  <c r="T342" i="8"/>
  <c r="R342" i="8"/>
  <c r="Q342" i="8"/>
  <c r="P342" i="8"/>
  <c r="K342" i="8"/>
  <c r="I342" i="8"/>
  <c r="A342" i="8"/>
  <c r="U341" i="8"/>
  <c r="T341" i="8"/>
  <c r="R341" i="8"/>
  <c r="Q341" i="8"/>
  <c r="P341" i="8"/>
  <c r="K341" i="8"/>
  <c r="I341" i="8"/>
  <c r="A341" i="8"/>
  <c r="U340" i="8"/>
  <c r="T340" i="8"/>
  <c r="R340" i="8"/>
  <c r="Q340" i="8"/>
  <c r="P340" i="8"/>
  <c r="K340" i="8"/>
  <c r="I340" i="8"/>
  <c r="A340" i="8"/>
  <c r="U339" i="8"/>
  <c r="T339" i="8"/>
  <c r="R339" i="8"/>
  <c r="Q339" i="8"/>
  <c r="P339" i="8"/>
  <c r="K339" i="8"/>
  <c r="I339" i="8"/>
  <c r="A339" i="8"/>
  <c r="U338" i="8"/>
  <c r="T338" i="8"/>
  <c r="R338" i="8"/>
  <c r="Q338" i="8"/>
  <c r="P338" i="8"/>
  <c r="K338" i="8"/>
  <c r="I338" i="8"/>
  <c r="A338" i="8"/>
  <c r="U337" i="8"/>
  <c r="T337" i="8"/>
  <c r="R337" i="8"/>
  <c r="Q337" i="8"/>
  <c r="P337" i="8"/>
  <c r="K337" i="8"/>
  <c r="I337" i="8"/>
  <c r="A337" i="8"/>
  <c r="U336" i="8"/>
  <c r="T336" i="8"/>
  <c r="R336" i="8"/>
  <c r="Q336" i="8"/>
  <c r="P336" i="8"/>
  <c r="K336" i="8"/>
  <c r="I336" i="8"/>
  <c r="A336" i="8"/>
  <c r="U335" i="8"/>
  <c r="T335" i="8"/>
  <c r="R335" i="8"/>
  <c r="Q335" i="8"/>
  <c r="P335" i="8"/>
  <c r="K335" i="8"/>
  <c r="I335" i="8"/>
  <c r="A335" i="8"/>
  <c r="U334" i="8"/>
  <c r="T334" i="8"/>
  <c r="R334" i="8"/>
  <c r="Q334" i="8"/>
  <c r="P334" i="8"/>
  <c r="K334" i="8"/>
  <c r="I334" i="8"/>
  <c r="A334" i="8"/>
  <c r="U333" i="8"/>
  <c r="T333" i="8"/>
  <c r="R333" i="8"/>
  <c r="Q333" i="8"/>
  <c r="P333" i="8"/>
  <c r="K333" i="8"/>
  <c r="I333" i="8"/>
  <c r="A333" i="8"/>
  <c r="U332" i="8"/>
  <c r="T332" i="8"/>
  <c r="R332" i="8"/>
  <c r="Q332" i="8"/>
  <c r="P332" i="8"/>
  <c r="K332" i="8"/>
  <c r="I332" i="8"/>
  <c r="A332" i="8"/>
  <c r="U331" i="8"/>
  <c r="T331" i="8"/>
  <c r="R331" i="8"/>
  <c r="Q331" i="8"/>
  <c r="P331" i="8"/>
  <c r="K331" i="8"/>
  <c r="I331" i="8"/>
  <c r="A331" i="8"/>
  <c r="U330" i="8"/>
  <c r="T330" i="8"/>
  <c r="R330" i="8"/>
  <c r="Q330" i="8"/>
  <c r="P330" i="8"/>
  <c r="K330" i="8"/>
  <c r="I330" i="8"/>
  <c r="A330" i="8"/>
  <c r="U329" i="8"/>
  <c r="T329" i="8"/>
  <c r="R329" i="8"/>
  <c r="Q329" i="8"/>
  <c r="P329" i="8"/>
  <c r="K329" i="8"/>
  <c r="I329" i="8"/>
  <c r="A329" i="8"/>
  <c r="U328" i="8"/>
  <c r="T328" i="8"/>
  <c r="R328" i="8"/>
  <c r="Q328" i="8"/>
  <c r="P328" i="8"/>
  <c r="K328" i="8"/>
  <c r="I328" i="8"/>
  <c r="A328" i="8"/>
  <c r="U327" i="8"/>
  <c r="T327" i="8"/>
  <c r="R327" i="8"/>
  <c r="Q327" i="8"/>
  <c r="P327" i="8"/>
  <c r="K327" i="8"/>
  <c r="I327" i="8"/>
  <c r="A327" i="8"/>
  <c r="U326" i="8"/>
  <c r="T326" i="8"/>
  <c r="R326" i="8"/>
  <c r="Q326" i="8"/>
  <c r="P326" i="8"/>
  <c r="K326" i="8"/>
  <c r="I326" i="8"/>
  <c r="A326" i="8"/>
  <c r="U325" i="8"/>
  <c r="T325" i="8"/>
  <c r="R325" i="8"/>
  <c r="Q325" i="8"/>
  <c r="P325" i="8"/>
  <c r="K325" i="8"/>
  <c r="I325" i="8"/>
  <c r="A325" i="8"/>
  <c r="U324" i="8"/>
  <c r="T324" i="8"/>
  <c r="R324" i="8"/>
  <c r="Q324" i="8"/>
  <c r="P324" i="8"/>
  <c r="K324" i="8"/>
  <c r="I324" i="8"/>
  <c r="A324" i="8"/>
  <c r="U323" i="8"/>
  <c r="T323" i="8"/>
  <c r="R323" i="8"/>
  <c r="Q323" i="8"/>
  <c r="P323" i="8"/>
  <c r="K323" i="8"/>
  <c r="I323" i="8"/>
  <c r="A323" i="8"/>
  <c r="U322" i="8"/>
  <c r="T322" i="8"/>
  <c r="R322" i="8"/>
  <c r="Q322" i="8"/>
  <c r="P322" i="8"/>
  <c r="K322" i="8"/>
  <c r="I322" i="8"/>
  <c r="A322" i="8"/>
  <c r="U321" i="8"/>
  <c r="T321" i="8"/>
  <c r="R321" i="8"/>
  <c r="Q321" i="8"/>
  <c r="P321" i="8"/>
  <c r="K321" i="8"/>
  <c r="I321" i="8"/>
  <c r="A321" i="8"/>
  <c r="U320" i="8"/>
  <c r="T320" i="8"/>
  <c r="R320" i="8"/>
  <c r="Q320" i="8"/>
  <c r="P320" i="8"/>
  <c r="K320" i="8"/>
  <c r="I320" i="8"/>
  <c r="A320" i="8"/>
  <c r="U319" i="8"/>
  <c r="T319" i="8"/>
  <c r="R319" i="8"/>
  <c r="Q319" i="8"/>
  <c r="P319" i="8"/>
  <c r="K319" i="8"/>
  <c r="I319" i="8"/>
  <c r="A319" i="8"/>
  <c r="U318" i="8"/>
  <c r="T318" i="8"/>
  <c r="R318" i="8"/>
  <c r="Q318" i="8"/>
  <c r="P318" i="8"/>
  <c r="K318" i="8"/>
  <c r="I318" i="8"/>
  <c r="A318" i="8"/>
  <c r="U317" i="8"/>
  <c r="T317" i="8"/>
  <c r="R317" i="8"/>
  <c r="Q317" i="8"/>
  <c r="P317" i="8"/>
  <c r="K317" i="8"/>
  <c r="I317" i="8"/>
  <c r="A317" i="8"/>
  <c r="U316" i="8"/>
  <c r="T316" i="8"/>
  <c r="R316" i="8"/>
  <c r="Q316" i="8"/>
  <c r="P316" i="8"/>
  <c r="K316" i="8"/>
  <c r="I316" i="8"/>
  <c r="A316" i="8"/>
  <c r="U315" i="8"/>
  <c r="T315" i="8"/>
  <c r="R315" i="8"/>
  <c r="Q315" i="8"/>
  <c r="P315" i="8"/>
  <c r="K315" i="8"/>
  <c r="I315" i="8"/>
  <c r="A315" i="8"/>
  <c r="U314" i="8"/>
  <c r="T314" i="8"/>
  <c r="R314" i="8"/>
  <c r="Q314" i="8"/>
  <c r="P314" i="8"/>
  <c r="K314" i="8"/>
  <c r="I314" i="8"/>
  <c r="A314" i="8"/>
  <c r="U313" i="8"/>
  <c r="T313" i="8"/>
  <c r="R313" i="8"/>
  <c r="Q313" i="8"/>
  <c r="P313" i="8"/>
  <c r="K313" i="8"/>
  <c r="I313" i="8"/>
  <c r="A313" i="8"/>
  <c r="U312" i="8"/>
  <c r="T312" i="8"/>
  <c r="R312" i="8"/>
  <c r="Q312" i="8"/>
  <c r="P312" i="8"/>
  <c r="K312" i="8"/>
  <c r="I312" i="8"/>
  <c r="A312" i="8"/>
  <c r="U311" i="8"/>
  <c r="T311" i="8"/>
  <c r="R311" i="8"/>
  <c r="Q311" i="8"/>
  <c r="P311" i="8"/>
  <c r="K311" i="8"/>
  <c r="I311" i="8"/>
  <c r="A311" i="8"/>
  <c r="U310" i="8"/>
  <c r="T310" i="8"/>
  <c r="R310" i="8"/>
  <c r="Q310" i="8"/>
  <c r="P310" i="8"/>
  <c r="K310" i="8"/>
  <c r="I310" i="8"/>
  <c r="A310" i="8"/>
  <c r="U309" i="8"/>
  <c r="T309" i="8"/>
  <c r="R309" i="8"/>
  <c r="Q309" i="8"/>
  <c r="P309" i="8"/>
  <c r="K309" i="8"/>
  <c r="I309" i="8"/>
  <c r="A309" i="8"/>
  <c r="U308" i="8"/>
  <c r="T308" i="8"/>
  <c r="R308" i="8"/>
  <c r="Q308" i="8"/>
  <c r="P308" i="8"/>
  <c r="K308" i="8"/>
  <c r="I308" i="8"/>
  <c r="A308" i="8"/>
  <c r="U307" i="8"/>
  <c r="T307" i="8"/>
  <c r="R307" i="8"/>
  <c r="Q307" i="8"/>
  <c r="P307" i="8"/>
  <c r="K307" i="8"/>
  <c r="I307" i="8"/>
  <c r="A307" i="8"/>
  <c r="U306" i="8"/>
  <c r="T306" i="8"/>
  <c r="R306" i="8"/>
  <c r="Q306" i="8"/>
  <c r="P306" i="8"/>
  <c r="K306" i="8"/>
  <c r="I306" i="8"/>
  <c r="A306" i="8"/>
  <c r="U305" i="8"/>
  <c r="T305" i="8"/>
  <c r="R305" i="8"/>
  <c r="Q305" i="8"/>
  <c r="P305" i="8"/>
  <c r="K305" i="8"/>
  <c r="I305" i="8"/>
  <c r="A305" i="8"/>
  <c r="U304" i="8"/>
  <c r="T304" i="8"/>
  <c r="R304" i="8"/>
  <c r="Q304" i="8"/>
  <c r="P304" i="8"/>
  <c r="K304" i="8"/>
  <c r="I304" i="8"/>
  <c r="A304" i="8"/>
  <c r="U303" i="8"/>
  <c r="T303" i="8"/>
  <c r="R303" i="8"/>
  <c r="Q303" i="8"/>
  <c r="P303" i="8"/>
  <c r="K303" i="8"/>
  <c r="I303" i="8"/>
  <c r="A303" i="8"/>
  <c r="U302" i="8"/>
  <c r="T302" i="8"/>
  <c r="R302" i="8"/>
  <c r="Q302" i="8"/>
  <c r="P302" i="8"/>
  <c r="K302" i="8"/>
  <c r="I302" i="8"/>
  <c r="A302" i="8"/>
  <c r="U301" i="8"/>
  <c r="T301" i="8"/>
  <c r="R301" i="8"/>
  <c r="Q301" i="8"/>
  <c r="P301" i="8"/>
  <c r="K301" i="8"/>
  <c r="I301" i="8"/>
  <c r="A301" i="8"/>
  <c r="U300" i="8"/>
  <c r="T300" i="8"/>
  <c r="R300" i="8"/>
  <c r="Q300" i="8"/>
  <c r="P300" i="8"/>
  <c r="K300" i="8"/>
  <c r="I300" i="8"/>
  <c r="A300" i="8"/>
  <c r="U299" i="8"/>
  <c r="T299" i="8"/>
  <c r="R299" i="8"/>
  <c r="Q299" i="8"/>
  <c r="P299" i="8"/>
  <c r="K299" i="8"/>
  <c r="I299" i="8"/>
  <c r="A299" i="8"/>
  <c r="U298" i="8"/>
  <c r="T298" i="8"/>
  <c r="R298" i="8"/>
  <c r="Q298" i="8"/>
  <c r="P298" i="8"/>
  <c r="K298" i="8"/>
  <c r="I298" i="8"/>
  <c r="A298" i="8"/>
  <c r="U297" i="8"/>
  <c r="T297" i="8"/>
  <c r="R297" i="8"/>
  <c r="Q297" i="8"/>
  <c r="P297" i="8"/>
  <c r="K297" i="8"/>
  <c r="I297" i="8"/>
  <c r="A297" i="8"/>
  <c r="U296" i="8"/>
  <c r="T296" i="8"/>
  <c r="R296" i="8"/>
  <c r="Q296" i="8"/>
  <c r="P296" i="8"/>
  <c r="K296" i="8"/>
  <c r="I296" i="8"/>
  <c r="A296" i="8"/>
  <c r="U295" i="8"/>
  <c r="T295" i="8"/>
  <c r="R295" i="8"/>
  <c r="Q295" i="8"/>
  <c r="P295" i="8"/>
  <c r="K295" i="8"/>
  <c r="I295" i="8"/>
  <c r="A295" i="8"/>
  <c r="U294" i="8"/>
  <c r="T294" i="8"/>
  <c r="R294" i="8"/>
  <c r="Q294" i="8"/>
  <c r="P294" i="8"/>
  <c r="K294" i="8"/>
  <c r="I294" i="8"/>
  <c r="A294" i="8"/>
  <c r="U293" i="8"/>
  <c r="T293" i="8"/>
  <c r="R293" i="8"/>
  <c r="Q293" i="8"/>
  <c r="P293" i="8"/>
  <c r="K293" i="8"/>
  <c r="I293" i="8"/>
  <c r="A293" i="8"/>
  <c r="U292" i="8"/>
  <c r="T292" i="8"/>
  <c r="R292" i="8"/>
  <c r="Q292" i="8"/>
  <c r="P292" i="8"/>
  <c r="K292" i="8"/>
  <c r="I292" i="8"/>
  <c r="A292" i="8"/>
  <c r="U291" i="8"/>
  <c r="T291" i="8"/>
  <c r="R291" i="8"/>
  <c r="Q291" i="8"/>
  <c r="P291" i="8"/>
  <c r="K291" i="8"/>
  <c r="I291" i="8"/>
  <c r="A291" i="8"/>
  <c r="U290" i="8"/>
  <c r="T290" i="8"/>
  <c r="R290" i="8"/>
  <c r="Q290" i="8"/>
  <c r="P290" i="8"/>
  <c r="K290" i="8"/>
  <c r="I290" i="8"/>
  <c r="A290" i="8"/>
  <c r="U289" i="8"/>
  <c r="T289" i="8"/>
  <c r="R289" i="8"/>
  <c r="Q289" i="8"/>
  <c r="P289" i="8"/>
  <c r="K289" i="8"/>
  <c r="I289" i="8"/>
  <c r="A289" i="8"/>
  <c r="U288" i="8"/>
  <c r="T288" i="8"/>
  <c r="R288" i="8"/>
  <c r="Q288" i="8"/>
  <c r="P288" i="8"/>
  <c r="K288" i="8"/>
  <c r="I288" i="8"/>
  <c r="A288" i="8"/>
  <c r="U287" i="8"/>
  <c r="T287" i="8"/>
  <c r="R287" i="8"/>
  <c r="Q287" i="8"/>
  <c r="P287" i="8"/>
  <c r="K287" i="8"/>
  <c r="I287" i="8"/>
  <c r="A287" i="8"/>
  <c r="U286" i="8"/>
  <c r="T286" i="8"/>
  <c r="R286" i="8"/>
  <c r="Q286" i="8"/>
  <c r="P286" i="8"/>
  <c r="K286" i="8"/>
  <c r="I286" i="8"/>
  <c r="A286" i="8"/>
  <c r="U285" i="8"/>
  <c r="T285" i="8"/>
  <c r="R285" i="8"/>
  <c r="Q285" i="8"/>
  <c r="P285" i="8"/>
  <c r="K285" i="8"/>
  <c r="I285" i="8"/>
  <c r="A285" i="8"/>
  <c r="U284" i="8"/>
  <c r="T284" i="8"/>
  <c r="R284" i="8"/>
  <c r="Q284" i="8"/>
  <c r="P284" i="8"/>
  <c r="K284" i="8"/>
  <c r="I284" i="8"/>
  <c r="A284" i="8"/>
  <c r="U283" i="8"/>
  <c r="T283" i="8"/>
  <c r="R283" i="8"/>
  <c r="Q283" i="8"/>
  <c r="P283" i="8"/>
  <c r="K283" i="8"/>
  <c r="I283" i="8"/>
  <c r="A283" i="8"/>
  <c r="U282" i="8"/>
  <c r="T282" i="8"/>
  <c r="R282" i="8"/>
  <c r="Q282" i="8"/>
  <c r="P282" i="8"/>
  <c r="K282" i="8"/>
  <c r="I282" i="8"/>
  <c r="A282" i="8"/>
  <c r="U281" i="8"/>
  <c r="T281" i="8"/>
  <c r="R281" i="8"/>
  <c r="Q281" i="8"/>
  <c r="P281" i="8"/>
  <c r="K281" i="8"/>
  <c r="I281" i="8"/>
  <c r="A281" i="8"/>
  <c r="U280" i="8"/>
  <c r="T280" i="8"/>
  <c r="R280" i="8"/>
  <c r="Q280" i="8"/>
  <c r="P280" i="8"/>
  <c r="K280" i="8"/>
  <c r="I280" i="8"/>
  <c r="A280" i="8"/>
  <c r="U279" i="8"/>
  <c r="T279" i="8"/>
  <c r="R279" i="8"/>
  <c r="Q279" i="8"/>
  <c r="P279" i="8"/>
  <c r="K279" i="8"/>
  <c r="I279" i="8"/>
  <c r="A279" i="8"/>
  <c r="U278" i="8"/>
  <c r="T278" i="8"/>
  <c r="R278" i="8"/>
  <c r="Q278" i="8"/>
  <c r="P278" i="8"/>
  <c r="K278" i="8"/>
  <c r="I278" i="8"/>
  <c r="A278" i="8"/>
  <c r="U277" i="8"/>
  <c r="T277" i="8"/>
  <c r="R277" i="8"/>
  <c r="Q277" i="8"/>
  <c r="P277" i="8"/>
  <c r="K277" i="8"/>
  <c r="I277" i="8"/>
  <c r="A277" i="8"/>
  <c r="U276" i="8"/>
  <c r="T276" i="8"/>
  <c r="R276" i="8"/>
  <c r="Q276" i="8"/>
  <c r="P276" i="8"/>
  <c r="K276" i="8"/>
  <c r="I276" i="8"/>
  <c r="A276" i="8"/>
  <c r="U275" i="8"/>
  <c r="T275" i="8"/>
  <c r="R275" i="8"/>
  <c r="Q275" i="8"/>
  <c r="P275" i="8"/>
  <c r="K275" i="8"/>
  <c r="I275" i="8"/>
  <c r="A275" i="8"/>
  <c r="U274" i="8"/>
  <c r="T274" i="8"/>
  <c r="R274" i="8"/>
  <c r="Q274" i="8"/>
  <c r="P274" i="8"/>
  <c r="K274" i="8"/>
  <c r="I274" i="8"/>
  <c r="A274" i="8"/>
  <c r="U273" i="8"/>
  <c r="T273" i="8"/>
  <c r="R273" i="8"/>
  <c r="Q273" i="8"/>
  <c r="P273" i="8"/>
  <c r="K273" i="8"/>
  <c r="I273" i="8"/>
  <c r="A273" i="8"/>
  <c r="U272" i="8"/>
  <c r="T272" i="8"/>
  <c r="R272" i="8"/>
  <c r="Q272" i="8"/>
  <c r="P272" i="8"/>
  <c r="K272" i="8"/>
  <c r="I272" i="8"/>
  <c r="A272" i="8"/>
  <c r="U271" i="8"/>
  <c r="T271" i="8"/>
  <c r="R271" i="8"/>
  <c r="Q271" i="8"/>
  <c r="P271" i="8"/>
  <c r="K271" i="8"/>
  <c r="I271" i="8"/>
  <c r="A271" i="8"/>
  <c r="U270" i="8"/>
  <c r="T270" i="8"/>
  <c r="R270" i="8"/>
  <c r="Q270" i="8"/>
  <c r="P270" i="8"/>
  <c r="K270" i="8"/>
  <c r="I270" i="8"/>
  <c r="A270" i="8"/>
  <c r="U269" i="8"/>
  <c r="T269" i="8"/>
  <c r="R269" i="8"/>
  <c r="Q269" i="8"/>
  <c r="P269" i="8"/>
  <c r="K269" i="8"/>
  <c r="I269" i="8"/>
  <c r="A269" i="8"/>
  <c r="U268" i="8"/>
  <c r="T268" i="8"/>
  <c r="R268" i="8"/>
  <c r="Q268" i="8"/>
  <c r="P268" i="8"/>
  <c r="K268" i="8"/>
  <c r="I268" i="8"/>
  <c r="A268" i="8"/>
  <c r="U267" i="8"/>
  <c r="T267" i="8"/>
  <c r="R267" i="8"/>
  <c r="Q267" i="8"/>
  <c r="P267" i="8"/>
  <c r="K267" i="8"/>
  <c r="I267" i="8"/>
  <c r="A267" i="8"/>
  <c r="U266" i="8"/>
  <c r="T266" i="8"/>
  <c r="R266" i="8"/>
  <c r="Q266" i="8"/>
  <c r="P266" i="8"/>
  <c r="K266" i="8"/>
  <c r="I266" i="8"/>
  <c r="A266" i="8"/>
  <c r="U265" i="8"/>
  <c r="T265" i="8"/>
  <c r="R265" i="8"/>
  <c r="Q265" i="8"/>
  <c r="P265" i="8"/>
  <c r="K265" i="8"/>
  <c r="I265" i="8"/>
  <c r="A265" i="8"/>
  <c r="U264" i="8"/>
  <c r="T264" i="8"/>
  <c r="R264" i="8"/>
  <c r="Q264" i="8"/>
  <c r="P264" i="8"/>
  <c r="K264" i="8"/>
  <c r="I264" i="8"/>
  <c r="A264" i="8"/>
  <c r="U263" i="8"/>
  <c r="T263" i="8"/>
  <c r="R263" i="8"/>
  <c r="Q263" i="8"/>
  <c r="P263" i="8"/>
  <c r="K263" i="8"/>
  <c r="I263" i="8"/>
  <c r="A263" i="8"/>
  <c r="U262" i="8"/>
  <c r="T262" i="8"/>
  <c r="R262" i="8"/>
  <c r="Q262" i="8"/>
  <c r="P262" i="8"/>
  <c r="K262" i="8"/>
  <c r="I262" i="8"/>
  <c r="A262" i="8"/>
  <c r="U261" i="8"/>
  <c r="T261" i="8"/>
  <c r="R261" i="8"/>
  <c r="Q261" i="8"/>
  <c r="P261" i="8"/>
  <c r="K261" i="8"/>
  <c r="I261" i="8"/>
  <c r="A261" i="8"/>
  <c r="U260" i="8"/>
  <c r="T260" i="8"/>
  <c r="R260" i="8"/>
  <c r="Q260" i="8"/>
  <c r="P260" i="8"/>
  <c r="K260" i="8"/>
  <c r="I260" i="8"/>
  <c r="A260" i="8"/>
  <c r="U259" i="8"/>
  <c r="T259" i="8"/>
  <c r="R259" i="8"/>
  <c r="Q259" i="8"/>
  <c r="P259" i="8"/>
  <c r="K259" i="8"/>
  <c r="I259" i="8"/>
  <c r="A259" i="8"/>
  <c r="U258" i="8"/>
  <c r="T258" i="8"/>
  <c r="R258" i="8"/>
  <c r="Q258" i="8"/>
  <c r="P258" i="8"/>
  <c r="K258" i="8"/>
  <c r="I258" i="8"/>
  <c r="A258" i="8"/>
  <c r="U257" i="8"/>
  <c r="T257" i="8"/>
  <c r="R257" i="8"/>
  <c r="Q257" i="8"/>
  <c r="P257" i="8"/>
  <c r="K257" i="8"/>
  <c r="I257" i="8"/>
  <c r="A257" i="8"/>
  <c r="U256" i="8"/>
  <c r="T256" i="8"/>
  <c r="R256" i="8"/>
  <c r="Q256" i="8"/>
  <c r="P256" i="8"/>
  <c r="K256" i="8"/>
  <c r="I256" i="8"/>
  <c r="A256" i="8"/>
  <c r="U255" i="8"/>
  <c r="T255" i="8"/>
  <c r="R255" i="8"/>
  <c r="Q255" i="8"/>
  <c r="P255" i="8"/>
  <c r="K255" i="8"/>
  <c r="I255" i="8"/>
  <c r="A255" i="8"/>
  <c r="U254" i="8"/>
  <c r="T254" i="8"/>
  <c r="R254" i="8"/>
  <c r="Q254" i="8"/>
  <c r="P254" i="8"/>
  <c r="K254" i="8"/>
  <c r="I254" i="8"/>
  <c r="A254" i="8"/>
  <c r="U253" i="8"/>
  <c r="T253" i="8"/>
  <c r="R253" i="8"/>
  <c r="Q253" i="8"/>
  <c r="P253" i="8"/>
  <c r="K253" i="8"/>
  <c r="I253" i="8"/>
  <c r="A253" i="8"/>
  <c r="U252" i="8"/>
  <c r="T252" i="8"/>
  <c r="R252" i="8"/>
  <c r="Q252" i="8"/>
  <c r="P252" i="8"/>
  <c r="K252" i="8"/>
  <c r="I252" i="8"/>
  <c r="A252" i="8"/>
  <c r="U251" i="8"/>
  <c r="T251" i="8"/>
  <c r="R251" i="8"/>
  <c r="Q251" i="8"/>
  <c r="P251" i="8"/>
  <c r="K251" i="8"/>
  <c r="I251" i="8"/>
  <c r="A251" i="8"/>
  <c r="U250" i="8"/>
  <c r="T250" i="8"/>
  <c r="R250" i="8"/>
  <c r="Q250" i="8"/>
  <c r="P250" i="8"/>
  <c r="K250" i="8"/>
  <c r="I250" i="8"/>
  <c r="A250" i="8"/>
  <c r="U249" i="8"/>
  <c r="T249" i="8"/>
  <c r="R249" i="8"/>
  <c r="Q249" i="8"/>
  <c r="P249" i="8"/>
  <c r="K249" i="8"/>
  <c r="I249" i="8"/>
  <c r="A249" i="8"/>
  <c r="U248" i="8"/>
  <c r="T248" i="8"/>
  <c r="R248" i="8"/>
  <c r="Q248" i="8"/>
  <c r="P248" i="8"/>
  <c r="K248" i="8"/>
  <c r="I248" i="8"/>
  <c r="A248" i="8"/>
  <c r="U247" i="8"/>
  <c r="T247" i="8"/>
  <c r="R247" i="8"/>
  <c r="Q247" i="8"/>
  <c r="P247" i="8"/>
  <c r="K247" i="8"/>
  <c r="I247" i="8"/>
  <c r="A247" i="8"/>
  <c r="U246" i="8"/>
  <c r="T246" i="8"/>
  <c r="R246" i="8"/>
  <c r="Q246" i="8"/>
  <c r="P246" i="8"/>
  <c r="K246" i="8"/>
  <c r="I246" i="8"/>
  <c r="A246" i="8"/>
  <c r="U245" i="8"/>
  <c r="T245" i="8"/>
  <c r="R245" i="8"/>
  <c r="Q245" i="8"/>
  <c r="P245" i="8"/>
  <c r="K245" i="8"/>
  <c r="I245" i="8"/>
  <c r="A245" i="8"/>
  <c r="U244" i="8"/>
  <c r="T244" i="8"/>
  <c r="R244" i="8"/>
  <c r="Q244" i="8"/>
  <c r="P244" i="8"/>
  <c r="K244" i="8"/>
  <c r="I244" i="8"/>
  <c r="A244" i="8"/>
  <c r="U243" i="8"/>
  <c r="T243" i="8"/>
  <c r="R243" i="8"/>
  <c r="Q243" i="8"/>
  <c r="P243" i="8"/>
  <c r="K243" i="8"/>
  <c r="I243" i="8"/>
  <c r="A243" i="8"/>
  <c r="U242" i="8"/>
  <c r="T242" i="8"/>
  <c r="R242" i="8"/>
  <c r="Q242" i="8"/>
  <c r="P242" i="8"/>
  <c r="K242" i="8"/>
  <c r="I242" i="8"/>
  <c r="A242" i="8"/>
  <c r="U241" i="8"/>
  <c r="T241" i="8"/>
  <c r="R241" i="8"/>
  <c r="Q241" i="8"/>
  <c r="P241" i="8"/>
  <c r="K241" i="8"/>
  <c r="I241" i="8"/>
  <c r="A241" i="8"/>
  <c r="U240" i="8"/>
  <c r="T240" i="8"/>
  <c r="R240" i="8"/>
  <c r="Q240" i="8"/>
  <c r="P240" i="8"/>
  <c r="K240" i="8"/>
  <c r="I240" i="8"/>
  <c r="A240" i="8"/>
  <c r="U239" i="8"/>
  <c r="T239" i="8"/>
  <c r="R239" i="8"/>
  <c r="Q239" i="8"/>
  <c r="P239" i="8"/>
  <c r="K239" i="8"/>
  <c r="I239" i="8"/>
  <c r="A239" i="8"/>
  <c r="U238" i="8"/>
  <c r="T238" i="8"/>
  <c r="R238" i="8"/>
  <c r="Q238" i="8"/>
  <c r="P238" i="8"/>
  <c r="K238" i="8"/>
  <c r="I238" i="8"/>
  <c r="A238" i="8"/>
  <c r="U237" i="8"/>
  <c r="T237" i="8"/>
  <c r="R237" i="8"/>
  <c r="Q237" i="8"/>
  <c r="P237" i="8"/>
  <c r="K237" i="8"/>
  <c r="I237" i="8"/>
  <c r="A237" i="8"/>
  <c r="U236" i="8"/>
  <c r="T236" i="8"/>
  <c r="R236" i="8"/>
  <c r="Q236" i="8"/>
  <c r="P236" i="8"/>
  <c r="K236" i="8"/>
  <c r="I236" i="8"/>
  <c r="A236" i="8"/>
  <c r="U235" i="8"/>
  <c r="T235" i="8"/>
  <c r="R235" i="8"/>
  <c r="Q235" i="8"/>
  <c r="P235" i="8"/>
  <c r="K235" i="8"/>
  <c r="I235" i="8"/>
  <c r="A235" i="8"/>
  <c r="U234" i="8"/>
  <c r="T234" i="8"/>
  <c r="R234" i="8"/>
  <c r="Q234" i="8"/>
  <c r="P234" i="8"/>
  <c r="K234" i="8"/>
  <c r="I234" i="8"/>
  <c r="A234" i="8"/>
  <c r="U233" i="8"/>
  <c r="T233" i="8"/>
  <c r="R233" i="8"/>
  <c r="Q233" i="8"/>
  <c r="P233" i="8"/>
  <c r="K233" i="8"/>
  <c r="I233" i="8"/>
  <c r="A233" i="8"/>
  <c r="U232" i="8"/>
  <c r="T232" i="8"/>
  <c r="R232" i="8"/>
  <c r="Q232" i="8"/>
  <c r="P232" i="8"/>
  <c r="K232" i="8"/>
  <c r="I232" i="8"/>
  <c r="A232" i="8"/>
  <c r="U231" i="8"/>
  <c r="T231" i="8"/>
  <c r="R231" i="8"/>
  <c r="Q231" i="8"/>
  <c r="P231" i="8"/>
  <c r="K231" i="8"/>
  <c r="I231" i="8"/>
  <c r="A231" i="8"/>
  <c r="U230" i="8"/>
  <c r="T230" i="8"/>
  <c r="R230" i="8"/>
  <c r="Q230" i="8"/>
  <c r="P230" i="8"/>
  <c r="K230" i="8"/>
  <c r="I230" i="8"/>
  <c r="A230" i="8"/>
  <c r="U229" i="8"/>
  <c r="T229" i="8"/>
  <c r="R229" i="8"/>
  <c r="Q229" i="8"/>
  <c r="P229" i="8"/>
  <c r="K229" i="8"/>
  <c r="I229" i="8"/>
  <c r="A229" i="8"/>
  <c r="U228" i="8"/>
  <c r="T228" i="8"/>
  <c r="R228" i="8"/>
  <c r="Q228" i="8"/>
  <c r="P228" i="8"/>
  <c r="K228" i="8"/>
  <c r="I228" i="8"/>
  <c r="A228" i="8"/>
  <c r="U227" i="8"/>
  <c r="T227" i="8"/>
  <c r="R227" i="8"/>
  <c r="Q227" i="8"/>
  <c r="P227" i="8"/>
  <c r="K227" i="8"/>
  <c r="I227" i="8"/>
  <c r="A227" i="8"/>
  <c r="U226" i="8"/>
  <c r="T226" i="8"/>
  <c r="R226" i="8"/>
  <c r="Q226" i="8"/>
  <c r="P226" i="8"/>
  <c r="K226" i="8"/>
  <c r="I226" i="8"/>
  <c r="A226" i="8"/>
  <c r="U225" i="8"/>
  <c r="T225" i="8"/>
  <c r="R225" i="8"/>
  <c r="Q225" i="8"/>
  <c r="P225" i="8"/>
  <c r="K225" i="8"/>
  <c r="I225" i="8"/>
  <c r="A225" i="8"/>
  <c r="U224" i="8"/>
  <c r="T224" i="8"/>
  <c r="R224" i="8"/>
  <c r="Q224" i="8"/>
  <c r="P224" i="8"/>
  <c r="K224" i="8"/>
  <c r="I224" i="8"/>
  <c r="A224" i="8"/>
  <c r="U223" i="8"/>
  <c r="T223" i="8"/>
  <c r="R223" i="8"/>
  <c r="Q223" i="8"/>
  <c r="P223" i="8"/>
  <c r="K223" i="8"/>
  <c r="I223" i="8"/>
  <c r="A223" i="8"/>
  <c r="U222" i="8"/>
  <c r="T222" i="8"/>
  <c r="R222" i="8"/>
  <c r="Q222" i="8"/>
  <c r="P222" i="8"/>
  <c r="K222" i="8"/>
  <c r="I222" i="8"/>
  <c r="A222" i="8"/>
  <c r="U221" i="8"/>
  <c r="T221" i="8"/>
  <c r="R221" i="8"/>
  <c r="Q221" i="8"/>
  <c r="P221" i="8"/>
  <c r="K221" i="8"/>
  <c r="I221" i="8"/>
  <c r="A221" i="8"/>
  <c r="U220" i="8"/>
  <c r="T220" i="8"/>
  <c r="R220" i="8"/>
  <c r="Q220" i="8"/>
  <c r="P220" i="8"/>
  <c r="K220" i="8"/>
  <c r="I220" i="8"/>
  <c r="A220" i="8"/>
  <c r="U219" i="8"/>
  <c r="T219" i="8"/>
  <c r="R219" i="8"/>
  <c r="Q219" i="8"/>
  <c r="P219" i="8"/>
  <c r="K219" i="8"/>
  <c r="I219" i="8"/>
  <c r="A219" i="8"/>
  <c r="U218" i="8"/>
  <c r="T218" i="8"/>
  <c r="R218" i="8"/>
  <c r="Q218" i="8"/>
  <c r="P218" i="8"/>
  <c r="K218" i="8"/>
  <c r="I218" i="8"/>
  <c r="A218" i="8"/>
  <c r="U217" i="8"/>
  <c r="T217" i="8"/>
  <c r="R217" i="8"/>
  <c r="Q217" i="8"/>
  <c r="P217" i="8"/>
  <c r="K217" i="8"/>
  <c r="I217" i="8"/>
  <c r="A217" i="8"/>
  <c r="U216" i="8"/>
  <c r="T216" i="8"/>
  <c r="R216" i="8"/>
  <c r="Q216" i="8"/>
  <c r="P216" i="8"/>
  <c r="K216" i="8"/>
  <c r="I216" i="8"/>
  <c r="A216" i="8"/>
  <c r="U215" i="8"/>
  <c r="T215" i="8"/>
  <c r="R215" i="8"/>
  <c r="Q215" i="8"/>
  <c r="P215" i="8"/>
  <c r="K215" i="8"/>
  <c r="I215" i="8"/>
  <c r="A215" i="8"/>
  <c r="U214" i="8"/>
  <c r="T214" i="8"/>
  <c r="R214" i="8"/>
  <c r="Q214" i="8"/>
  <c r="P214" i="8"/>
  <c r="K214" i="8"/>
  <c r="I214" i="8"/>
  <c r="A214" i="8"/>
  <c r="U213" i="8"/>
  <c r="T213" i="8"/>
  <c r="R213" i="8"/>
  <c r="Q213" i="8"/>
  <c r="P213" i="8"/>
  <c r="K213" i="8"/>
  <c r="I213" i="8"/>
  <c r="A213" i="8"/>
  <c r="U212" i="8"/>
  <c r="T212" i="8"/>
  <c r="R212" i="8"/>
  <c r="Q212" i="8"/>
  <c r="P212" i="8"/>
  <c r="K212" i="8"/>
  <c r="I212" i="8"/>
  <c r="A212" i="8"/>
  <c r="U211" i="8"/>
  <c r="T211" i="8"/>
  <c r="R211" i="8"/>
  <c r="Q211" i="8"/>
  <c r="P211" i="8"/>
  <c r="K211" i="8"/>
  <c r="I211" i="8"/>
  <c r="A211" i="8"/>
  <c r="U210" i="8"/>
  <c r="T210" i="8"/>
  <c r="R210" i="8"/>
  <c r="Q210" i="8"/>
  <c r="P210" i="8"/>
  <c r="K210" i="8"/>
  <c r="I210" i="8"/>
  <c r="A210" i="8"/>
  <c r="U209" i="8"/>
  <c r="T209" i="8"/>
  <c r="R209" i="8"/>
  <c r="Q209" i="8"/>
  <c r="P209" i="8"/>
  <c r="K209" i="8"/>
  <c r="I209" i="8"/>
  <c r="A209" i="8"/>
  <c r="U208" i="8"/>
  <c r="T208" i="8"/>
  <c r="R208" i="8"/>
  <c r="Q208" i="8"/>
  <c r="P208" i="8"/>
  <c r="K208" i="8"/>
  <c r="I208" i="8"/>
  <c r="A208" i="8"/>
  <c r="U207" i="8"/>
  <c r="T207" i="8"/>
  <c r="R207" i="8"/>
  <c r="Q207" i="8"/>
  <c r="P207" i="8"/>
  <c r="K207" i="8"/>
  <c r="I207" i="8"/>
  <c r="A207" i="8"/>
  <c r="U206" i="8"/>
  <c r="T206" i="8"/>
  <c r="R206" i="8"/>
  <c r="Q206" i="8"/>
  <c r="P206" i="8"/>
  <c r="K206" i="8"/>
  <c r="I206" i="8"/>
  <c r="A206" i="8"/>
  <c r="U205" i="8"/>
  <c r="T205" i="8"/>
  <c r="R205" i="8"/>
  <c r="Q205" i="8"/>
  <c r="P205" i="8"/>
  <c r="K205" i="8"/>
  <c r="I205" i="8"/>
  <c r="A205" i="8"/>
  <c r="U204" i="8"/>
  <c r="T204" i="8"/>
  <c r="R204" i="8"/>
  <c r="Q204" i="8"/>
  <c r="P204" i="8"/>
  <c r="K204" i="8"/>
  <c r="I204" i="8"/>
  <c r="A204" i="8"/>
  <c r="U203" i="8"/>
  <c r="T203" i="8"/>
  <c r="R203" i="8"/>
  <c r="Q203" i="8"/>
  <c r="P203" i="8"/>
  <c r="K203" i="8"/>
  <c r="I203" i="8"/>
  <c r="A203" i="8"/>
  <c r="U202" i="8"/>
  <c r="T202" i="8"/>
  <c r="R202" i="8"/>
  <c r="Q202" i="8"/>
  <c r="P202" i="8"/>
  <c r="K202" i="8"/>
  <c r="I202" i="8"/>
  <c r="A202" i="8"/>
  <c r="U201" i="8"/>
  <c r="T201" i="8"/>
  <c r="R201" i="8"/>
  <c r="Q201" i="8"/>
  <c r="P201" i="8"/>
  <c r="K201" i="8"/>
  <c r="I201" i="8"/>
  <c r="A201" i="8"/>
  <c r="U200" i="8"/>
  <c r="T200" i="8"/>
  <c r="R200" i="8"/>
  <c r="Q200" i="8"/>
  <c r="P200" i="8"/>
  <c r="K200" i="8"/>
  <c r="I200" i="8"/>
  <c r="A200" i="8"/>
  <c r="U199" i="8"/>
  <c r="T199" i="8"/>
  <c r="R199" i="8"/>
  <c r="Q199" i="8"/>
  <c r="P199" i="8"/>
  <c r="K199" i="8"/>
  <c r="I199" i="8"/>
  <c r="A199" i="8"/>
  <c r="U198" i="8"/>
  <c r="T198" i="8"/>
  <c r="R198" i="8"/>
  <c r="Q198" i="8"/>
  <c r="P198" i="8"/>
  <c r="K198" i="8"/>
  <c r="I198" i="8"/>
  <c r="A198" i="8"/>
  <c r="U197" i="8"/>
  <c r="T197" i="8"/>
  <c r="R197" i="8"/>
  <c r="Q197" i="8"/>
  <c r="P197" i="8"/>
  <c r="K197" i="8"/>
  <c r="I197" i="8"/>
  <c r="A197" i="8"/>
  <c r="U196" i="8"/>
  <c r="T196" i="8"/>
  <c r="R196" i="8"/>
  <c r="Q196" i="8"/>
  <c r="P196" i="8"/>
  <c r="K196" i="8"/>
  <c r="I196" i="8"/>
  <c r="A196" i="8"/>
  <c r="U195" i="8"/>
  <c r="T195" i="8"/>
  <c r="R195" i="8"/>
  <c r="Q195" i="8"/>
  <c r="P195" i="8"/>
  <c r="K195" i="8"/>
  <c r="I195" i="8"/>
  <c r="A195" i="8"/>
  <c r="U194" i="8"/>
  <c r="T194" i="8"/>
  <c r="R194" i="8"/>
  <c r="Q194" i="8"/>
  <c r="P194" i="8"/>
  <c r="K194" i="8"/>
  <c r="I194" i="8"/>
  <c r="A194" i="8"/>
  <c r="U193" i="8"/>
  <c r="T193" i="8"/>
  <c r="R193" i="8"/>
  <c r="Q193" i="8"/>
  <c r="P193" i="8"/>
  <c r="K193" i="8"/>
  <c r="I193" i="8"/>
  <c r="A193" i="8"/>
  <c r="U192" i="8"/>
  <c r="T192" i="8"/>
  <c r="R192" i="8"/>
  <c r="Q192" i="8"/>
  <c r="P192" i="8"/>
  <c r="K192" i="8"/>
  <c r="I192" i="8"/>
  <c r="A192" i="8"/>
  <c r="U191" i="8"/>
  <c r="T191" i="8"/>
  <c r="R191" i="8"/>
  <c r="Q191" i="8"/>
  <c r="P191" i="8"/>
  <c r="K191" i="8"/>
  <c r="I191" i="8"/>
  <c r="A191" i="8"/>
  <c r="U190" i="8"/>
  <c r="T190" i="8"/>
  <c r="R190" i="8"/>
  <c r="Q190" i="8"/>
  <c r="P190" i="8"/>
  <c r="K190" i="8"/>
  <c r="I190" i="8"/>
  <c r="A190" i="8"/>
  <c r="U189" i="8"/>
  <c r="T189" i="8"/>
  <c r="R189" i="8"/>
  <c r="Q189" i="8"/>
  <c r="P189" i="8"/>
  <c r="K189" i="8"/>
  <c r="I189" i="8"/>
  <c r="A189" i="8"/>
  <c r="U188" i="8"/>
  <c r="T188" i="8"/>
  <c r="R188" i="8"/>
  <c r="Q188" i="8"/>
  <c r="P188" i="8"/>
  <c r="K188" i="8"/>
  <c r="I188" i="8"/>
  <c r="A188" i="8"/>
  <c r="U187" i="8"/>
  <c r="T187" i="8"/>
  <c r="R187" i="8"/>
  <c r="Q187" i="8"/>
  <c r="P187" i="8"/>
  <c r="K187" i="8"/>
  <c r="I187" i="8"/>
  <c r="A187" i="8"/>
  <c r="U186" i="8"/>
  <c r="T186" i="8"/>
  <c r="R186" i="8"/>
  <c r="Q186" i="8"/>
  <c r="P186" i="8"/>
  <c r="K186" i="8"/>
  <c r="I186" i="8"/>
  <c r="A186" i="8"/>
  <c r="U185" i="8"/>
  <c r="T185" i="8"/>
  <c r="R185" i="8"/>
  <c r="Q185" i="8"/>
  <c r="P185" i="8"/>
  <c r="K185" i="8"/>
  <c r="I185" i="8"/>
  <c r="A185" i="8"/>
  <c r="U184" i="8"/>
  <c r="T184" i="8"/>
  <c r="R184" i="8"/>
  <c r="Q184" i="8"/>
  <c r="P184" i="8"/>
  <c r="K184" i="8"/>
  <c r="I184" i="8"/>
  <c r="A184" i="8"/>
  <c r="U183" i="8"/>
  <c r="T183" i="8"/>
  <c r="R183" i="8"/>
  <c r="Q183" i="8"/>
  <c r="P183" i="8"/>
  <c r="K183" i="8"/>
  <c r="I183" i="8"/>
  <c r="A183" i="8"/>
  <c r="U182" i="8"/>
  <c r="T182" i="8"/>
  <c r="R182" i="8"/>
  <c r="Q182" i="8"/>
  <c r="P182" i="8"/>
  <c r="K182" i="8"/>
  <c r="I182" i="8"/>
  <c r="A182" i="8"/>
  <c r="U181" i="8"/>
  <c r="T181" i="8"/>
  <c r="R181" i="8"/>
  <c r="Q181" i="8"/>
  <c r="P181" i="8"/>
  <c r="K181" i="8"/>
  <c r="I181" i="8"/>
  <c r="A181" i="8"/>
  <c r="U180" i="8"/>
  <c r="T180" i="8"/>
  <c r="R180" i="8"/>
  <c r="Q180" i="8"/>
  <c r="P180" i="8"/>
  <c r="K180" i="8"/>
  <c r="I180" i="8"/>
  <c r="A180" i="8"/>
  <c r="U179" i="8"/>
  <c r="T179" i="8"/>
  <c r="R179" i="8"/>
  <c r="Q179" i="8"/>
  <c r="P179" i="8"/>
  <c r="K179" i="8"/>
  <c r="I179" i="8"/>
  <c r="A179" i="8"/>
  <c r="U178" i="8"/>
  <c r="T178" i="8"/>
  <c r="R178" i="8"/>
  <c r="Q178" i="8"/>
  <c r="P178" i="8"/>
  <c r="K178" i="8"/>
  <c r="I178" i="8"/>
  <c r="A178" i="8"/>
  <c r="U177" i="8"/>
  <c r="T177" i="8"/>
  <c r="R177" i="8"/>
  <c r="Q177" i="8"/>
  <c r="P177" i="8"/>
  <c r="K177" i="8"/>
  <c r="I177" i="8"/>
  <c r="A177" i="8"/>
  <c r="U176" i="8"/>
  <c r="T176" i="8"/>
  <c r="R176" i="8"/>
  <c r="Q176" i="8"/>
  <c r="P176" i="8"/>
  <c r="K176" i="8"/>
  <c r="I176" i="8"/>
  <c r="A176" i="8"/>
  <c r="U175" i="8"/>
  <c r="T175" i="8"/>
  <c r="R175" i="8"/>
  <c r="Q175" i="8"/>
  <c r="P175" i="8"/>
  <c r="K175" i="8"/>
  <c r="I175" i="8"/>
  <c r="A175" i="8"/>
  <c r="U174" i="8"/>
  <c r="T174" i="8"/>
  <c r="R174" i="8"/>
  <c r="Q174" i="8"/>
  <c r="P174" i="8"/>
  <c r="K174" i="8"/>
  <c r="I174" i="8"/>
  <c r="A174" i="8"/>
  <c r="U173" i="8"/>
  <c r="T173" i="8"/>
  <c r="R173" i="8"/>
  <c r="Q173" i="8"/>
  <c r="P173" i="8"/>
  <c r="K173" i="8"/>
  <c r="I173" i="8"/>
  <c r="A173" i="8"/>
  <c r="U172" i="8"/>
  <c r="T172" i="8"/>
  <c r="R172" i="8"/>
  <c r="Q172" i="8"/>
  <c r="P172" i="8"/>
  <c r="K172" i="8"/>
  <c r="I172" i="8"/>
  <c r="A172" i="8"/>
  <c r="U171" i="8"/>
  <c r="T171" i="8"/>
  <c r="R171" i="8"/>
  <c r="Q171" i="8"/>
  <c r="P171" i="8"/>
  <c r="K171" i="8"/>
  <c r="I171" i="8"/>
  <c r="A171" i="8"/>
  <c r="U170" i="8"/>
  <c r="T170" i="8"/>
  <c r="R170" i="8"/>
  <c r="Q170" i="8"/>
  <c r="P170" i="8"/>
  <c r="K170" i="8"/>
  <c r="I170" i="8"/>
  <c r="A170" i="8"/>
  <c r="U169" i="8"/>
  <c r="T169" i="8"/>
  <c r="R169" i="8"/>
  <c r="Q169" i="8"/>
  <c r="P169" i="8"/>
  <c r="K169" i="8"/>
  <c r="I169" i="8"/>
  <c r="A169" i="8"/>
  <c r="U168" i="8"/>
  <c r="T168" i="8"/>
  <c r="R168" i="8"/>
  <c r="Q168" i="8"/>
  <c r="P168" i="8"/>
  <c r="K168" i="8"/>
  <c r="I168" i="8"/>
  <c r="A168" i="8"/>
  <c r="U167" i="8"/>
  <c r="T167" i="8"/>
  <c r="R167" i="8"/>
  <c r="Q167" i="8"/>
  <c r="P167" i="8"/>
  <c r="K167" i="8"/>
  <c r="I167" i="8"/>
  <c r="A167" i="8"/>
  <c r="U166" i="8"/>
  <c r="T166" i="8"/>
  <c r="R166" i="8"/>
  <c r="Q166" i="8"/>
  <c r="P166" i="8"/>
  <c r="K166" i="8"/>
  <c r="I166" i="8"/>
  <c r="A166" i="8"/>
  <c r="U165" i="8"/>
  <c r="T165" i="8"/>
  <c r="R165" i="8"/>
  <c r="Q165" i="8"/>
  <c r="P165" i="8"/>
  <c r="K165" i="8"/>
  <c r="I165" i="8"/>
  <c r="A165" i="8"/>
  <c r="U164" i="8"/>
  <c r="T164" i="8"/>
  <c r="R164" i="8"/>
  <c r="Q164" i="8"/>
  <c r="P164" i="8"/>
  <c r="K164" i="8"/>
  <c r="I164" i="8"/>
  <c r="A164" i="8"/>
  <c r="U163" i="8"/>
  <c r="T163" i="8"/>
  <c r="R163" i="8"/>
  <c r="Q163" i="8"/>
  <c r="P163" i="8"/>
  <c r="K163" i="8"/>
  <c r="I163" i="8"/>
  <c r="A163" i="8"/>
  <c r="U162" i="8"/>
  <c r="T162" i="8"/>
  <c r="R162" i="8"/>
  <c r="Q162" i="8"/>
  <c r="P162" i="8"/>
  <c r="K162" i="8"/>
  <c r="I162" i="8"/>
  <c r="A162" i="8"/>
  <c r="U161" i="8"/>
  <c r="T161" i="8"/>
  <c r="R161" i="8"/>
  <c r="Q161" i="8"/>
  <c r="P161" i="8"/>
  <c r="K161" i="8"/>
  <c r="I161" i="8"/>
  <c r="A161" i="8"/>
  <c r="U160" i="8"/>
  <c r="T160" i="8"/>
  <c r="R160" i="8"/>
  <c r="Q160" i="8"/>
  <c r="P160" i="8"/>
  <c r="K160" i="8"/>
  <c r="I160" i="8"/>
  <c r="A160" i="8"/>
  <c r="U159" i="8"/>
  <c r="T159" i="8"/>
  <c r="R159" i="8"/>
  <c r="Q159" i="8"/>
  <c r="P159" i="8"/>
  <c r="K159" i="8"/>
  <c r="I159" i="8"/>
  <c r="A159" i="8"/>
  <c r="U158" i="8"/>
  <c r="T158" i="8"/>
  <c r="R158" i="8"/>
  <c r="Q158" i="8"/>
  <c r="P158" i="8"/>
  <c r="K158" i="8"/>
  <c r="I158" i="8"/>
  <c r="A158" i="8"/>
  <c r="U157" i="8"/>
  <c r="T157" i="8"/>
  <c r="R157" i="8"/>
  <c r="Q157" i="8"/>
  <c r="P157" i="8"/>
  <c r="K157" i="8"/>
  <c r="I157" i="8"/>
  <c r="A157" i="8"/>
  <c r="U156" i="8"/>
  <c r="T156" i="8"/>
  <c r="R156" i="8"/>
  <c r="Q156" i="8"/>
  <c r="P156" i="8"/>
  <c r="K156" i="8"/>
  <c r="I156" i="8"/>
  <c r="A156" i="8"/>
  <c r="U155" i="8"/>
  <c r="T155" i="8"/>
  <c r="R155" i="8"/>
  <c r="Q155" i="8"/>
  <c r="P155" i="8"/>
  <c r="K155" i="8"/>
  <c r="I155" i="8"/>
  <c r="A155" i="8"/>
  <c r="U154" i="8"/>
  <c r="T154" i="8"/>
  <c r="R154" i="8"/>
  <c r="Q154" i="8"/>
  <c r="P154" i="8"/>
  <c r="K154" i="8"/>
  <c r="I154" i="8"/>
  <c r="A154" i="8"/>
  <c r="U153" i="8"/>
  <c r="T153" i="8"/>
  <c r="R153" i="8"/>
  <c r="Q153" i="8"/>
  <c r="P153" i="8"/>
  <c r="K153" i="8"/>
  <c r="I153" i="8"/>
  <c r="A153" i="8"/>
  <c r="U152" i="8"/>
  <c r="T152" i="8"/>
  <c r="R152" i="8"/>
  <c r="Q152" i="8"/>
  <c r="P152" i="8"/>
  <c r="K152" i="8"/>
  <c r="I152" i="8"/>
  <c r="A152" i="8"/>
  <c r="U151" i="8"/>
  <c r="T151" i="8"/>
  <c r="R151" i="8"/>
  <c r="Q151" i="8"/>
  <c r="P151" i="8"/>
  <c r="K151" i="8"/>
  <c r="I151" i="8"/>
  <c r="A151" i="8"/>
  <c r="U150" i="8"/>
  <c r="T150" i="8"/>
  <c r="R150" i="8"/>
  <c r="Q150" i="8"/>
  <c r="P150" i="8"/>
  <c r="K150" i="8"/>
  <c r="I150" i="8"/>
  <c r="A150" i="8"/>
  <c r="U149" i="8"/>
  <c r="T149" i="8"/>
  <c r="R149" i="8"/>
  <c r="Q149" i="8"/>
  <c r="P149" i="8"/>
  <c r="K149" i="8"/>
  <c r="I149" i="8"/>
  <c r="A149" i="8"/>
  <c r="U148" i="8"/>
  <c r="T148" i="8"/>
  <c r="R148" i="8"/>
  <c r="Q148" i="8"/>
  <c r="P148" i="8"/>
  <c r="K148" i="8"/>
  <c r="I148" i="8"/>
  <c r="A148" i="8"/>
  <c r="U147" i="8"/>
  <c r="T147" i="8"/>
  <c r="R147" i="8"/>
  <c r="Q147" i="8"/>
  <c r="P147" i="8"/>
  <c r="K147" i="8"/>
  <c r="I147" i="8"/>
  <c r="A147" i="8"/>
  <c r="U146" i="8"/>
  <c r="T146" i="8"/>
  <c r="R146" i="8"/>
  <c r="Q146" i="8"/>
  <c r="P146" i="8"/>
  <c r="K146" i="8"/>
  <c r="I146" i="8"/>
  <c r="A146" i="8"/>
  <c r="U145" i="8"/>
  <c r="T145" i="8"/>
  <c r="R145" i="8"/>
  <c r="Q145" i="8"/>
  <c r="P145" i="8"/>
  <c r="K145" i="8"/>
  <c r="I145" i="8"/>
  <c r="A145" i="8"/>
  <c r="U144" i="8"/>
  <c r="T144" i="8"/>
  <c r="R144" i="8"/>
  <c r="Q144" i="8"/>
  <c r="P144" i="8"/>
  <c r="K144" i="8"/>
  <c r="I144" i="8"/>
  <c r="A144" i="8"/>
  <c r="U143" i="8"/>
  <c r="T143" i="8"/>
  <c r="R143" i="8"/>
  <c r="Q143" i="8"/>
  <c r="P143" i="8"/>
  <c r="K143" i="8"/>
  <c r="I143" i="8"/>
  <c r="A143" i="8"/>
  <c r="U142" i="8"/>
  <c r="T142" i="8"/>
  <c r="R142" i="8"/>
  <c r="Q142" i="8"/>
  <c r="P142" i="8"/>
  <c r="K142" i="8"/>
  <c r="I142" i="8"/>
  <c r="A142" i="8"/>
  <c r="U141" i="8"/>
  <c r="T141" i="8"/>
  <c r="R141" i="8"/>
  <c r="Q141" i="8"/>
  <c r="P141" i="8"/>
  <c r="K141" i="8"/>
  <c r="I141" i="8"/>
  <c r="A141" i="8"/>
  <c r="U140" i="8"/>
  <c r="T140" i="8"/>
  <c r="R140" i="8"/>
  <c r="Q140" i="8"/>
  <c r="P140" i="8"/>
  <c r="K140" i="8"/>
  <c r="I140" i="8"/>
  <c r="A140" i="8"/>
  <c r="U139" i="8"/>
  <c r="T139" i="8"/>
  <c r="R139" i="8"/>
  <c r="Q139" i="8"/>
  <c r="P139" i="8"/>
  <c r="K139" i="8"/>
  <c r="I139" i="8"/>
  <c r="A139" i="8"/>
  <c r="U138" i="8"/>
  <c r="T138" i="8"/>
  <c r="R138" i="8"/>
  <c r="Q138" i="8"/>
  <c r="P138" i="8"/>
  <c r="K138" i="8"/>
  <c r="I138" i="8"/>
  <c r="A138" i="8"/>
  <c r="U137" i="8"/>
  <c r="T137" i="8"/>
  <c r="R137" i="8"/>
  <c r="Q137" i="8"/>
  <c r="P137" i="8"/>
  <c r="K137" i="8"/>
  <c r="I137" i="8"/>
  <c r="A137" i="8"/>
  <c r="U136" i="8"/>
  <c r="T136" i="8"/>
  <c r="R136" i="8"/>
  <c r="Q136" i="8"/>
  <c r="P136" i="8"/>
  <c r="K136" i="8"/>
  <c r="I136" i="8"/>
  <c r="A136" i="8"/>
  <c r="U135" i="8"/>
  <c r="T135" i="8"/>
  <c r="R135" i="8"/>
  <c r="Q135" i="8"/>
  <c r="P135" i="8"/>
  <c r="K135" i="8"/>
  <c r="I135" i="8"/>
  <c r="A135" i="8"/>
  <c r="U134" i="8"/>
  <c r="T134" i="8"/>
  <c r="R134" i="8"/>
  <c r="Q134" i="8"/>
  <c r="P134" i="8"/>
  <c r="K134" i="8"/>
  <c r="I134" i="8"/>
  <c r="A134" i="8"/>
  <c r="U133" i="8"/>
  <c r="T133" i="8"/>
  <c r="R133" i="8"/>
  <c r="Q133" i="8"/>
  <c r="P133" i="8"/>
  <c r="K133" i="8"/>
  <c r="I133" i="8"/>
  <c r="A133" i="8"/>
  <c r="U132" i="8"/>
  <c r="T132" i="8"/>
  <c r="R132" i="8"/>
  <c r="Q132" i="8"/>
  <c r="P132" i="8"/>
  <c r="K132" i="8"/>
  <c r="I132" i="8"/>
  <c r="A132" i="8"/>
  <c r="U131" i="8"/>
  <c r="T131" i="8"/>
  <c r="R131" i="8"/>
  <c r="Q131" i="8"/>
  <c r="P131" i="8"/>
  <c r="K131" i="8"/>
  <c r="I131" i="8"/>
  <c r="A131" i="8"/>
  <c r="U130" i="8"/>
  <c r="T130" i="8"/>
  <c r="R130" i="8"/>
  <c r="Q130" i="8"/>
  <c r="P130" i="8"/>
  <c r="K130" i="8"/>
  <c r="I130" i="8"/>
  <c r="A130" i="8"/>
  <c r="U129" i="8"/>
  <c r="T129" i="8"/>
  <c r="R129" i="8"/>
  <c r="Q129" i="8"/>
  <c r="P129" i="8"/>
  <c r="K129" i="8"/>
  <c r="I129" i="8"/>
  <c r="A129" i="8"/>
  <c r="U128" i="8"/>
  <c r="T128" i="8"/>
  <c r="R128" i="8"/>
  <c r="Q128" i="8"/>
  <c r="P128" i="8"/>
  <c r="K128" i="8"/>
  <c r="I128" i="8"/>
  <c r="A128" i="8"/>
  <c r="U127" i="8"/>
  <c r="T127" i="8"/>
  <c r="R127" i="8"/>
  <c r="Q127" i="8"/>
  <c r="P127" i="8"/>
  <c r="K127" i="8"/>
  <c r="I127" i="8"/>
  <c r="A127" i="8"/>
  <c r="U126" i="8"/>
  <c r="T126" i="8"/>
  <c r="R126" i="8"/>
  <c r="Q126" i="8"/>
  <c r="P126" i="8"/>
  <c r="K126" i="8"/>
  <c r="I126" i="8"/>
  <c r="A126" i="8"/>
  <c r="U125" i="8"/>
  <c r="T125" i="8"/>
  <c r="R125" i="8"/>
  <c r="Q125" i="8"/>
  <c r="P125" i="8"/>
  <c r="K125" i="8"/>
  <c r="I125" i="8"/>
  <c r="A125" i="8"/>
  <c r="U124" i="8"/>
  <c r="T124" i="8"/>
  <c r="R124" i="8"/>
  <c r="Q124" i="8"/>
  <c r="P124" i="8"/>
  <c r="K124" i="8"/>
  <c r="I124" i="8"/>
  <c r="A124" i="8"/>
  <c r="U123" i="8"/>
  <c r="T123" i="8"/>
  <c r="R123" i="8"/>
  <c r="Q123" i="8"/>
  <c r="P123" i="8"/>
  <c r="K123" i="8"/>
  <c r="I123" i="8"/>
  <c r="A123" i="8"/>
  <c r="U122" i="8"/>
  <c r="T122" i="8"/>
  <c r="R122" i="8"/>
  <c r="Q122" i="8"/>
  <c r="P122" i="8"/>
  <c r="K122" i="8"/>
  <c r="I122" i="8"/>
  <c r="A122" i="8"/>
  <c r="U121" i="8"/>
  <c r="T121" i="8"/>
  <c r="R121" i="8"/>
  <c r="Q121" i="8"/>
  <c r="P121" i="8"/>
  <c r="K121" i="8"/>
  <c r="I121" i="8"/>
  <c r="A121" i="8"/>
  <c r="U120" i="8"/>
  <c r="T120" i="8"/>
  <c r="R120" i="8"/>
  <c r="Q120" i="8"/>
  <c r="P120" i="8"/>
  <c r="K120" i="8"/>
  <c r="I120" i="8"/>
  <c r="A120" i="8"/>
  <c r="U119" i="8"/>
  <c r="T119" i="8"/>
  <c r="R119" i="8"/>
  <c r="Q119" i="8"/>
  <c r="P119" i="8"/>
  <c r="K119" i="8"/>
  <c r="I119" i="8"/>
  <c r="A119" i="8"/>
  <c r="U118" i="8"/>
  <c r="T118" i="8"/>
  <c r="R118" i="8"/>
  <c r="Q118" i="8"/>
  <c r="P118" i="8"/>
  <c r="K118" i="8"/>
  <c r="I118" i="8"/>
  <c r="A118" i="8"/>
  <c r="U117" i="8"/>
  <c r="T117" i="8"/>
  <c r="R117" i="8"/>
  <c r="Q117" i="8"/>
  <c r="P117" i="8"/>
  <c r="K117" i="8"/>
  <c r="I117" i="8"/>
  <c r="A117" i="8"/>
  <c r="U116" i="8"/>
  <c r="T116" i="8"/>
  <c r="R116" i="8"/>
  <c r="Q116" i="8"/>
  <c r="P116" i="8"/>
  <c r="K116" i="8"/>
  <c r="I116" i="8"/>
  <c r="A116" i="8"/>
  <c r="U115" i="8"/>
  <c r="T115" i="8"/>
  <c r="R115" i="8"/>
  <c r="Q115" i="8"/>
  <c r="P115" i="8"/>
  <c r="K115" i="8"/>
  <c r="I115" i="8"/>
  <c r="A115" i="8"/>
  <c r="U114" i="8"/>
  <c r="T114" i="8"/>
  <c r="R114" i="8"/>
  <c r="Q114" i="8"/>
  <c r="P114" i="8"/>
  <c r="K114" i="8"/>
  <c r="I114" i="8"/>
  <c r="A114" i="8"/>
  <c r="U113" i="8"/>
  <c r="T113" i="8"/>
  <c r="R113" i="8"/>
  <c r="Q113" i="8"/>
  <c r="P113" i="8"/>
  <c r="K113" i="8"/>
  <c r="I113" i="8"/>
  <c r="A113" i="8"/>
  <c r="U112" i="8"/>
  <c r="T112" i="8"/>
  <c r="R112" i="8"/>
  <c r="Q112" i="8"/>
  <c r="P112" i="8"/>
  <c r="K112" i="8"/>
  <c r="I112" i="8"/>
  <c r="A112" i="8"/>
  <c r="U111" i="8"/>
  <c r="T111" i="8"/>
  <c r="R111" i="8"/>
  <c r="Q111" i="8"/>
  <c r="P111" i="8"/>
  <c r="K111" i="8"/>
  <c r="I111" i="8"/>
  <c r="A111" i="8"/>
  <c r="U110" i="8"/>
  <c r="T110" i="8"/>
  <c r="R110" i="8"/>
  <c r="Q110" i="8"/>
  <c r="P110" i="8"/>
  <c r="K110" i="8"/>
  <c r="I110" i="8"/>
  <c r="A110" i="8"/>
  <c r="U109" i="8"/>
  <c r="T109" i="8"/>
  <c r="R109" i="8"/>
  <c r="Q109" i="8"/>
  <c r="P109" i="8"/>
  <c r="K109" i="8"/>
  <c r="I109" i="8"/>
  <c r="A109" i="8"/>
  <c r="U108" i="8"/>
  <c r="T108" i="8"/>
  <c r="R108" i="8"/>
  <c r="Q108" i="8"/>
  <c r="P108" i="8"/>
  <c r="K108" i="8"/>
  <c r="I108" i="8"/>
  <c r="A108" i="8"/>
  <c r="U107" i="8"/>
  <c r="T107" i="8"/>
  <c r="R107" i="8"/>
  <c r="Q107" i="8"/>
  <c r="P107" i="8"/>
  <c r="K107" i="8"/>
  <c r="I107" i="8"/>
  <c r="A107" i="8"/>
  <c r="U106" i="8"/>
  <c r="T106" i="8"/>
  <c r="R106" i="8"/>
  <c r="Q106" i="8"/>
  <c r="P106" i="8"/>
  <c r="K106" i="8"/>
  <c r="I106" i="8"/>
  <c r="A106" i="8"/>
  <c r="U105" i="8"/>
  <c r="T105" i="8"/>
  <c r="R105" i="8"/>
  <c r="Q105" i="8"/>
  <c r="P105" i="8"/>
  <c r="K105" i="8"/>
  <c r="I105" i="8"/>
  <c r="A105" i="8"/>
  <c r="U104" i="8"/>
  <c r="T104" i="8"/>
  <c r="R104" i="8"/>
  <c r="Q104" i="8"/>
  <c r="P104" i="8"/>
  <c r="K104" i="8"/>
  <c r="I104" i="8"/>
  <c r="A104" i="8"/>
  <c r="U103" i="8"/>
  <c r="T103" i="8"/>
  <c r="R103" i="8"/>
  <c r="Q103" i="8"/>
  <c r="P103" i="8"/>
  <c r="K103" i="8"/>
  <c r="I103" i="8"/>
  <c r="A103" i="8"/>
  <c r="U102" i="8"/>
  <c r="T102" i="8"/>
  <c r="R102" i="8"/>
  <c r="Q102" i="8"/>
  <c r="P102" i="8"/>
  <c r="K102" i="8"/>
  <c r="I102" i="8"/>
  <c r="A102" i="8"/>
  <c r="U101" i="8"/>
  <c r="T101" i="8"/>
  <c r="R101" i="8"/>
  <c r="Q101" i="8"/>
  <c r="P101" i="8"/>
  <c r="K101" i="8"/>
  <c r="I101" i="8"/>
  <c r="A101" i="8"/>
  <c r="U100" i="8"/>
  <c r="T100" i="8"/>
  <c r="R100" i="8"/>
  <c r="Q100" i="8"/>
  <c r="P100" i="8"/>
  <c r="K100" i="8"/>
  <c r="I100" i="8"/>
  <c r="A100" i="8"/>
  <c r="U99" i="8"/>
  <c r="T99" i="8"/>
  <c r="R99" i="8"/>
  <c r="Q99" i="8"/>
  <c r="P99" i="8"/>
  <c r="K99" i="8"/>
  <c r="I99" i="8"/>
  <c r="A99" i="8"/>
  <c r="U98" i="8"/>
  <c r="T98" i="8"/>
  <c r="R98" i="8"/>
  <c r="Q98" i="8"/>
  <c r="P98" i="8"/>
  <c r="K98" i="8"/>
  <c r="I98" i="8"/>
  <c r="A98" i="8"/>
  <c r="U97" i="8"/>
  <c r="T97" i="8"/>
  <c r="R97" i="8"/>
  <c r="Q97" i="8"/>
  <c r="P97" i="8"/>
  <c r="K97" i="8"/>
  <c r="I97" i="8"/>
  <c r="A97" i="8"/>
  <c r="U96" i="8"/>
  <c r="T96" i="8"/>
  <c r="R96" i="8"/>
  <c r="Q96" i="8"/>
  <c r="P96" i="8"/>
  <c r="K96" i="8"/>
  <c r="I96" i="8"/>
  <c r="A96" i="8"/>
  <c r="U95" i="8"/>
  <c r="T95" i="8"/>
  <c r="R95" i="8"/>
  <c r="Q95" i="8"/>
  <c r="P95" i="8"/>
  <c r="K95" i="8"/>
  <c r="I95" i="8"/>
  <c r="A95" i="8"/>
  <c r="U94" i="8"/>
  <c r="T94" i="8"/>
  <c r="R94" i="8"/>
  <c r="Q94" i="8"/>
  <c r="P94" i="8"/>
  <c r="K94" i="8"/>
  <c r="I94" i="8"/>
  <c r="A94" i="8"/>
  <c r="U93" i="8"/>
  <c r="T93" i="8"/>
  <c r="R93" i="8"/>
  <c r="Q93" i="8"/>
  <c r="P93" i="8"/>
  <c r="K93" i="8"/>
  <c r="I93" i="8"/>
  <c r="A93" i="8"/>
  <c r="U92" i="8"/>
  <c r="T92" i="8"/>
  <c r="R92" i="8"/>
  <c r="Q92" i="8"/>
  <c r="P92" i="8"/>
  <c r="K92" i="8"/>
  <c r="I92" i="8"/>
  <c r="A92" i="8"/>
  <c r="U91" i="8"/>
  <c r="T91" i="8"/>
  <c r="R91" i="8"/>
  <c r="Q91" i="8"/>
  <c r="P91" i="8"/>
  <c r="K91" i="8"/>
  <c r="I91" i="8"/>
  <c r="A91" i="8"/>
  <c r="U90" i="8"/>
  <c r="T90" i="8"/>
  <c r="R90" i="8"/>
  <c r="Q90" i="8"/>
  <c r="P90" i="8"/>
  <c r="K90" i="8"/>
  <c r="I90" i="8"/>
  <c r="A90" i="8"/>
  <c r="U89" i="8"/>
  <c r="T89" i="8"/>
  <c r="R89" i="8"/>
  <c r="Q89" i="8"/>
  <c r="P89" i="8"/>
  <c r="K89" i="8"/>
  <c r="I89" i="8"/>
  <c r="A89" i="8"/>
  <c r="U88" i="8"/>
  <c r="T88" i="8"/>
  <c r="R88" i="8"/>
  <c r="Q88" i="8"/>
  <c r="P88" i="8"/>
  <c r="K88" i="8"/>
  <c r="I88" i="8"/>
  <c r="A88" i="8"/>
  <c r="U87" i="8"/>
  <c r="T87" i="8"/>
  <c r="R87" i="8"/>
  <c r="Q87" i="8"/>
  <c r="P87" i="8"/>
  <c r="K87" i="8"/>
  <c r="I87" i="8"/>
  <c r="A87" i="8"/>
  <c r="U86" i="8"/>
  <c r="T86" i="8"/>
  <c r="R86" i="8"/>
  <c r="Q86" i="8"/>
  <c r="P86" i="8"/>
  <c r="K86" i="8"/>
  <c r="I86" i="8"/>
  <c r="A86" i="8"/>
  <c r="U85" i="8"/>
  <c r="T85" i="8"/>
  <c r="R85" i="8"/>
  <c r="Q85" i="8"/>
  <c r="P85" i="8"/>
  <c r="K85" i="8"/>
  <c r="I85" i="8"/>
  <c r="A85" i="8"/>
  <c r="U84" i="8"/>
  <c r="T84" i="8"/>
  <c r="R84" i="8"/>
  <c r="Q84" i="8"/>
  <c r="P84" i="8"/>
  <c r="K84" i="8"/>
  <c r="I84" i="8"/>
  <c r="A84" i="8"/>
  <c r="U83" i="8"/>
  <c r="T83" i="8"/>
  <c r="R83" i="8"/>
  <c r="Q83" i="8"/>
  <c r="P83" i="8"/>
  <c r="K83" i="8"/>
  <c r="I83" i="8"/>
  <c r="A83" i="8"/>
  <c r="U82" i="8"/>
  <c r="T82" i="8"/>
  <c r="R82" i="8"/>
  <c r="Q82" i="8"/>
  <c r="P82" i="8"/>
  <c r="K82" i="8"/>
  <c r="I82" i="8"/>
  <c r="A82" i="8"/>
  <c r="U81" i="8"/>
  <c r="T81" i="8"/>
  <c r="R81" i="8"/>
  <c r="Q81" i="8"/>
  <c r="P81" i="8"/>
  <c r="K81" i="8"/>
  <c r="I81" i="8"/>
  <c r="A81" i="8"/>
  <c r="U80" i="8"/>
  <c r="T80" i="8"/>
  <c r="R80" i="8"/>
  <c r="Q80" i="8"/>
  <c r="P80" i="8"/>
  <c r="K80" i="8"/>
  <c r="I80" i="8"/>
  <c r="A80" i="8"/>
  <c r="U79" i="8"/>
  <c r="T79" i="8"/>
  <c r="R79" i="8"/>
  <c r="Q79" i="8"/>
  <c r="P79" i="8"/>
  <c r="K79" i="8"/>
  <c r="I79" i="8"/>
  <c r="A79" i="8"/>
  <c r="U78" i="8"/>
  <c r="T78" i="8"/>
  <c r="R78" i="8"/>
  <c r="Q78" i="8"/>
  <c r="P78" i="8"/>
  <c r="K78" i="8"/>
  <c r="I78" i="8"/>
  <c r="A78" i="8"/>
  <c r="U77" i="8"/>
  <c r="T77" i="8"/>
  <c r="R77" i="8"/>
  <c r="Q77" i="8"/>
  <c r="P77" i="8"/>
  <c r="K77" i="8"/>
  <c r="I77" i="8"/>
  <c r="A77" i="8"/>
  <c r="U76" i="8"/>
  <c r="T76" i="8"/>
  <c r="R76" i="8"/>
  <c r="Q76" i="8"/>
  <c r="P76" i="8"/>
  <c r="K76" i="8"/>
  <c r="I76" i="8"/>
  <c r="A76" i="8"/>
  <c r="U75" i="8"/>
  <c r="T75" i="8"/>
  <c r="R75" i="8"/>
  <c r="Q75" i="8"/>
  <c r="P75" i="8"/>
  <c r="K75" i="8"/>
  <c r="I75" i="8"/>
  <c r="A75" i="8"/>
  <c r="U74" i="8"/>
  <c r="T74" i="8"/>
  <c r="R74" i="8"/>
  <c r="Q74" i="8"/>
  <c r="P74" i="8"/>
  <c r="K74" i="8"/>
  <c r="I74" i="8"/>
  <c r="A74" i="8"/>
  <c r="U73" i="8"/>
  <c r="T73" i="8"/>
  <c r="R73" i="8"/>
  <c r="Q73" i="8"/>
  <c r="P73" i="8"/>
  <c r="K73" i="8"/>
  <c r="I73" i="8"/>
  <c r="A73" i="8"/>
  <c r="U72" i="8"/>
  <c r="T72" i="8"/>
  <c r="R72" i="8"/>
  <c r="Q72" i="8"/>
  <c r="P72" i="8"/>
  <c r="K72" i="8"/>
  <c r="I72" i="8"/>
  <c r="A72" i="8"/>
  <c r="U71" i="8"/>
  <c r="T71" i="8"/>
  <c r="R71" i="8"/>
  <c r="Q71" i="8"/>
  <c r="P71" i="8"/>
  <c r="K71" i="8"/>
  <c r="I71" i="8"/>
  <c r="A71" i="8"/>
  <c r="U70" i="8"/>
  <c r="T70" i="8"/>
  <c r="R70" i="8"/>
  <c r="Q70" i="8"/>
  <c r="P70" i="8"/>
  <c r="K70" i="8"/>
  <c r="I70" i="8"/>
  <c r="A70" i="8"/>
  <c r="U69" i="8"/>
  <c r="T69" i="8"/>
  <c r="R69" i="8"/>
  <c r="Q69" i="8"/>
  <c r="P69" i="8"/>
  <c r="K69" i="8"/>
  <c r="I69" i="8"/>
  <c r="A69" i="8"/>
  <c r="U68" i="8"/>
  <c r="T68" i="8"/>
  <c r="R68" i="8"/>
  <c r="Q68" i="8"/>
  <c r="P68" i="8"/>
  <c r="K68" i="8"/>
  <c r="I68" i="8"/>
  <c r="A68" i="8"/>
  <c r="U67" i="8"/>
  <c r="T67" i="8"/>
  <c r="R67" i="8"/>
  <c r="Q67" i="8"/>
  <c r="P67" i="8"/>
  <c r="K67" i="8"/>
  <c r="I67" i="8"/>
  <c r="A67" i="8"/>
  <c r="U66" i="8"/>
  <c r="T66" i="8"/>
  <c r="R66" i="8"/>
  <c r="Q66" i="8"/>
  <c r="P66" i="8"/>
  <c r="K66" i="8"/>
  <c r="I66" i="8"/>
  <c r="A66" i="8"/>
  <c r="U65" i="8"/>
  <c r="T65" i="8"/>
  <c r="R65" i="8"/>
  <c r="Q65" i="8"/>
  <c r="P65" i="8"/>
  <c r="K65" i="8"/>
  <c r="I65" i="8"/>
  <c r="A65" i="8"/>
  <c r="U64" i="8"/>
  <c r="T64" i="8"/>
  <c r="R64" i="8"/>
  <c r="Q64" i="8"/>
  <c r="P64" i="8"/>
  <c r="K64" i="8"/>
  <c r="I64" i="8"/>
  <c r="A64" i="8"/>
  <c r="U63" i="8"/>
  <c r="T63" i="8"/>
  <c r="R63" i="8"/>
  <c r="Q63" i="8"/>
  <c r="P63" i="8"/>
  <c r="K63" i="8"/>
  <c r="I63" i="8"/>
  <c r="A63" i="8"/>
  <c r="U62" i="8"/>
  <c r="T62" i="8"/>
  <c r="R62" i="8"/>
  <c r="Q62" i="8"/>
  <c r="P62" i="8"/>
  <c r="K62" i="8"/>
  <c r="I62" i="8"/>
  <c r="A62" i="8"/>
  <c r="U61" i="8"/>
  <c r="T61" i="8"/>
  <c r="R61" i="8"/>
  <c r="Q61" i="8"/>
  <c r="P61" i="8"/>
  <c r="K61" i="8"/>
  <c r="I61" i="8"/>
  <c r="A61" i="8"/>
  <c r="U60" i="8"/>
  <c r="T60" i="8"/>
  <c r="R60" i="8"/>
  <c r="Q60" i="8"/>
  <c r="P60" i="8"/>
  <c r="K60" i="8"/>
  <c r="I60" i="8"/>
  <c r="A60" i="8"/>
  <c r="U59" i="8"/>
  <c r="T59" i="8"/>
  <c r="R59" i="8"/>
  <c r="Q59" i="8"/>
  <c r="P59" i="8"/>
  <c r="K59" i="8"/>
  <c r="I59" i="8"/>
  <c r="A59" i="8"/>
  <c r="U58" i="8"/>
  <c r="T58" i="8"/>
  <c r="R58" i="8"/>
  <c r="Q58" i="8"/>
  <c r="P58" i="8"/>
  <c r="K58" i="8"/>
  <c r="I58" i="8"/>
  <c r="A58" i="8"/>
  <c r="U57" i="8"/>
  <c r="T57" i="8"/>
  <c r="R57" i="8"/>
  <c r="Q57" i="8"/>
  <c r="P57" i="8"/>
  <c r="K57" i="8"/>
  <c r="I57" i="8"/>
  <c r="A57" i="8"/>
  <c r="U56" i="8"/>
  <c r="T56" i="8"/>
  <c r="R56" i="8"/>
  <c r="Q56" i="8"/>
  <c r="P56" i="8"/>
  <c r="K56" i="8"/>
  <c r="I56" i="8"/>
  <c r="A56" i="8"/>
  <c r="U55" i="8"/>
  <c r="T55" i="8"/>
  <c r="R55" i="8"/>
  <c r="Q55" i="8"/>
  <c r="P55" i="8"/>
  <c r="K55" i="8"/>
  <c r="I55" i="8"/>
  <c r="A55" i="8"/>
  <c r="U54" i="8"/>
  <c r="T54" i="8"/>
  <c r="R54" i="8"/>
  <c r="Q54" i="8"/>
  <c r="P54" i="8"/>
  <c r="K54" i="8"/>
  <c r="I54" i="8"/>
  <c r="A54" i="8"/>
  <c r="U53" i="8"/>
  <c r="T53" i="8"/>
  <c r="R53" i="8"/>
  <c r="Q53" i="8"/>
  <c r="P53" i="8"/>
  <c r="K53" i="8"/>
  <c r="I53" i="8"/>
  <c r="A53" i="8"/>
  <c r="U52" i="8"/>
  <c r="T52" i="8"/>
  <c r="R52" i="8"/>
  <c r="Q52" i="8"/>
  <c r="P52" i="8"/>
  <c r="K52" i="8"/>
  <c r="I52" i="8"/>
  <c r="A52" i="8"/>
  <c r="U51" i="8"/>
  <c r="T51" i="8"/>
  <c r="R51" i="8"/>
  <c r="Q51" i="8"/>
  <c r="P51" i="8"/>
  <c r="K51" i="8"/>
  <c r="I51" i="8"/>
  <c r="A51" i="8"/>
  <c r="U50" i="8"/>
  <c r="T50" i="8"/>
  <c r="R50" i="8"/>
  <c r="Q50" i="8"/>
  <c r="P50" i="8"/>
  <c r="K50" i="8"/>
  <c r="I50" i="8"/>
  <c r="A50" i="8"/>
  <c r="U49" i="8"/>
  <c r="T49" i="8"/>
  <c r="R49" i="8"/>
  <c r="Q49" i="8"/>
  <c r="P49" i="8"/>
  <c r="K49" i="8"/>
  <c r="I49" i="8"/>
  <c r="A49" i="8"/>
  <c r="U48" i="8"/>
  <c r="T48" i="8"/>
  <c r="R48" i="8"/>
  <c r="Q48" i="8"/>
  <c r="P48" i="8"/>
  <c r="K48" i="8"/>
  <c r="I48" i="8"/>
  <c r="A48" i="8"/>
  <c r="U47" i="8"/>
  <c r="T47" i="8"/>
  <c r="R47" i="8"/>
  <c r="Q47" i="8"/>
  <c r="P47" i="8"/>
  <c r="K47" i="8"/>
  <c r="I47" i="8"/>
  <c r="A47" i="8"/>
  <c r="U46" i="8"/>
  <c r="T46" i="8"/>
  <c r="R46" i="8"/>
  <c r="Q46" i="8"/>
  <c r="P46" i="8"/>
  <c r="K46" i="8"/>
  <c r="I46" i="8"/>
  <c r="A46" i="8"/>
  <c r="U45" i="8"/>
  <c r="T45" i="8"/>
  <c r="R45" i="8"/>
  <c r="Q45" i="8"/>
  <c r="P45" i="8"/>
  <c r="K45" i="8"/>
  <c r="I45" i="8"/>
  <c r="A45" i="8"/>
  <c r="U44" i="8"/>
  <c r="T44" i="8"/>
  <c r="R44" i="8"/>
  <c r="Q44" i="8"/>
  <c r="P44" i="8"/>
  <c r="K44" i="8"/>
  <c r="I44" i="8"/>
  <c r="A44" i="8"/>
  <c r="U43" i="8"/>
  <c r="T43" i="8"/>
  <c r="R43" i="8"/>
  <c r="Q43" i="8"/>
  <c r="P43" i="8"/>
  <c r="K43" i="8"/>
  <c r="I43" i="8"/>
  <c r="A43" i="8"/>
  <c r="U42" i="8"/>
  <c r="T42" i="8"/>
  <c r="R42" i="8"/>
  <c r="Q42" i="8"/>
  <c r="P42" i="8"/>
  <c r="K42" i="8"/>
  <c r="I42" i="8"/>
  <c r="A42" i="8"/>
  <c r="U41" i="8"/>
  <c r="T41" i="8"/>
  <c r="R41" i="8"/>
  <c r="Q41" i="8"/>
  <c r="P41" i="8"/>
  <c r="K41" i="8"/>
  <c r="I41" i="8"/>
  <c r="A41" i="8"/>
  <c r="U40" i="8"/>
  <c r="T40" i="8"/>
  <c r="R40" i="8"/>
  <c r="Q40" i="8"/>
  <c r="P40" i="8"/>
  <c r="K40" i="8"/>
  <c r="I40" i="8"/>
  <c r="A40" i="8"/>
  <c r="U39" i="8"/>
  <c r="T39" i="8"/>
  <c r="R39" i="8"/>
  <c r="Q39" i="8"/>
  <c r="P39" i="8"/>
  <c r="K39" i="8"/>
  <c r="I39" i="8"/>
  <c r="A39" i="8"/>
  <c r="U38" i="8"/>
  <c r="T38" i="8"/>
  <c r="R38" i="8"/>
  <c r="Q38" i="8"/>
  <c r="P38" i="8"/>
  <c r="K38" i="8"/>
  <c r="I38" i="8"/>
  <c r="A38" i="8"/>
  <c r="U37" i="8"/>
  <c r="T37" i="8"/>
  <c r="R37" i="8"/>
  <c r="Q37" i="8"/>
  <c r="P37" i="8"/>
  <c r="K37" i="8"/>
  <c r="I37" i="8"/>
  <c r="A37" i="8"/>
  <c r="U36" i="8"/>
  <c r="T36" i="8"/>
  <c r="R36" i="8"/>
  <c r="Q36" i="8"/>
  <c r="P36" i="8"/>
  <c r="K36" i="8"/>
  <c r="I36" i="8"/>
  <c r="A36" i="8"/>
  <c r="U35" i="8"/>
  <c r="T35" i="8"/>
  <c r="R35" i="8"/>
  <c r="Q35" i="8"/>
  <c r="P35" i="8"/>
  <c r="K35" i="8"/>
  <c r="I35" i="8"/>
  <c r="A35" i="8"/>
  <c r="U34" i="8"/>
  <c r="T34" i="8"/>
  <c r="R34" i="8"/>
  <c r="Q34" i="8"/>
  <c r="P34" i="8"/>
  <c r="K34" i="8"/>
  <c r="I34" i="8"/>
  <c r="A34" i="8"/>
  <c r="U33" i="8"/>
  <c r="T33" i="8"/>
  <c r="R33" i="8"/>
  <c r="Q33" i="8"/>
  <c r="P33" i="8"/>
  <c r="K33" i="8"/>
  <c r="I33" i="8"/>
  <c r="A33" i="8"/>
  <c r="U32" i="8"/>
  <c r="T32" i="8"/>
  <c r="R32" i="8"/>
  <c r="Q32" i="8"/>
  <c r="P32" i="8"/>
  <c r="K32" i="8"/>
  <c r="I32" i="8"/>
  <c r="A32" i="8"/>
  <c r="U31" i="8"/>
  <c r="T31" i="8"/>
  <c r="R31" i="8"/>
  <c r="Q31" i="8"/>
  <c r="P31" i="8"/>
  <c r="K31" i="8"/>
  <c r="I31" i="8"/>
  <c r="A31" i="8"/>
  <c r="U30" i="8"/>
  <c r="T30" i="8"/>
  <c r="R30" i="8"/>
  <c r="Q30" i="8"/>
  <c r="P30" i="8"/>
  <c r="K30" i="8"/>
  <c r="I30" i="8"/>
  <c r="A30" i="8"/>
  <c r="U29" i="8"/>
  <c r="T29" i="8"/>
  <c r="R29" i="8"/>
  <c r="Q29" i="8"/>
  <c r="P29" i="8"/>
  <c r="K29" i="8"/>
  <c r="I29" i="8"/>
  <c r="A29" i="8"/>
  <c r="U28" i="8"/>
  <c r="T28" i="8"/>
  <c r="R28" i="8"/>
  <c r="Q28" i="8"/>
  <c r="P28" i="8"/>
  <c r="K28" i="8"/>
  <c r="I28" i="8"/>
  <c r="A28" i="8"/>
  <c r="U27" i="8"/>
  <c r="T27" i="8"/>
  <c r="R27" i="8"/>
  <c r="Q27" i="8"/>
  <c r="P27" i="8"/>
  <c r="K27" i="8"/>
  <c r="I27" i="8"/>
  <c r="A27" i="8"/>
  <c r="U26" i="8"/>
  <c r="T26" i="8"/>
  <c r="R26" i="8"/>
  <c r="Q26" i="8"/>
  <c r="P26" i="8"/>
  <c r="K26" i="8"/>
  <c r="I26" i="8"/>
  <c r="A26" i="8"/>
  <c r="U25" i="8"/>
  <c r="T25" i="8"/>
  <c r="R25" i="8"/>
  <c r="Q25" i="8"/>
  <c r="P25" i="8"/>
  <c r="I25" i="8"/>
  <c r="K25" i="8" s="1"/>
  <c r="A25" i="8"/>
  <c r="U24" i="8"/>
  <c r="T24" i="8"/>
  <c r="Q24" i="8"/>
  <c r="P24" i="8"/>
  <c r="I24" i="8"/>
  <c r="K24" i="8" s="1"/>
  <c r="R24" i="8" s="1"/>
  <c r="A24" i="8"/>
  <c r="U23" i="8"/>
  <c r="T23" i="8"/>
  <c r="Q23" i="8"/>
  <c r="P23" i="8"/>
  <c r="I23" i="8"/>
  <c r="K23" i="8" s="1"/>
  <c r="A23" i="8"/>
  <c r="U22" i="8"/>
  <c r="T22" i="8"/>
  <c r="Q22" i="8"/>
  <c r="P22" i="8"/>
  <c r="I22" i="8"/>
  <c r="K22" i="8" s="1"/>
  <c r="R22" i="8" s="1"/>
  <c r="A22" i="8"/>
  <c r="U21" i="8"/>
  <c r="T21" i="8"/>
  <c r="Q21" i="8"/>
  <c r="P21" i="8"/>
  <c r="I21" i="8"/>
  <c r="K21" i="8" s="1"/>
  <c r="A21" i="8"/>
  <c r="U20" i="8"/>
  <c r="T20" i="8"/>
  <c r="Q20" i="8"/>
  <c r="P20" i="8"/>
  <c r="R20" i="8" s="1"/>
  <c r="I20" i="8"/>
  <c r="K20" i="8" s="1"/>
  <c r="A20" i="8"/>
  <c r="U19" i="8"/>
  <c r="T19" i="8"/>
  <c r="Q19" i="8"/>
  <c r="P19" i="8"/>
  <c r="I19" i="8"/>
  <c r="K19" i="8" s="1"/>
  <c r="A19" i="8"/>
  <c r="U18" i="8"/>
  <c r="T18" i="8"/>
  <c r="Q18" i="8"/>
  <c r="P18" i="8"/>
  <c r="I18" i="8"/>
  <c r="K18" i="8" s="1"/>
  <c r="R18" i="8" s="1"/>
  <c r="A18" i="8"/>
  <c r="U17" i="8"/>
  <c r="T17" i="8"/>
  <c r="Q17" i="8"/>
  <c r="P17" i="8"/>
  <c r="I17" i="8"/>
  <c r="K17" i="8" s="1"/>
  <c r="A17" i="8"/>
  <c r="U16" i="8"/>
  <c r="T16" i="8"/>
  <c r="Q16" i="8"/>
  <c r="P16" i="8"/>
  <c r="I16" i="8"/>
  <c r="K16" i="8" s="1"/>
  <c r="R16" i="8" s="1"/>
  <c r="A16" i="8"/>
  <c r="U15" i="8"/>
  <c r="T15" i="8"/>
  <c r="Q15" i="8"/>
  <c r="P15" i="8"/>
  <c r="I15" i="8"/>
  <c r="K15" i="8" s="1"/>
  <c r="A15" i="8"/>
  <c r="U14" i="8"/>
  <c r="T14" i="8"/>
  <c r="Q14" i="8"/>
  <c r="P14" i="8"/>
  <c r="I14" i="8"/>
  <c r="K14" i="8" s="1"/>
  <c r="A14" i="8"/>
  <c r="U13" i="8"/>
  <c r="T13" i="8"/>
  <c r="Q13" i="8"/>
  <c r="P13" i="8"/>
  <c r="I13" i="8"/>
  <c r="K13" i="8" s="1"/>
  <c r="A13" i="8"/>
  <c r="U12" i="8"/>
  <c r="T12" i="8"/>
  <c r="Q12" i="8"/>
  <c r="P12" i="8"/>
  <c r="I12" i="8"/>
  <c r="K12" i="8" s="1"/>
  <c r="R12" i="8" s="1"/>
  <c r="A12" i="8"/>
  <c r="U11" i="8"/>
  <c r="T11" i="8"/>
  <c r="Q11" i="8"/>
  <c r="P11" i="8"/>
  <c r="R11" i="8" s="1"/>
  <c r="I11" i="8"/>
  <c r="K11" i="8" s="1"/>
  <c r="A11" i="8"/>
  <c r="U10" i="8"/>
  <c r="T10" i="8"/>
  <c r="Q10" i="8"/>
  <c r="P10" i="8"/>
  <c r="I10" i="8"/>
  <c r="K10" i="8" s="1"/>
  <c r="A10" i="8"/>
  <c r="U9" i="8"/>
  <c r="T9" i="8"/>
  <c r="Q9" i="8"/>
  <c r="P9" i="8"/>
  <c r="I9" i="8"/>
  <c r="K9" i="8" s="1"/>
  <c r="A9" i="8"/>
  <c r="U8" i="8"/>
  <c r="T8" i="8"/>
  <c r="Q8" i="8"/>
  <c r="P8" i="8"/>
  <c r="I8" i="8"/>
  <c r="K8" i="8" s="1"/>
  <c r="A8" i="8"/>
  <c r="U7" i="8"/>
  <c r="T7" i="8"/>
  <c r="Q7" i="8"/>
  <c r="P7" i="8"/>
  <c r="I7" i="8"/>
  <c r="K7" i="8" s="1"/>
  <c r="A7" i="8"/>
  <c r="U6" i="8"/>
  <c r="T6" i="8"/>
  <c r="Q6" i="8"/>
  <c r="P6" i="8"/>
  <c r="I6" i="8"/>
  <c r="K6" i="8" s="1"/>
  <c r="A6" i="8"/>
  <c r="M35" i="7"/>
  <c r="J35" i="7"/>
  <c r="I35" i="7"/>
  <c r="F35" i="7"/>
  <c r="E35" i="7"/>
  <c r="D35" i="7"/>
  <c r="C35" i="7"/>
  <c r="B35" i="7"/>
  <c r="M34" i="7"/>
  <c r="J34" i="7"/>
  <c r="I34" i="7"/>
  <c r="F34" i="7"/>
  <c r="E34" i="7"/>
  <c r="D34" i="7"/>
  <c r="C34" i="7"/>
  <c r="B34" i="7"/>
  <c r="M33" i="7"/>
  <c r="J33" i="7"/>
  <c r="I33" i="7"/>
  <c r="F33" i="7"/>
  <c r="E33" i="7"/>
  <c r="D33" i="7"/>
  <c r="C33" i="7"/>
  <c r="B33" i="7"/>
  <c r="M32" i="7"/>
  <c r="J32" i="7"/>
  <c r="I32" i="7"/>
  <c r="F32" i="7"/>
  <c r="E32" i="7"/>
  <c r="D32" i="7"/>
  <c r="C32" i="7"/>
  <c r="B32" i="7"/>
  <c r="M31" i="7"/>
  <c r="J31" i="7"/>
  <c r="I31" i="7"/>
  <c r="F31" i="7"/>
  <c r="E31" i="7"/>
  <c r="D31" i="7"/>
  <c r="C31" i="7"/>
  <c r="B31" i="7"/>
  <c r="M30" i="7"/>
  <c r="J30" i="7"/>
  <c r="I30" i="7"/>
  <c r="F30" i="7"/>
  <c r="E30" i="7"/>
  <c r="D30" i="7"/>
  <c r="C30" i="7"/>
  <c r="B30" i="7"/>
  <c r="M29" i="7"/>
  <c r="J29" i="7"/>
  <c r="I29" i="7"/>
  <c r="F29" i="7"/>
  <c r="E29" i="7"/>
  <c r="D29" i="7"/>
  <c r="C29" i="7"/>
  <c r="B29" i="7"/>
  <c r="M28" i="7"/>
  <c r="J28" i="7"/>
  <c r="I28" i="7"/>
  <c r="F28" i="7"/>
  <c r="E28" i="7"/>
  <c r="D28" i="7"/>
  <c r="C28" i="7"/>
  <c r="B28" i="7"/>
  <c r="M27" i="7"/>
  <c r="J27" i="7"/>
  <c r="I27" i="7"/>
  <c r="F27" i="7"/>
  <c r="E27" i="7"/>
  <c r="D27" i="7"/>
  <c r="C27" i="7"/>
  <c r="B27" i="7"/>
  <c r="M26" i="7"/>
  <c r="J26" i="7"/>
  <c r="I26" i="7"/>
  <c r="F26" i="7"/>
  <c r="E26" i="7"/>
  <c r="D26" i="7"/>
  <c r="C26" i="7"/>
  <c r="B26" i="7"/>
  <c r="M25" i="7"/>
  <c r="J25" i="7"/>
  <c r="I25" i="7"/>
  <c r="G25" i="7"/>
  <c r="F25" i="7"/>
  <c r="E25" i="7"/>
  <c r="H25" i="7" s="1"/>
  <c r="D25" i="7"/>
  <c r="C25" i="7"/>
  <c r="B25" i="7"/>
  <c r="K24" i="7"/>
  <c r="J24" i="7"/>
  <c r="L24" i="7" s="1"/>
  <c r="G24" i="7"/>
  <c r="F24" i="7"/>
  <c r="I24" i="7" s="1"/>
  <c r="E24" i="7"/>
  <c r="H24" i="7" s="1"/>
  <c r="D24" i="7"/>
  <c r="C24" i="7"/>
  <c r="M24" i="7" s="1"/>
  <c r="B24" i="7"/>
  <c r="K23" i="7"/>
  <c r="J23" i="7"/>
  <c r="L23" i="7" s="1"/>
  <c r="I23" i="7"/>
  <c r="F23" i="7"/>
  <c r="E23" i="7"/>
  <c r="H23" i="7" s="1"/>
  <c r="D23" i="7"/>
  <c r="C23" i="7"/>
  <c r="M23" i="7" s="1"/>
  <c r="B23" i="7"/>
  <c r="K22" i="7"/>
  <c r="J22" i="7"/>
  <c r="L22" i="7" s="1"/>
  <c r="G22" i="7"/>
  <c r="F22" i="7"/>
  <c r="I22" i="7" s="1"/>
  <c r="E22" i="7"/>
  <c r="H22" i="7" s="1"/>
  <c r="D22" i="7"/>
  <c r="C22" i="7"/>
  <c r="M22" i="7" s="1"/>
  <c r="B22" i="7"/>
  <c r="K21" i="7"/>
  <c r="J21" i="7"/>
  <c r="L21" i="7" s="1"/>
  <c r="I21" i="7"/>
  <c r="F21" i="7"/>
  <c r="E21" i="7"/>
  <c r="H21" i="7" s="1"/>
  <c r="D21" i="7"/>
  <c r="C21" i="7"/>
  <c r="M21" i="7" s="1"/>
  <c r="B21" i="7"/>
  <c r="K20" i="7"/>
  <c r="J20" i="7"/>
  <c r="L20" i="7" s="1"/>
  <c r="G20" i="7"/>
  <c r="F20" i="7"/>
  <c r="I20" i="7" s="1"/>
  <c r="E20" i="7"/>
  <c r="H20" i="7" s="1"/>
  <c r="D20" i="7"/>
  <c r="C20" i="7"/>
  <c r="M20" i="7" s="1"/>
  <c r="B20" i="7"/>
  <c r="K19" i="7"/>
  <c r="J19" i="7"/>
  <c r="L19" i="7" s="1"/>
  <c r="I19" i="7"/>
  <c r="F19" i="7"/>
  <c r="E19" i="7"/>
  <c r="H19" i="7" s="1"/>
  <c r="D19" i="7"/>
  <c r="C19" i="7"/>
  <c r="M19" i="7" s="1"/>
  <c r="B19" i="7"/>
  <c r="K18" i="7"/>
  <c r="J18" i="7"/>
  <c r="L18" i="7" s="1"/>
  <c r="G18" i="7"/>
  <c r="F18" i="7"/>
  <c r="I18" i="7" s="1"/>
  <c r="E18" i="7"/>
  <c r="H18" i="7" s="1"/>
  <c r="D18" i="7"/>
  <c r="C18" i="7"/>
  <c r="M18" i="7" s="1"/>
  <c r="B18" i="7"/>
  <c r="K17" i="7"/>
  <c r="J17" i="7"/>
  <c r="L17" i="7" s="1"/>
  <c r="I17" i="7"/>
  <c r="F17" i="7"/>
  <c r="E17" i="7"/>
  <c r="H17" i="7" s="1"/>
  <c r="D17" i="7"/>
  <c r="C17" i="7"/>
  <c r="M17" i="7" s="1"/>
  <c r="B17" i="7"/>
  <c r="K16" i="7"/>
  <c r="J16" i="7"/>
  <c r="L16" i="7" s="1"/>
  <c r="G16" i="7"/>
  <c r="F16" i="7"/>
  <c r="I16" i="7" s="1"/>
  <c r="E16" i="7"/>
  <c r="H16" i="7" s="1"/>
  <c r="D16" i="7"/>
  <c r="C16" i="7"/>
  <c r="M16" i="7" s="1"/>
  <c r="B16" i="7"/>
  <c r="K15" i="7"/>
  <c r="J15" i="7"/>
  <c r="L15" i="7" s="1"/>
  <c r="I15" i="7"/>
  <c r="F15" i="7"/>
  <c r="E15" i="7"/>
  <c r="H15" i="7" s="1"/>
  <c r="D15" i="7"/>
  <c r="C15" i="7"/>
  <c r="M15" i="7" s="1"/>
  <c r="B15" i="7"/>
  <c r="K14" i="7"/>
  <c r="J14" i="7"/>
  <c r="L14" i="7" s="1"/>
  <c r="G14" i="7"/>
  <c r="F14" i="7"/>
  <c r="I14" i="7" s="1"/>
  <c r="E14" i="7"/>
  <c r="H14" i="7" s="1"/>
  <c r="D14" i="7"/>
  <c r="C14" i="7"/>
  <c r="M14" i="7" s="1"/>
  <c r="B14" i="7"/>
  <c r="K13" i="7"/>
  <c r="J13" i="7"/>
  <c r="L13" i="7" s="1"/>
  <c r="I13" i="7"/>
  <c r="F13" i="7"/>
  <c r="E13" i="7"/>
  <c r="H13" i="7" s="1"/>
  <c r="D13" i="7"/>
  <c r="C13" i="7"/>
  <c r="M13" i="7" s="1"/>
  <c r="B13" i="7"/>
  <c r="K12" i="7"/>
  <c r="J12" i="7"/>
  <c r="L12" i="7" s="1"/>
  <c r="G12" i="7"/>
  <c r="F12" i="7"/>
  <c r="I12" i="7" s="1"/>
  <c r="E12" i="7"/>
  <c r="H12" i="7" s="1"/>
  <c r="D12" i="7"/>
  <c r="C12" i="7"/>
  <c r="M12" i="7" s="1"/>
  <c r="B12" i="7"/>
  <c r="K11" i="7"/>
  <c r="J11" i="7"/>
  <c r="L11" i="7" s="1"/>
  <c r="I11" i="7"/>
  <c r="F11" i="7"/>
  <c r="E11" i="7"/>
  <c r="H11" i="7" s="1"/>
  <c r="D11" i="7"/>
  <c r="C11" i="7"/>
  <c r="M11" i="7" s="1"/>
  <c r="B11" i="7"/>
  <c r="K10" i="7"/>
  <c r="J10" i="7"/>
  <c r="L10" i="7" s="1"/>
  <c r="G10" i="7"/>
  <c r="F10" i="7"/>
  <c r="I10" i="7" s="1"/>
  <c r="E10" i="7"/>
  <c r="H10" i="7" s="1"/>
  <c r="D10" i="7"/>
  <c r="C10" i="7"/>
  <c r="M10" i="7" s="1"/>
  <c r="B10" i="7"/>
  <c r="K9" i="7"/>
  <c r="J9" i="7"/>
  <c r="L9" i="7" s="1"/>
  <c r="I9" i="7"/>
  <c r="F9" i="7"/>
  <c r="E9" i="7"/>
  <c r="H9" i="7" s="1"/>
  <c r="D9" i="7"/>
  <c r="C9" i="7"/>
  <c r="M9" i="7" s="1"/>
  <c r="B9" i="7"/>
  <c r="F8" i="7"/>
  <c r="I8" i="7" s="1"/>
  <c r="E8" i="7"/>
  <c r="G8" i="7" s="1"/>
  <c r="D8" i="7"/>
  <c r="C8" i="7"/>
  <c r="B8" i="7"/>
  <c r="I7" i="7"/>
  <c r="F7" i="7"/>
  <c r="E7" i="7"/>
  <c r="D7" i="7"/>
  <c r="C7" i="7"/>
  <c r="B7" i="7"/>
  <c r="F6" i="7"/>
  <c r="I6" i="7" s="1"/>
  <c r="E6" i="7"/>
  <c r="G6" i="7" s="1"/>
  <c r="D6" i="7"/>
  <c r="C6" i="7"/>
  <c r="B6" i="7"/>
  <c r="N370" i="6"/>
  <c r="L370" i="6"/>
  <c r="K370" i="6"/>
  <c r="M370" i="6" s="1"/>
  <c r="J370" i="6"/>
  <c r="I370" i="6"/>
  <c r="H370" i="6"/>
  <c r="N369" i="6"/>
  <c r="M369" i="6"/>
  <c r="K369" i="6"/>
  <c r="L369" i="6" s="1"/>
  <c r="J369" i="6"/>
  <c r="I369" i="6"/>
  <c r="H369" i="6"/>
  <c r="N368" i="6"/>
  <c r="M368" i="6"/>
  <c r="L368" i="6"/>
  <c r="K368" i="6"/>
  <c r="J368" i="6"/>
  <c r="I368" i="6"/>
  <c r="H368" i="6"/>
  <c r="N367" i="6"/>
  <c r="L367" i="6"/>
  <c r="K367" i="6"/>
  <c r="M367" i="6" s="1"/>
  <c r="J367" i="6"/>
  <c r="I367" i="6"/>
  <c r="H367" i="6"/>
  <c r="N366" i="6"/>
  <c r="L366" i="6"/>
  <c r="K366" i="6"/>
  <c r="M366" i="6" s="1"/>
  <c r="J366" i="6"/>
  <c r="I366" i="6"/>
  <c r="H366" i="6"/>
  <c r="N365" i="6"/>
  <c r="M365" i="6"/>
  <c r="K365" i="6"/>
  <c r="L365" i="6" s="1"/>
  <c r="J365" i="6"/>
  <c r="I365" i="6"/>
  <c r="H365" i="6"/>
  <c r="N364" i="6"/>
  <c r="M364" i="6"/>
  <c r="L364" i="6"/>
  <c r="K364" i="6"/>
  <c r="J364" i="6"/>
  <c r="I364" i="6"/>
  <c r="H364" i="6"/>
  <c r="N363" i="6"/>
  <c r="M363" i="6"/>
  <c r="L363" i="6"/>
  <c r="K363" i="6"/>
  <c r="J363" i="6"/>
  <c r="I363" i="6"/>
  <c r="H363" i="6"/>
  <c r="N362" i="6"/>
  <c r="L362" i="6"/>
  <c r="K362" i="6"/>
  <c r="M362" i="6" s="1"/>
  <c r="J362" i="6"/>
  <c r="I362" i="6"/>
  <c r="H362" i="6"/>
  <c r="N361" i="6"/>
  <c r="M361" i="6"/>
  <c r="K361" i="6"/>
  <c r="L361" i="6" s="1"/>
  <c r="J361" i="6"/>
  <c r="I361" i="6"/>
  <c r="H361" i="6"/>
  <c r="N360" i="6"/>
  <c r="M360" i="6"/>
  <c r="L360" i="6"/>
  <c r="K360" i="6"/>
  <c r="J360" i="6"/>
  <c r="I360" i="6"/>
  <c r="H360" i="6"/>
  <c r="N359" i="6"/>
  <c r="L359" i="6"/>
  <c r="K359" i="6"/>
  <c r="M359" i="6" s="1"/>
  <c r="J359" i="6"/>
  <c r="I359" i="6"/>
  <c r="H359" i="6"/>
  <c r="N358" i="6"/>
  <c r="L358" i="6"/>
  <c r="K358" i="6"/>
  <c r="M358" i="6" s="1"/>
  <c r="J358" i="6"/>
  <c r="I358" i="6"/>
  <c r="H358" i="6"/>
  <c r="N357" i="6"/>
  <c r="M357" i="6"/>
  <c r="K357" i="6"/>
  <c r="L357" i="6" s="1"/>
  <c r="J357" i="6"/>
  <c r="I357" i="6"/>
  <c r="H357" i="6"/>
  <c r="N356" i="6"/>
  <c r="M356" i="6"/>
  <c r="L356" i="6"/>
  <c r="K356" i="6"/>
  <c r="J356" i="6"/>
  <c r="I356" i="6"/>
  <c r="H356" i="6"/>
  <c r="N355" i="6"/>
  <c r="M355" i="6"/>
  <c r="L355" i="6"/>
  <c r="K355" i="6"/>
  <c r="J355" i="6"/>
  <c r="I355" i="6"/>
  <c r="H355" i="6"/>
  <c r="N354" i="6"/>
  <c r="K354" i="6"/>
  <c r="J354" i="6"/>
  <c r="I354" i="6"/>
  <c r="H354" i="6"/>
  <c r="N353" i="6"/>
  <c r="L353" i="6"/>
  <c r="K353" i="6"/>
  <c r="M353" i="6" s="1"/>
  <c r="J353" i="6"/>
  <c r="I353" i="6"/>
  <c r="H353" i="6"/>
  <c r="N352" i="6"/>
  <c r="M352" i="6"/>
  <c r="K352" i="6"/>
  <c r="L352" i="6" s="1"/>
  <c r="J352" i="6"/>
  <c r="I352" i="6"/>
  <c r="H352" i="6"/>
  <c r="N351" i="6"/>
  <c r="M351" i="6"/>
  <c r="L351" i="6"/>
  <c r="K351" i="6"/>
  <c r="J351" i="6"/>
  <c r="I351" i="6"/>
  <c r="H351" i="6"/>
  <c r="N350" i="6"/>
  <c r="K350" i="6"/>
  <c r="J350" i="6"/>
  <c r="I350" i="6"/>
  <c r="H350" i="6"/>
  <c r="N349" i="6"/>
  <c r="L349" i="6"/>
  <c r="K349" i="6"/>
  <c r="M349" i="6" s="1"/>
  <c r="J349" i="6"/>
  <c r="I349" i="6"/>
  <c r="H349" i="6"/>
  <c r="N348" i="6"/>
  <c r="M348" i="6"/>
  <c r="K348" i="6"/>
  <c r="L348" i="6" s="1"/>
  <c r="J348" i="6"/>
  <c r="I348" i="6"/>
  <c r="H348" i="6"/>
  <c r="N347" i="6"/>
  <c r="M347" i="6"/>
  <c r="L347" i="6"/>
  <c r="K347" i="6"/>
  <c r="J347" i="6"/>
  <c r="I347" i="6"/>
  <c r="H347" i="6"/>
  <c r="N346" i="6"/>
  <c r="K346" i="6"/>
  <c r="J346" i="6"/>
  <c r="I346" i="6"/>
  <c r="H346" i="6"/>
  <c r="N345" i="6"/>
  <c r="L345" i="6"/>
  <c r="K345" i="6"/>
  <c r="M345" i="6" s="1"/>
  <c r="J345" i="6"/>
  <c r="I345" i="6"/>
  <c r="H345" i="6"/>
  <c r="N344" i="6"/>
  <c r="M344" i="6"/>
  <c r="K344" i="6"/>
  <c r="L344" i="6" s="1"/>
  <c r="J344" i="6"/>
  <c r="I344" i="6"/>
  <c r="H344" i="6"/>
  <c r="N343" i="6"/>
  <c r="M343" i="6"/>
  <c r="L343" i="6"/>
  <c r="K343" i="6"/>
  <c r="J343" i="6"/>
  <c r="I343" i="6"/>
  <c r="H343" i="6"/>
  <c r="N342" i="6"/>
  <c r="K342" i="6"/>
  <c r="J342" i="6"/>
  <c r="I342" i="6"/>
  <c r="H342" i="6"/>
  <c r="N341" i="6"/>
  <c r="L341" i="6"/>
  <c r="K341" i="6"/>
  <c r="M341" i="6" s="1"/>
  <c r="J341" i="6"/>
  <c r="I341" i="6"/>
  <c r="H341" i="6"/>
  <c r="N340" i="6"/>
  <c r="M340" i="6"/>
  <c r="K340" i="6"/>
  <c r="L340" i="6" s="1"/>
  <c r="J340" i="6"/>
  <c r="I340" i="6"/>
  <c r="H340" i="6"/>
  <c r="N339" i="6"/>
  <c r="M339" i="6"/>
  <c r="L339" i="6"/>
  <c r="K339" i="6"/>
  <c r="J339" i="6"/>
  <c r="I339" i="6"/>
  <c r="H339" i="6"/>
  <c r="N338" i="6"/>
  <c r="K338" i="6"/>
  <c r="J338" i="6"/>
  <c r="I338" i="6"/>
  <c r="H338" i="6"/>
  <c r="N337" i="6"/>
  <c r="L337" i="6"/>
  <c r="K337" i="6"/>
  <c r="M337" i="6" s="1"/>
  <c r="J337" i="6"/>
  <c r="I337" i="6"/>
  <c r="H337" i="6"/>
  <c r="N336" i="6"/>
  <c r="M336" i="6"/>
  <c r="K336" i="6"/>
  <c r="L336" i="6" s="1"/>
  <c r="J336" i="6"/>
  <c r="I336" i="6"/>
  <c r="H336" i="6"/>
  <c r="N335" i="6"/>
  <c r="M335" i="6"/>
  <c r="L335" i="6"/>
  <c r="K335" i="6"/>
  <c r="J335" i="6"/>
  <c r="I335" i="6"/>
  <c r="H335" i="6"/>
  <c r="N334" i="6"/>
  <c r="K334" i="6"/>
  <c r="J334" i="6"/>
  <c r="I334" i="6"/>
  <c r="H334" i="6"/>
  <c r="N333" i="6"/>
  <c r="L333" i="6"/>
  <c r="K333" i="6"/>
  <c r="M333" i="6" s="1"/>
  <c r="J333" i="6"/>
  <c r="I333" i="6"/>
  <c r="H333" i="6"/>
  <c r="N332" i="6"/>
  <c r="M332" i="6"/>
  <c r="K332" i="6"/>
  <c r="L332" i="6" s="1"/>
  <c r="J332" i="6"/>
  <c r="I332" i="6"/>
  <c r="H332" i="6"/>
  <c r="N331" i="6"/>
  <c r="M331" i="6"/>
  <c r="L331" i="6"/>
  <c r="K331" i="6"/>
  <c r="J331" i="6"/>
  <c r="I331" i="6"/>
  <c r="H331" i="6"/>
  <c r="N330" i="6"/>
  <c r="K330" i="6"/>
  <c r="J330" i="6"/>
  <c r="I330" i="6"/>
  <c r="H330" i="6"/>
  <c r="N329" i="6"/>
  <c r="L329" i="6"/>
  <c r="K329" i="6"/>
  <c r="M329" i="6" s="1"/>
  <c r="J329" i="6"/>
  <c r="I329" i="6"/>
  <c r="H329" i="6"/>
  <c r="N328" i="6"/>
  <c r="M328" i="6"/>
  <c r="K328" i="6"/>
  <c r="L328" i="6" s="1"/>
  <c r="J328" i="6"/>
  <c r="I328" i="6"/>
  <c r="H328" i="6"/>
  <c r="N327" i="6"/>
  <c r="M327" i="6"/>
  <c r="L327" i="6"/>
  <c r="K327" i="6"/>
  <c r="J327" i="6"/>
  <c r="I327" i="6"/>
  <c r="H327" i="6"/>
  <c r="N326" i="6"/>
  <c r="K326" i="6"/>
  <c r="J326" i="6"/>
  <c r="I326" i="6"/>
  <c r="H326" i="6"/>
  <c r="N325" i="6"/>
  <c r="L325" i="6"/>
  <c r="K325" i="6"/>
  <c r="M325" i="6" s="1"/>
  <c r="J325" i="6"/>
  <c r="I325" i="6"/>
  <c r="H325" i="6"/>
  <c r="N324" i="6"/>
  <c r="M324" i="6"/>
  <c r="K324" i="6"/>
  <c r="L324" i="6" s="1"/>
  <c r="J324" i="6"/>
  <c r="I324" i="6"/>
  <c r="H324" i="6"/>
  <c r="N323" i="6"/>
  <c r="M323" i="6"/>
  <c r="L323" i="6"/>
  <c r="K323" i="6"/>
  <c r="J323" i="6"/>
  <c r="I323" i="6"/>
  <c r="H323" i="6"/>
  <c r="N322" i="6"/>
  <c r="K322" i="6"/>
  <c r="J322" i="6"/>
  <c r="I322" i="6"/>
  <c r="H322" i="6"/>
  <c r="N321" i="6"/>
  <c r="L321" i="6"/>
  <c r="K321" i="6"/>
  <c r="M321" i="6" s="1"/>
  <c r="J321" i="6"/>
  <c r="I321" i="6"/>
  <c r="H321" i="6"/>
  <c r="N320" i="6"/>
  <c r="M320" i="6"/>
  <c r="K320" i="6"/>
  <c r="L320" i="6" s="1"/>
  <c r="J320" i="6"/>
  <c r="I320" i="6"/>
  <c r="H320" i="6"/>
  <c r="N319" i="6"/>
  <c r="M319" i="6"/>
  <c r="L319" i="6"/>
  <c r="K319" i="6"/>
  <c r="J319" i="6"/>
  <c r="I319" i="6"/>
  <c r="H319" i="6"/>
  <c r="N318" i="6"/>
  <c r="K318" i="6"/>
  <c r="J318" i="6"/>
  <c r="I318" i="6"/>
  <c r="H318" i="6"/>
  <c r="N317" i="6"/>
  <c r="L317" i="6"/>
  <c r="K317" i="6"/>
  <c r="M317" i="6" s="1"/>
  <c r="J317" i="6"/>
  <c r="I317" i="6"/>
  <c r="H317" i="6"/>
  <c r="N316" i="6"/>
  <c r="M316" i="6"/>
  <c r="K316" i="6"/>
  <c r="L316" i="6" s="1"/>
  <c r="J316" i="6"/>
  <c r="I316" i="6"/>
  <c r="H316" i="6"/>
  <c r="N315" i="6"/>
  <c r="M315" i="6"/>
  <c r="L315" i="6"/>
  <c r="K315" i="6"/>
  <c r="J315" i="6"/>
  <c r="I315" i="6"/>
  <c r="H315" i="6"/>
  <c r="N314" i="6"/>
  <c r="K314" i="6"/>
  <c r="J314" i="6"/>
  <c r="I314" i="6"/>
  <c r="H314" i="6"/>
  <c r="N313" i="6"/>
  <c r="L313" i="6"/>
  <c r="K313" i="6"/>
  <c r="M313" i="6" s="1"/>
  <c r="J313" i="6"/>
  <c r="I313" i="6"/>
  <c r="H313" i="6"/>
  <c r="N312" i="6"/>
  <c r="M312" i="6"/>
  <c r="K312" i="6"/>
  <c r="L312" i="6" s="1"/>
  <c r="J312" i="6"/>
  <c r="I312" i="6"/>
  <c r="H312" i="6"/>
  <c r="N311" i="6"/>
  <c r="M311" i="6"/>
  <c r="L311" i="6"/>
  <c r="K311" i="6"/>
  <c r="J311" i="6"/>
  <c r="I311" i="6"/>
  <c r="H311" i="6"/>
  <c r="N310" i="6"/>
  <c r="K310" i="6"/>
  <c r="J310" i="6"/>
  <c r="I310" i="6"/>
  <c r="H310" i="6"/>
  <c r="N309" i="6"/>
  <c r="L309" i="6"/>
  <c r="K309" i="6"/>
  <c r="M309" i="6" s="1"/>
  <c r="J309" i="6"/>
  <c r="I309" i="6"/>
  <c r="H309" i="6"/>
  <c r="N308" i="6"/>
  <c r="M308" i="6"/>
  <c r="K308" i="6"/>
  <c r="L308" i="6" s="1"/>
  <c r="J308" i="6"/>
  <c r="I308" i="6"/>
  <c r="H308" i="6"/>
  <c r="N307" i="6"/>
  <c r="M307" i="6"/>
  <c r="L307" i="6"/>
  <c r="K307" i="6"/>
  <c r="J307" i="6"/>
  <c r="I307" i="6"/>
  <c r="H307" i="6"/>
  <c r="N306" i="6"/>
  <c r="K306" i="6"/>
  <c r="J306" i="6"/>
  <c r="I306" i="6"/>
  <c r="H306" i="6"/>
  <c r="N305" i="6"/>
  <c r="L305" i="6"/>
  <c r="K305" i="6"/>
  <c r="M305" i="6" s="1"/>
  <c r="J305" i="6"/>
  <c r="I305" i="6"/>
  <c r="H305" i="6"/>
  <c r="N304" i="6"/>
  <c r="M304" i="6"/>
  <c r="K304" i="6"/>
  <c r="L304" i="6" s="1"/>
  <c r="J304" i="6"/>
  <c r="I304" i="6"/>
  <c r="H304" i="6"/>
  <c r="N303" i="6"/>
  <c r="M303" i="6"/>
  <c r="L303" i="6"/>
  <c r="K303" i="6"/>
  <c r="J303" i="6"/>
  <c r="I303" i="6"/>
  <c r="H303" i="6"/>
  <c r="N302" i="6"/>
  <c r="K302" i="6"/>
  <c r="J302" i="6"/>
  <c r="I302" i="6"/>
  <c r="H302" i="6"/>
  <c r="N301" i="6"/>
  <c r="L301" i="6"/>
  <c r="K301" i="6"/>
  <c r="M301" i="6" s="1"/>
  <c r="J301" i="6"/>
  <c r="I301" i="6"/>
  <c r="H301" i="6"/>
  <c r="N300" i="6"/>
  <c r="M300" i="6"/>
  <c r="K300" i="6"/>
  <c r="L300" i="6" s="1"/>
  <c r="J300" i="6"/>
  <c r="I300" i="6"/>
  <c r="H300" i="6"/>
  <c r="N299" i="6"/>
  <c r="M299" i="6"/>
  <c r="L299" i="6"/>
  <c r="K299" i="6"/>
  <c r="J299" i="6"/>
  <c r="I299" i="6"/>
  <c r="H299" i="6"/>
  <c r="N298" i="6"/>
  <c r="K298" i="6"/>
  <c r="J298" i="6"/>
  <c r="I298" i="6"/>
  <c r="H298" i="6"/>
  <c r="N297" i="6"/>
  <c r="L297" i="6"/>
  <c r="K297" i="6"/>
  <c r="M297" i="6" s="1"/>
  <c r="J297" i="6"/>
  <c r="I297" i="6"/>
  <c r="H297" i="6"/>
  <c r="N296" i="6"/>
  <c r="M296" i="6"/>
  <c r="K296" i="6"/>
  <c r="L296" i="6" s="1"/>
  <c r="J296" i="6"/>
  <c r="I296" i="6"/>
  <c r="H296" i="6"/>
  <c r="N295" i="6"/>
  <c r="M295" i="6"/>
  <c r="L295" i="6"/>
  <c r="K295" i="6"/>
  <c r="J295" i="6"/>
  <c r="I295" i="6"/>
  <c r="H295" i="6"/>
  <c r="N294" i="6"/>
  <c r="K294" i="6"/>
  <c r="J294" i="6"/>
  <c r="I294" i="6"/>
  <c r="H294" i="6"/>
  <c r="N293" i="6"/>
  <c r="L293" i="6"/>
  <c r="K293" i="6"/>
  <c r="M293" i="6" s="1"/>
  <c r="J293" i="6"/>
  <c r="I293" i="6"/>
  <c r="H293" i="6"/>
  <c r="N292" i="6"/>
  <c r="M292" i="6"/>
  <c r="K292" i="6"/>
  <c r="L292" i="6" s="1"/>
  <c r="J292" i="6"/>
  <c r="I292" i="6"/>
  <c r="H292" i="6"/>
  <c r="N291" i="6"/>
  <c r="M291" i="6"/>
  <c r="L291" i="6"/>
  <c r="K291" i="6"/>
  <c r="J291" i="6"/>
  <c r="I291" i="6"/>
  <c r="H291" i="6"/>
  <c r="N290" i="6"/>
  <c r="K290" i="6"/>
  <c r="J290" i="6"/>
  <c r="I290" i="6"/>
  <c r="H290" i="6"/>
  <c r="N289" i="6"/>
  <c r="L289" i="6"/>
  <c r="K289" i="6"/>
  <c r="M289" i="6" s="1"/>
  <c r="J289" i="6"/>
  <c r="I289" i="6"/>
  <c r="H289" i="6"/>
  <c r="N288" i="6"/>
  <c r="M288" i="6"/>
  <c r="K288" i="6"/>
  <c r="L288" i="6" s="1"/>
  <c r="J288" i="6"/>
  <c r="I288" i="6"/>
  <c r="H288" i="6"/>
  <c r="N287" i="6"/>
  <c r="M287" i="6"/>
  <c r="L287" i="6"/>
  <c r="K287" i="6"/>
  <c r="J287" i="6"/>
  <c r="I287" i="6"/>
  <c r="H287" i="6"/>
  <c r="N286" i="6"/>
  <c r="K286" i="6"/>
  <c r="J286" i="6"/>
  <c r="I286" i="6"/>
  <c r="H286" i="6"/>
  <c r="N285" i="6"/>
  <c r="L285" i="6"/>
  <c r="K285" i="6"/>
  <c r="M285" i="6" s="1"/>
  <c r="J285" i="6"/>
  <c r="I285" i="6"/>
  <c r="H285" i="6"/>
  <c r="N284" i="6"/>
  <c r="M284" i="6"/>
  <c r="K284" i="6"/>
  <c r="L284" i="6" s="1"/>
  <c r="J284" i="6"/>
  <c r="I284" i="6"/>
  <c r="H284" i="6"/>
  <c r="N283" i="6"/>
  <c r="M283" i="6"/>
  <c r="L283" i="6"/>
  <c r="K283" i="6"/>
  <c r="J283" i="6"/>
  <c r="I283" i="6"/>
  <c r="H283" i="6"/>
  <c r="N282" i="6"/>
  <c r="K282" i="6"/>
  <c r="J282" i="6"/>
  <c r="I282" i="6"/>
  <c r="H282" i="6"/>
  <c r="N281" i="6"/>
  <c r="L281" i="6"/>
  <c r="K281" i="6"/>
  <c r="M281" i="6" s="1"/>
  <c r="J281" i="6"/>
  <c r="I281" i="6"/>
  <c r="H281" i="6"/>
  <c r="N280" i="6"/>
  <c r="M280" i="6"/>
  <c r="K280" i="6"/>
  <c r="L280" i="6" s="1"/>
  <c r="J280" i="6"/>
  <c r="I280" i="6"/>
  <c r="H280" i="6"/>
  <c r="N279" i="6"/>
  <c r="M279" i="6"/>
  <c r="L279" i="6"/>
  <c r="K279" i="6"/>
  <c r="J279" i="6"/>
  <c r="I279" i="6"/>
  <c r="H279" i="6"/>
  <c r="N278" i="6"/>
  <c r="K278" i="6"/>
  <c r="J278" i="6"/>
  <c r="I278" i="6"/>
  <c r="H278" i="6"/>
  <c r="N277" i="6"/>
  <c r="L277" i="6"/>
  <c r="K277" i="6"/>
  <c r="M277" i="6" s="1"/>
  <c r="J277" i="6"/>
  <c r="I277" i="6"/>
  <c r="H277" i="6"/>
  <c r="N276" i="6"/>
  <c r="M276" i="6"/>
  <c r="K276" i="6"/>
  <c r="L276" i="6" s="1"/>
  <c r="J276" i="6"/>
  <c r="I276" i="6"/>
  <c r="H276" i="6"/>
  <c r="N275" i="6"/>
  <c r="M275" i="6"/>
  <c r="L275" i="6"/>
  <c r="K275" i="6"/>
  <c r="J275" i="6"/>
  <c r="I275" i="6"/>
  <c r="H275" i="6"/>
  <c r="N274" i="6"/>
  <c r="K274" i="6"/>
  <c r="J274" i="6"/>
  <c r="I274" i="6"/>
  <c r="H274" i="6"/>
  <c r="N273" i="6"/>
  <c r="L273" i="6"/>
  <c r="K273" i="6"/>
  <c r="M273" i="6" s="1"/>
  <c r="J273" i="6"/>
  <c r="I273" i="6"/>
  <c r="H273" i="6"/>
  <c r="N272" i="6"/>
  <c r="M272" i="6"/>
  <c r="K272" i="6"/>
  <c r="L272" i="6" s="1"/>
  <c r="J272" i="6"/>
  <c r="I272" i="6"/>
  <c r="H272" i="6"/>
  <c r="N271" i="6"/>
  <c r="M271" i="6"/>
  <c r="L271" i="6"/>
  <c r="K271" i="6"/>
  <c r="J271" i="6"/>
  <c r="I271" i="6"/>
  <c r="H271" i="6"/>
  <c r="N270" i="6"/>
  <c r="K270" i="6"/>
  <c r="J270" i="6"/>
  <c r="I270" i="6"/>
  <c r="H270" i="6"/>
  <c r="N269" i="6"/>
  <c r="L269" i="6"/>
  <c r="K269" i="6"/>
  <c r="M269" i="6" s="1"/>
  <c r="J269" i="6"/>
  <c r="I269" i="6"/>
  <c r="H269" i="6"/>
  <c r="N268" i="6"/>
  <c r="M268" i="6"/>
  <c r="K268" i="6"/>
  <c r="L268" i="6" s="1"/>
  <c r="J268" i="6"/>
  <c r="I268" i="6"/>
  <c r="H268" i="6"/>
  <c r="N267" i="6"/>
  <c r="M267" i="6"/>
  <c r="L267" i="6"/>
  <c r="K267" i="6"/>
  <c r="J267" i="6"/>
  <c r="I267" i="6"/>
  <c r="H267" i="6"/>
  <c r="N266" i="6"/>
  <c r="K266" i="6"/>
  <c r="J266" i="6"/>
  <c r="I266" i="6"/>
  <c r="H266" i="6"/>
  <c r="N265" i="6"/>
  <c r="L265" i="6"/>
  <c r="K265" i="6"/>
  <c r="M265" i="6" s="1"/>
  <c r="J265" i="6"/>
  <c r="I265" i="6"/>
  <c r="H265" i="6"/>
  <c r="N264" i="6"/>
  <c r="M264" i="6"/>
  <c r="K264" i="6"/>
  <c r="L264" i="6" s="1"/>
  <c r="J264" i="6"/>
  <c r="I264" i="6"/>
  <c r="H264" i="6"/>
  <c r="N263" i="6"/>
  <c r="M263" i="6"/>
  <c r="L263" i="6"/>
  <c r="K263" i="6"/>
  <c r="J263" i="6"/>
  <c r="I263" i="6"/>
  <c r="H263" i="6"/>
  <c r="N262" i="6"/>
  <c r="K262" i="6"/>
  <c r="J262" i="6"/>
  <c r="I262" i="6"/>
  <c r="H262" i="6"/>
  <c r="N261" i="6"/>
  <c r="L261" i="6"/>
  <c r="K261" i="6"/>
  <c r="M261" i="6" s="1"/>
  <c r="J261" i="6"/>
  <c r="I261" i="6"/>
  <c r="H261" i="6"/>
  <c r="N260" i="6"/>
  <c r="M260" i="6"/>
  <c r="K260" i="6"/>
  <c r="L260" i="6" s="1"/>
  <c r="J260" i="6"/>
  <c r="I260" i="6"/>
  <c r="H260" i="6"/>
  <c r="N259" i="6"/>
  <c r="M259" i="6"/>
  <c r="L259" i="6"/>
  <c r="K259" i="6"/>
  <c r="J259" i="6"/>
  <c r="I259" i="6"/>
  <c r="H259" i="6"/>
  <c r="N258" i="6"/>
  <c r="K258" i="6"/>
  <c r="J258" i="6"/>
  <c r="I258" i="6"/>
  <c r="H258" i="6"/>
  <c r="N257" i="6"/>
  <c r="L257" i="6"/>
  <c r="K257" i="6"/>
  <c r="M257" i="6" s="1"/>
  <c r="J257" i="6"/>
  <c r="I257" i="6"/>
  <c r="H257" i="6"/>
  <c r="N256" i="6"/>
  <c r="M256" i="6"/>
  <c r="K256" i="6"/>
  <c r="L256" i="6" s="1"/>
  <c r="J256" i="6"/>
  <c r="I256" i="6"/>
  <c r="H256" i="6"/>
  <c r="N255" i="6"/>
  <c r="M255" i="6"/>
  <c r="L255" i="6"/>
  <c r="K255" i="6"/>
  <c r="J255" i="6"/>
  <c r="I255" i="6"/>
  <c r="H255" i="6"/>
  <c r="N254" i="6"/>
  <c r="K254" i="6"/>
  <c r="J254" i="6"/>
  <c r="I254" i="6"/>
  <c r="H254" i="6"/>
  <c r="N253" i="6"/>
  <c r="L253" i="6"/>
  <c r="K253" i="6"/>
  <c r="M253" i="6" s="1"/>
  <c r="J253" i="6"/>
  <c r="I253" i="6"/>
  <c r="H253" i="6"/>
  <c r="N252" i="6"/>
  <c r="M252" i="6"/>
  <c r="K252" i="6"/>
  <c r="L252" i="6" s="1"/>
  <c r="J252" i="6"/>
  <c r="I252" i="6"/>
  <c r="H252" i="6"/>
  <c r="N251" i="6"/>
  <c r="M251" i="6"/>
  <c r="L251" i="6"/>
  <c r="K251" i="6"/>
  <c r="J251" i="6"/>
  <c r="I251" i="6"/>
  <c r="H251" i="6"/>
  <c r="N250" i="6"/>
  <c r="K250" i="6"/>
  <c r="J250" i="6"/>
  <c r="I250" i="6"/>
  <c r="H250" i="6"/>
  <c r="N249" i="6"/>
  <c r="L249" i="6"/>
  <c r="K249" i="6"/>
  <c r="M249" i="6" s="1"/>
  <c r="J249" i="6"/>
  <c r="I249" i="6"/>
  <c r="H249" i="6"/>
  <c r="N248" i="6"/>
  <c r="M248" i="6"/>
  <c r="K248" i="6"/>
  <c r="L248" i="6" s="1"/>
  <c r="J248" i="6"/>
  <c r="I248" i="6"/>
  <c r="H248" i="6"/>
  <c r="N247" i="6"/>
  <c r="M247" i="6"/>
  <c r="L247" i="6"/>
  <c r="K247" i="6"/>
  <c r="J247" i="6"/>
  <c r="I247" i="6"/>
  <c r="H247" i="6"/>
  <c r="N246" i="6"/>
  <c r="K246" i="6"/>
  <c r="J246" i="6"/>
  <c r="I246" i="6"/>
  <c r="H246" i="6"/>
  <c r="N245" i="6"/>
  <c r="L245" i="6"/>
  <c r="K245" i="6"/>
  <c r="M245" i="6" s="1"/>
  <c r="J245" i="6"/>
  <c r="I245" i="6"/>
  <c r="H245" i="6"/>
  <c r="N244" i="6"/>
  <c r="M244" i="6"/>
  <c r="K244" i="6"/>
  <c r="L244" i="6" s="1"/>
  <c r="J244" i="6"/>
  <c r="I244" i="6"/>
  <c r="H244" i="6"/>
  <c r="N243" i="6"/>
  <c r="M243" i="6"/>
  <c r="L243" i="6"/>
  <c r="K243" i="6"/>
  <c r="J243" i="6"/>
  <c r="I243" i="6"/>
  <c r="H243" i="6"/>
  <c r="N242" i="6"/>
  <c r="K242" i="6"/>
  <c r="J242" i="6"/>
  <c r="I242" i="6"/>
  <c r="H242" i="6"/>
  <c r="N241" i="6"/>
  <c r="L241" i="6"/>
  <c r="K241" i="6"/>
  <c r="M241" i="6" s="1"/>
  <c r="J241" i="6"/>
  <c r="I241" i="6"/>
  <c r="H241" i="6"/>
  <c r="N240" i="6"/>
  <c r="M240" i="6"/>
  <c r="K240" i="6"/>
  <c r="L240" i="6" s="1"/>
  <c r="J240" i="6"/>
  <c r="I240" i="6"/>
  <c r="H240" i="6"/>
  <c r="N239" i="6"/>
  <c r="M239" i="6"/>
  <c r="L239" i="6"/>
  <c r="K239" i="6"/>
  <c r="J239" i="6"/>
  <c r="I239" i="6"/>
  <c r="H239" i="6"/>
  <c r="N238" i="6"/>
  <c r="K238" i="6"/>
  <c r="J238" i="6"/>
  <c r="I238" i="6"/>
  <c r="H238" i="6"/>
  <c r="N237" i="6"/>
  <c r="L237" i="6"/>
  <c r="K237" i="6"/>
  <c r="M237" i="6" s="1"/>
  <c r="J237" i="6"/>
  <c r="I237" i="6"/>
  <c r="H237" i="6"/>
  <c r="N236" i="6"/>
  <c r="M236" i="6"/>
  <c r="K236" i="6"/>
  <c r="L236" i="6" s="1"/>
  <c r="J236" i="6"/>
  <c r="I236" i="6"/>
  <c r="H236" i="6"/>
  <c r="N235" i="6"/>
  <c r="M235" i="6"/>
  <c r="L235" i="6"/>
  <c r="K235" i="6"/>
  <c r="J235" i="6"/>
  <c r="I235" i="6"/>
  <c r="H235" i="6"/>
  <c r="N234" i="6"/>
  <c r="K234" i="6"/>
  <c r="J234" i="6"/>
  <c r="I234" i="6"/>
  <c r="H234" i="6"/>
  <c r="N233" i="6"/>
  <c r="L233" i="6"/>
  <c r="K233" i="6"/>
  <c r="M233" i="6" s="1"/>
  <c r="J233" i="6"/>
  <c r="I233" i="6"/>
  <c r="H233" i="6"/>
  <c r="N232" i="6"/>
  <c r="M232" i="6"/>
  <c r="K232" i="6"/>
  <c r="L232" i="6" s="1"/>
  <c r="J232" i="6"/>
  <c r="I232" i="6"/>
  <c r="H232" i="6"/>
  <c r="N231" i="6"/>
  <c r="M231" i="6"/>
  <c r="L231" i="6"/>
  <c r="K231" i="6"/>
  <c r="J231" i="6"/>
  <c r="I231" i="6"/>
  <c r="H231" i="6"/>
  <c r="N230" i="6"/>
  <c r="K230" i="6"/>
  <c r="J230" i="6"/>
  <c r="I230" i="6"/>
  <c r="H230" i="6"/>
  <c r="N229" i="6"/>
  <c r="L229" i="6"/>
  <c r="K229" i="6"/>
  <c r="M229" i="6" s="1"/>
  <c r="J229" i="6"/>
  <c r="I229" i="6"/>
  <c r="H229" i="6"/>
  <c r="N228" i="6"/>
  <c r="M228" i="6"/>
  <c r="K228" i="6"/>
  <c r="L228" i="6" s="1"/>
  <c r="J228" i="6"/>
  <c r="I228" i="6"/>
  <c r="H228" i="6"/>
  <c r="N227" i="6"/>
  <c r="M227" i="6"/>
  <c r="L227" i="6"/>
  <c r="K227" i="6"/>
  <c r="J227" i="6"/>
  <c r="I227" i="6"/>
  <c r="H227" i="6"/>
  <c r="N226" i="6"/>
  <c r="K226" i="6"/>
  <c r="J226" i="6"/>
  <c r="I226" i="6"/>
  <c r="H226" i="6"/>
  <c r="N225" i="6"/>
  <c r="L225" i="6"/>
  <c r="K225" i="6"/>
  <c r="M225" i="6" s="1"/>
  <c r="J225" i="6"/>
  <c r="I225" i="6"/>
  <c r="H225" i="6"/>
  <c r="N224" i="6"/>
  <c r="M224" i="6"/>
  <c r="K224" i="6"/>
  <c r="L224" i="6" s="1"/>
  <c r="J224" i="6"/>
  <c r="I224" i="6"/>
  <c r="H224" i="6"/>
  <c r="N223" i="6"/>
  <c r="M223" i="6"/>
  <c r="L223" i="6"/>
  <c r="K223" i="6"/>
  <c r="J223" i="6"/>
  <c r="I223" i="6"/>
  <c r="H223" i="6"/>
  <c r="N222" i="6"/>
  <c r="K222" i="6"/>
  <c r="J222" i="6"/>
  <c r="I222" i="6"/>
  <c r="H222" i="6"/>
  <c r="N221" i="6"/>
  <c r="L221" i="6"/>
  <c r="K221" i="6"/>
  <c r="M221" i="6" s="1"/>
  <c r="J221" i="6"/>
  <c r="I221" i="6"/>
  <c r="H221" i="6"/>
  <c r="N220" i="6"/>
  <c r="M220" i="6"/>
  <c r="K220" i="6"/>
  <c r="L220" i="6" s="1"/>
  <c r="J220" i="6"/>
  <c r="I220" i="6"/>
  <c r="H220" i="6"/>
  <c r="N219" i="6"/>
  <c r="M219" i="6"/>
  <c r="L219" i="6"/>
  <c r="K219" i="6"/>
  <c r="J219" i="6"/>
  <c r="I219" i="6"/>
  <c r="H219" i="6"/>
  <c r="N218" i="6"/>
  <c r="K218" i="6"/>
  <c r="J218" i="6"/>
  <c r="I218" i="6"/>
  <c r="H218" i="6"/>
  <c r="N217" i="6"/>
  <c r="L217" i="6"/>
  <c r="K217" i="6"/>
  <c r="M217" i="6" s="1"/>
  <c r="J217" i="6"/>
  <c r="I217" i="6"/>
  <c r="H217" i="6"/>
  <c r="N216" i="6"/>
  <c r="M216" i="6"/>
  <c r="K216" i="6"/>
  <c r="L216" i="6" s="1"/>
  <c r="J216" i="6"/>
  <c r="I216" i="6"/>
  <c r="H216" i="6"/>
  <c r="N215" i="6"/>
  <c r="M215" i="6"/>
  <c r="L215" i="6"/>
  <c r="K215" i="6"/>
  <c r="J215" i="6"/>
  <c r="I215" i="6"/>
  <c r="H215" i="6"/>
  <c r="N214" i="6"/>
  <c r="K214" i="6"/>
  <c r="J214" i="6"/>
  <c r="I214" i="6"/>
  <c r="H214" i="6"/>
  <c r="N213" i="6"/>
  <c r="L213" i="6"/>
  <c r="K213" i="6"/>
  <c r="M213" i="6" s="1"/>
  <c r="J213" i="6"/>
  <c r="I213" i="6"/>
  <c r="H213" i="6"/>
  <c r="N212" i="6"/>
  <c r="M212" i="6"/>
  <c r="K212" i="6"/>
  <c r="L212" i="6" s="1"/>
  <c r="J212" i="6"/>
  <c r="I212" i="6"/>
  <c r="H212" i="6"/>
  <c r="N211" i="6"/>
  <c r="M211" i="6"/>
  <c r="L211" i="6"/>
  <c r="K211" i="6"/>
  <c r="J211" i="6"/>
  <c r="I211" i="6"/>
  <c r="H211" i="6"/>
  <c r="N210" i="6"/>
  <c r="K210" i="6"/>
  <c r="J210" i="6"/>
  <c r="I210" i="6"/>
  <c r="H210" i="6"/>
  <c r="N209" i="6"/>
  <c r="L209" i="6"/>
  <c r="K209" i="6"/>
  <c r="M209" i="6" s="1"/>
  <c r="J209" i="6"/>
  <c r="I209" i="6"/>
  <c r="H209" i="6"/>
  <c r="N208" i="6"/>
  <c r="M208" i="6"/>
  <c r="K208" i="6"/>
  <c r="L208" i="6" s="1"/>
  <c r="J208" i="6"/>
  <c r="I208" i="6"/>
  <c r="H208" i="6"/>
  <c r="N207" i="6"/>
  <c r="M207" i="6"/>
  <c r="L207" i="6"/>
  <c r="K207" i="6"/>
  <c r="J207" i="6"/>
  <c r="I207" i="6"/>
  <c r="H207" i="6"/>
  <c r="N206" i="6"/>
  <c r="K206" i="6"/>
  <c r="J206" i="6"/>
  <c r="I206" i="6"/>
  <c r="H206" i="6"/>
  <c r="N205" i="6"/>
  <c r="L205" i="6"/>
  <c r="K205" i="6"/>
  <c r="M205" i="6" s="1"/>
  <c r="J205" i="6"/>
  <c r="I205" i="6"/>
  <c r="H205" i="6"/>
  <c r="N204" i="6"/>
  <c r="M204" i="6"/>
  <c r="K204" i="6"/>
  <c r="L204" i="6" s="1"/>
  <c r="J204" i="6"/>
  <c r="I204" i="6"/>
  <c r="H204" i="6"/>
  <c r="N203" i="6"/>
  <c r="M203" i="6"/>
  <c r="L203" i="6"/>
  <c r="K203" i="6"/>
  <c r="J203" i="6"/>
  <c r="I203" i="6"/>
  <c r="H203" i="6"/>
  <c r="N202" i="6"/>
  <c r="K202" i="6"/>
  <c r="J202" i="6"/>
  <c r="I202" i="6"/>
  <c r="H202" i="6"/>
  <c r="N201" i="6"/>
  <c r="L201" i="6"/>
  <c r="K201" i="6"/>
  <c r="M201" i="6" s="1"/>
  <c r="J201" i="6"/>
  <c r="I201" i="6"/>
  <c r="H201" i="6"/>
  <c r="N200" i="6"/>
  <c r="M200" i="6"/>
  <c r="K200" i="6"/>
  <c r="L200" i="6" s="1"/>
  <c r="J200" i="6"/>
  <c r="I200" i="6"/>
  <c r="H200" i="6"/>
  <c r="N199" i="6"/>
  <c r="M199" i="6"/>
  <c r="L199" i="6"/>
  <c r="K199" i="6"/>
  <c r="J199" i="6"/>
  <c r="I199" i="6"/>
  <c r="H199" i="6"/>
  <c r="N198" i="6"/>
  <c r="K198" i="6"/>
  <c r="J198" i="6"/>
  <c r="I198" i="6"/>
  <c r="H198" i="6"/>
  <c r="N197" i="6"/>
  <c r="L197" i="6"/>
  <c r="K197" i="6"/>
  <c r="M197" i="6" s="1"/>
  <c r="J197" i="6"/>
  <c r="I197" i="6"/>
  <c r="H197" i="6"/>
  <c r="N196" i="6"/>
  <c r="M196" i="6"/>
  <c r="K196" i="6"/>
  <c r="L196" i="6" s="1"/>
  <c r="J196" i="6"/>
  <c r="I196" i="6"/>
  <c r="H196" i="6"/>
  <c r="N195" i="6"/>
  <c r="M195" i="6"/>
  <c r="L195" i="6"/>
  <c r="K195" i="6"/>
  <c r="J195" i="6"/>
  <c r="I195" i="6"/>
  <c r="H195" i="6"/>
  <c r="N194" i="6"/>
  <c r="K194" i="6"/>
  <c r="J194" i="6"/>
  <c r="I194" i="6"/>
  <c r="H194" i="6"/>
  <c r="N193" i="6"/>
  <c r="L193" i="6"/>
  <c r="K193" i="6"/>
  <c r="M193" i="6" s="1"/>
  <c r="J193" i="6"/>
  <c r="I193" i="6"/>
  <c r="H193" i="6"/>
  <c r="N192" i="6"/>
  <c r="M192" i="6"/>
  <c r="K192" i="6"/>
  <c r="L192" i="6" s="1"/>
  <c r="J192" i="6"/>
  <c r="I192" i="6"/>
  <c r="H192" i="6"/>
  <c r="N191" i="6"/>
  <c r="M191" i="6"/>
  <c r="L191" i="6"/>
  <c r="K191" i="6"/>
  <c r="J191" i="6"/>
  <c r="I191" i="6"/>
  <c r="H191" i="6"/>
  <c r="N190" i="6"/>
  <c r="K190" i="6"/>
  <c r="J190" i="6"/>
  <c r="I190" i="6"/>
  <c r="H190" i="6"/>
  <c r="N189" i="6"/>
  <c r="L189" i="6"/>
  <c r="K189" i="6"/>
  <c r="M189" i="6" s="1"/>
  <c r="J189" i="6"/>
  <c r="I189" i="6"/>
  <c r="H189" i="6"/>
  <c r="N188" i="6"/>
  <c r="M188" i="6"/>
  <c r="K188" i="6"/>
  <c r="L188" i="6" s="1"/>
  <c r="J188" i="6"/>
  <c r="I188" i="6"/>
  <c r="H188" i="6"/>
  <c r="N187" i="6"/>
  <c r="M187" i="6"/>
  <c r="L187" i="6"/>
  <c r="K187" i="6"/>
  <c r="J187" i="6"/>
  <c r="I187" i="6"/>
  <c r="H187" i="6"/>
  <c r="N186" i="6"/>
  <c r="K186" i="6"/>
  <c r="J186" i="6"/>
  <c r="I186" i="6"/>
  <c r="H186" i="6"/>
  <c r="N185" i="6"/>
  <c r="L185" i="6"/>
  <c r="K185" i="6"/>
  <c r="M185" i="6" s="1"/>
  <c r="J185" i="6"/>
  <c r="I185" i="6"/>
  <c r="H185" i="6"/>
  <c r="N184" i="6"/>
  <c r="M184" i="6"/>
  <c r="K184" i="6"/>
  <c r="L184" i="6" s="1"/>
  <c r="J184" i="6"/>
  <c r="I184" i="6"/>
  <c r="H184" i="6"/>
  <c r="N183" i="6"/>
  <c r="M183" i="6"/>
  <c r="L183" i="6"/>
  <c r="K183" i="6"/>
  <c r="J183" i="6"/>
  <c r="I183" i="6"/>
  <c r="H183" i="6"/>
  <c r="N182" i="6"/>
  <c r="K182" i="6"/>
  <c r="J182" i="6"/>
  <c r="I182" i="6"/>
  <c r="H182" i="6"/>
  <c r="N181" i="6"/>
  <c r="L181" i="6"/>
  <c r="K181" i="6"/>
  <c r="M181" i="6" s="1"/>
  <c r="J181" i="6"/>
  <c r="I181" i="6"/>
  <c r="H181" i="6"/>
  <c r="N180" i="6"/>
  <c r="M180" i="6"/>
  <c r="K180" i="6"/>
  <c r="L180" i="6" s="1"/>
  <c r="J180" i="6"/>
  <c r="I180" i="6"/>
  <c r="H180" i="6"/>
  <c r="N179" i="6"/>
  <c r="M179" i="6"/>
  <c r="L179" i="6"/>
  <c r="K179" i="6"/>
  <c r="J179" i="6"/>
  <c r="I179" i="6"/>
  <c r="H179" i="6"/>
  <c r="N178" i="6"/>
  <c r="K178" i="6"/>
  <c r="J178" i="6"/>
  <c r="I178" i="6"/>
  <c r="H178" i="6"/>
  <c r="N177" i="6"/>
  <c r="L177" i="6"/>
  <c r="K177" i="6"/>
  <c r="M177" i="6" s="1"/>
  <c r="J177" i="6"/>
  <c r="I177" i="6"/>
  <c r="H177" i="6"/>
  <c r="N176" i="6"/>
  <c r="M176" i="6"/>
  <c r="K176" i="6"/>
  <c r="L176" i="6" s="1"/>
  <c r="J176" i="6"/>
  <c r="I176" i="6"/>
  <c r="H176" i="6"/>
  <c r="N175" i="6"/>
  <c r="M175" i="6"/>
  <c r="L175" i="6"/>
  <c r="K175" i="6"/>
  <c r="J175" i="6"/>
  <c r="I175" i="6"/>
  <c r="H175" i="6"/>
  <c r="N174" i="6"/>
  <c r="K174" i="6"/>
  <c r="J174" i="6"/>
  <c r="I174" i="6"/>
  <c r="H174" i="6"/>
  <c r="N173" i="6"/>
  <c r="L173" i="6"/>
  <c r="K173" i="6"/>
  <c r="M173" i="6" s="1"/>
  <c r="J173" i="6"/>
  <c r="I173" i="6"/>
  <c r="H173" i="6"/>
  <c r="N172" i="6"/>
  <c r="M172" i="6"/>
  <c r="K172" i="6"/>
  <c r="L172" i="6" s="1"/>
  <c r="J172" i="6"/>
  <c r="I172" i="6"/>
  <c r="H172" i="6"/>
  <c r="N171" i="6"/>
  <c r="M171" i="6"/>
  <c r="L171" i="6"/>
  <c r="K171" i="6"/>
  <c r="J171" i="6"/>
  <c r="I171" i="6"/>
  <c r="H171" i="6"/>
  <c r="N170" i="6"/>
  <c r="K170" i="6"/>
  <c r="J170" i="6"/>
  <c r="I170" i="6"/>
  <c r="H170" i="6"/>
  <c r="N169" i="6"/>
  <c r="L169" i="6"/>
  <c r="K169" i="6"/>
  <c r="M169" i="6" s="1"/>
  <c r="J169" i="6"/>
  <c r="I169" i="6"/>
  <c r="H169" i="6"/>
  <c r="N168" i="6"/>
  <c r="M168" i="6"/>
  <c r="K168" i="6"/>
  <c r="L168" i="6" s="1"/>
  <c r="J168" i="6"/>
  <c r="I168" i="6"/>
  <c r="H168" i="6"/>
  <c r="N167" i="6"/>
  <c r="M167" i="6"/>
  <c r="L167" i="6"/>
  <c r="K167" i="6"/>
  <c r="J167" i="6"/>
  <c r="I167" i="6"/>
  <c r="H167" i="6"/>
  <c r="N166" i="6"/>
  <c r="K166" i="6"/>
  <c r="J166" i="6"/>
  <c r="I166" i="6"/>
  <c r="H166" i="6"/>
  <c r="N165" i="6"/>
  <c r="L165" i="6"/>
  <c r="K165" i="6"/>
  <c r="M165" i="6" s="1"/>
  <c r="J165" i="6"/>
  <c r="I165" i="6"/>
  <c r="H165" i="6"/>
  <c r="N164" i="6"/>
  <c r="M164" i="6"/>
  <c r="K164" i="6"/>
  <c r="L164" i="6" s="1"/>
  <c r="J164" i="6"/>
  <c r="I164" i="6"/>
  <c r="H164" i="6"/>
  <c r="N163" i="6"/>
  <c r="M163" i="6"/>
  <c r="L163" i="6"/>
  <c r="K163" i="6"/>
  <c r="J163" i="6"/>
  <c r="I163" i="6"/>
  <c r="H163" i="6"/>
  <c r="N162" i="6"/>
  <c r="K162" i="6"/>
  <c r="J162" i="6"/>
  <c r="I162" i="6"/>
  <c r="H162" i="6"/>
  <c r="N161" i="6"/>
  <c r="L161" i="6"/>
  <c r="K161" i="6"/>
  <c r="M161" i="6" s="1"/>
  <c r="J161" i="6"/>
  <c r="I161" i="6"/>
  <c r="H161" i="6"/>
  <c r="N160" i="6"/>
  <c r="M160" i="6"/>
  <c r="K160" i="6"/>
  <c r="L160" i="6" s="1"/>
  <c r="J160" i="6"/>
  <c r="I160" i="6"/>
  <c r="H160" i="6"/>
  <c r="N159" i="6"/>
  <c r="M159" i="6"/>
  <c r="L159" i="6"/>
  <c r="K159" i="6"/>
  <c r="J159" i="6"/>
  <c r="I159" i="6"/>
  <c r="H159" i="6"/>
  <c r="N158" i="6"/>
  <c r="K158" i="6"/>
  <c r="J158" i="6"/>
  <c r="I158" i="6"/>
  <c r="H158" i="6"/>
  <c r="N157" i="6"/>
  <c r="L157" i="6"/>
  <c r="K157" i="6"/>
  <c r="M157" i="6" s="1"/>
  <c r="J157" i="6"/>
  <c r="I157" i="6"/>
  <c r="H157" i="6"/>
  <c r="N156" i="6"/>
  <c r="M156" i="6"/>
  <c r="K156" i="6"/>
  <c r="L156" i="6" s="1"/>
  <c r="J156" i="6"/>
  <c r="I156" i="6"/>
  <c r="H156" i="6"/>
  <c r="N155" i="6"/>
  <c r="M155" i="6"/>
  <c r="L155" i="6"/>
  <c r="K155" i="6"/>
  <c r="J155" i="6"/>
  <c r="I155" i="6"/>
  <c r="H155" i="6"/>
  <c r="N154" i="6"/>
  <c r="K154" i="6"/>
  <c r="J154" i="6"/>
  <c r="I154" i="6"/>
  <c r="H154" i="6"/>
  <c r="N153" i="6"/>
  <c r="L153" i="6"/>
  <c r="K153" i="6"/>
  <c r="M153" i="6" s="1"/>
  <c r="J153" i="6"/>
  <c r="I153" i="6"/>
  <c r="H153" i="6"/>
  <c r="N152" i="6"/>
  <c r="M152" i="6"/>
  <c r="K152" i="6"/>
  <c r="L152" i="6" s="1"/>
  <c r="J152" i="6"/>
  <c r="I152" i="6"/>
  <c r="H152" i="6"/>
  <c r="N151" i="6"/>
  <c r="M151" i="6"/>
  <c r="L151" i="6"/>
  <c r="K151" i="6"/>
  <c r="J151" i="6"/>
  <c r="I151" i="6"/>
  <c r="H151" i="6"/>
  <c r="N150" i="6"/>
  <c r="K150" i="6"/>
  <c r="J150" i="6"/>
  <c r="I150" i="6"/>
  <c r="H150" i="6"/>
  <c r="N149" i="6"/>
  <c r="L149" i="6"/>
  <c r="K149" i="6"/>
  <c r="M149" i="6" s="1"/>
  <c r="J149" i="6"/>
  <c r="I149" i="6"/>
  <c r="H149" i="6"/>
  <c r="N148" i="6"/>
  <c r="M148" i="6"/>
  <c r="K148" i="6"/>
  <c r="L148" i="6" s="1"/>
  <c r="J148" i="6"/>
  <c r="I148" i="6"/>
  <c r="H148" i="6"/>
  <c r="N147" i="6"/>
  <c r="M147" i="6"/>
  <c r="L147" i="6"/>
  <c r="K147" i="6"/>
  <c r="J147" i="6"/>
  <c r="I147" i="6"/>
  <c r="H147" i="6"/>
  <c r="N146" i="6"/>
  <c r="K146" i="6"/>
  <c r="J146" i="6"/>
  <c r="I146" i="6"/>
  <c r="H146" i="6"/>
  <c r="N145" i="6"/>
  <c r="L145" i="6"/>
  <c r="K145" i="6"/>
  <c r="M145" i="6" s="1"/>
  <c r="J145" i="6"/>
  <c r="I145" i="6"/>
  <c r="H145" i="6"/>
  <c r="N144" i="6"/>
  <c r="M144" i="6"/>
  <c r="K144" i="6"/>
  <c r="L144" i="6" s="1"/>
  <c r="J144" i="6"/>
  <c r="I144" i="6"/>
  <c r="H144" i="6"/>
  <c r="N143" i="6"/>
  <c r="M143" i="6"/>
  <c r="L143" i="6"/>
  <c r="K143" i="6"/>
  <c r="J143" i="6"/>
  <c r="I143" i="6"/>
  <c r="H143" i="6"/>
  <c r="N142" i="6"/>
  <c r="K142" i="6"/>
  <c r="J142" i="6"/>
  <c r="I142" i="6"/>
  <c r="H142" i="6"/>
  <c r="N141" i="6"/>
  <c r="L141" i="6"/>
  <c r="K141" i="6"/>
  <c r="M141" i="6" s="1"/>
  <c r="J141" i="6"/>
  <c r="I141" i="6"/>
  <c r="H141" i="6"/>
  <c r="N140" i="6"/>
  <c r="M140" i="6"/>
  <c r="K140" i="6"/>
  <c r="L140" i="6" s="1"/>
  <c r="J140" i="6"/>
  <c r="I140" i="6"/>
  <c r="H140" i="6"/>
  <c r="N139" i="6"/>
  <c r="M139" i="6"/>
  <c r="L139" i="6"/>
  <c r="K139" i="6"/>
  <c r="J139" i="6"/>
  <c r="I139" i="6"/>
  <c r="H139" i="6"/>
  <c r="N138" i="6"/>
  <c r="K138" i="6"/>
  <c r="J138" i="6"/>
  <c r="I138" i="6"/>
  <c r="H138" i="6"/>
  <c r="N137" i="6"/>
  <c r="L137" i="6"/>
  <c r="K137" i="6"/>
  <c r="M137" i="6" s="1"/>
  <c r="J137" i="6"/>
  <c r="I137" i="6"/>
  <c r="H137" i="6"/>
  <c r="N136" i="6"/>
  <c r="M136" i="6"/>
  <c r="K136" i="6"/>
  <c r="L136" i="6" s="1"/>
  <c r="J136" i="6"/>
  <c r="I136" i="6"/>
  <c r="H136" i="6"/>
  <c r="N135" i="6"/>
  <c r="M135" i="6"/>
  <c r="L135" i="6"/>
  <c r="K135" i="6"/>
  <c r="J135" i="6"/>
  <c r="I135" i="6"/>
  <c r="H135" i="6"/>
  <c r="N134" i="6"/>
  <c r="K134" i="6"/>
  <c r="J134" i="6"/>
  <c r="I134" i="6"/>
  <c r="H134" i="6"/>
  <c r="N133" i="6"/>
  <c r="L133" i="6"/>
  <c r="K133" i="6"/>
  <c r="M133" i="6" s="1"/>
  <c r="J133" i="6"/>
  <c r="I133" i="6"/>
  <c r="H133" i="6"/>
  <c r="N132" i="6"/>
  <c r="M132" i="6"/>
  <c r="K132" i="6"/>
  <c r="L132" i="6" s="1"/>
  <c r="J132" i="6"/>
  <c r="I132" i="6"/>
  <c r="H132" i="6"/>
  <c r="N131" i="6"/>
  <c r="M131" i="6"/>
  <c r="L131" i="6"/>
  <c r="K131" i="6"/>
  <c r="J131" i="6"/>
  <c r="I131" i="6"/>
  <c r="H131" i="6"/>
  <c r="N130" i="6"/>
  <c r="K130" i="6"/>
  <c r="J130" i="6"/>
  <c r="I130" i="6"/>
  <c r="H130" i="6"/>
  <c r="N129" i="6"/>
  <c r="L129" i="6"/>
  <c r="K129" i="6"/>
  <c r="M129" i="6" s="1"/>
  <c r="J129" i="6"/>
  <c r="I129" i="6"/>
  <c r="H129" i="6"/>
  <c r="N128" i="6"/>
  <c r="M128" i="6"/>
  <c r="K128" i="6"/>
  <c r="L128" i="6" s="1"/>
  <c r="J128" i="6"/>
  <c r="I128" i="6"/>
  <c r="H128" i="6"/>
  <c r="N127" i="6"/>
  <c r="M127" i="6"/>
  <c r="L127" i="6"/>
  <c r="K127" i="6"/>
  <c r="J127" i="6"/>
  <c r="I127" i="6"/>
  <c r="H127" i="6"/>
  <c r="N126" i="6"/>
  <c r="K126" i="6"/>
  <c r="J126" i="6"/>
  <c r="I126" i="6"/>
  <c r="H126" i="6"/>
  <c r="N125" i="6"/>
  <c r="L125" i="6"/>
  <c r="K125" i="6"/>
  <c r="M125" i="6" s="1"/>
  <c r="J125" i="6"/>
  <c r="I125" i="6"/>
  <c r="H125" i="6"/>
  <c r="N124" i="6"/>
  <c r="K124" i="6"/>
  <c r="L124" i="6" s="1"/>
  <c r="J124" i="6"/>
  <c r="I124" i="6"/>
  <c r="H124" i="6"/>
  <c r="N123" i="6"/>
  <c r="M123" i="6"/>
  <c r="L123" i="6"/>
  <c r="K123" i="6"/>
  <c r="J123" i="6"/>
  <c r="I123" i="6"/>
  <c r="H123" i="6"/>
  <c r="N122" i="6"/>
  <c r="M122" i="6"/>
  <c r="K122" i="6"/>
  <c r="L122" i="6" s="1"/>
  <c r="J122" i="6"/>
  <c r="I122" i="6"/>
  <c r="H122" i="6"/>
  <c r="N121" i="6"/>
  <c r="L121" i="6"/>
  <c r="K121" i="6"/>
  <c r="M121" i="6" s="1"/>
  <c r="J121" i="6"/>
  <c r="I121" i="6"/>
  <c r="H121" i="6"/>
  <c r="N120" i="6"/>
  <c r="M120" i="6"/>
  <c r="K120" i="6"/>
  <c r="L120" i="6" s="1"/>
  <c r="J120" i="6"/>
  <c r="I120" i="6"/>
  <c r="H120" i="6"/>
  <c r="N119" i="6"/>
  <c r="M119" i="6"/>
  <c r="L119" i="6"/>
  <c r="K119" i="6"/>
  <c r="J119" i="6"/>
  <c r="I119" i="6"/>
  <c r="H119" i="6"/>
  <c r="N118" i="6"/>
  <c r="K118" i="6"/>
  <c r="L118" i="6" s="1"/>
  <c r="J118" i="6"/>
  <c r="I118" i="6"/>
  <c r="H118" i="6"/>
  <c r="N117" i="6"/>
  <c r="L117" i="6"/>
  <c r="K117" i="6"/>
  <c r="M117" i="6" s="1"/>
  <c r="J117" i="6"/>
  <c r="I117" i="6"/>
  <c r="H117" i="6"/>
  <c r="N116" i="6"/>
  <c r="K116" i="6"/>
  <c r="L116" i="6" s="1"/>
  <c r="J116" i="6"/>
  <c r="I116" i="6"/>
  <c r="H116" i="6"/>
  <c r="N115" i="6"/>
  <c r="M115" i="6"/>
  <c r="L115" i="6"/>
  <c r="K115" i="6"/>
  <c r="J115" i="6"/>
  <c r="I115" i="6"/>
  <c r="H115" i="6"/>
  <c r="N114" i="6"/>
  <c r="M114" i="6"/>
  <c r="K114" i="6"/>
  <c r="L114" i="6" s="1"/>
  <c r="J114" i="6"/>
  <c r="I114" i="6"/>
  <c r="H114" i="6"/>
  <c r="N113" i="6"/>
  <c r="K113" i="6"/>
  <c r="M113" i="6" s="1"/>
  <c r="J113" i="6"/>
  <c r="I113" i="6"/>
  <c r="H113" i="6"/>
  <c r="N112" i="6"/>
  <c r="K112" i="6"/>
  <c r="L112" i="6" s="1"/>
  <c r="J112" i="6"/>
  <c r="I112" i="6"/>
  <c r="H112" i="6"/>
  <c r="N111" i="6"/>
  <c r="M111" i="6"/>
  <c r="L111" i="6"/>
  <c r="K111" i="6"/>
  <c r="J111" i="6"/>
  <c r="I111" i="6"/>
  <c r="H111" i="6"/>
  <c r="N110" i="6"/>
  <c r="K110" i="6"/>
  <c r="M110" i="6" s="1"/>
  <c r="J110" i="6"/>
  <c r="I110" i="6"/>
  <c r="H110" i="6"/>
  <c r="N109" i="6"/>
  <c r="K109" i="6"/>
  <c r="M109" i="6" s="1"/>
  <c r="J109" i="6"/>
  <c r="I109" i="6"/>
  <c r="H109" i="6"/>
  <c r="N108" i="6"/>
  <c r="K108" i="6"/>
  <c r="L108" i="6" s="1"/>
  <c r="J108" i="6"/>
  <c r="I108" i="6"/>
  <c r="H108" i="6"/>
  <c r="N107" i="6"/>
  <c r="M107" i="6"/>
  <c r="L107" i="6"/>
  <c r="K107" i="6"/>
  <c r="J107" i="6"/>
  <c r="I107" i="6"/>
  <c r="H107" i="6"/>
  <c r="N106" i="6"/>
  <c r="M106" i="6"/>
  <c r="K106" i="6"/>
  <c r="L106" i="6" s="1"/>
  <c r="J106" i="6"/>
  <c r="I106" i="6"/>
  <c r="H106" i="6"/>
  <c r="N105" i="6"/>
  <c r="K105" i="6"/>
  <c r="M105" i="6" s="1"/>
  <c r="J105" i="6"/>
  <c r="I105" i="6"/>
  <c r="H105" i="6"/>
  <c r="N104" i="6"/>
  <c r="K104" i="6"/>
  <c r="L104" i="6" s="1"/>
  <c r="J104" i="6"/>
  <c r="I104" i="6"/>
  <c r="H104" i="6"/>
  <c r="N103" i="6"/>
  <c r="M103" i="6"/>
  <c r="L103" i="6"/>
  <c r="K103" i="6"/>
  <c r="J103" i="6"/>
  <c r="I103" i="6"/>
  <c r="H103" i="6"/>
  <c r="N102" i="6"/>
  <c r="K102" i="6"/>
  <c r="M102" i="6" s="1"/>
  <c r="J102" i="6"/>
  <c r="I102" i="6"/>
  <c r="H102" i="6"/>
  <c r="N101" i="6"/>
  <c r="K101" i="6"/>
  <c r="M101" i="6" s="1"/>
  <c r="J101" i="6"/>
  <c r="I101" i="6"/>
  <c r="H101" i="6"/>
  <c r="N100" i="6"/>
  <c r="K100" i="6"/>
  <c r="L100" i="6" s="1"/>
  <c r="J100" i="6"/>
  <c r="I100" i="6"/>
  <c r="H100" i="6"/>
  <c r="N99" i="6"/>
  <c r="M99" i="6"/>
  <c r="L99" i="6"/>
  <c r="K99" i="6"/>
  <c r="J99" i="6"/>
  <c r="I99" i="6"/>
  <c r="H99" i="6"/>
  <c r="N98" i="6"/>
  <c r="M98" i="6"/>
  <c r="K98" i="6"/>
  <c r="L98" i="6" s="1"/>
  <c r="J98" i="6"/>
  <c r="I98" i="6"/>
  <c r="H98" i="6"/>
  <c r="N97" i="6"/>
  <c r="K97" i="6"/>
  <c r="M97" i="6" s="1"/>
  <c r="J97" i="6"/>
  <c r="I97" i="6"/>
  <c r="H97" i="6"/>
  <c r="N96" i="6"/>
  <c r="K96" i="6"/>
  <c r="L96" i="6" s="1"/>
  <c r="J96" i="6"/>
  <c r="I96" i="6"/>
  <c r="H96" i="6"/>
  <c r="N95" i="6"/>
  <c r="M95" i="6"/>
  <c r="L95" i="6"/>
  <c r="K95" i="6"/>
  <c r="J95" i="6"/>
  <c r="I95" i="6"/>
  <c r="H95" i="6"/>
  <c r="N94" i="6"/>
  <c r="K94" i="6"/>
  <c r="M94" i="6" s="1"/>
  <c r="J94" i="6"/>
  <c r="I94" i="6"/>
  <c r="H94" i="6"/>
  <c r="N93" i="6"/>
  <c r="K93" i="6"/>
  <c r="M93" i="6" s="1"/>
  <c r="J93" i="6"/>
  <c r="I93" i="6"/>
  <c r="H93" i="6"/>
  <c r="N92" i="6"/>
  <c r="K92" i="6"/>
  <c r="L92" i="6" s="1"/>
  <c r="J92" i="6"/>
  <c r="I92" i="6"/>
  <c r="H92" i="6"/>
  <c r="N91" i="6"/>
  <c r="M91" i="6"/>
  <c r="L91" i="6"/>
  <c r="K91" i="6"/>
  <c r="J91" i="6"/>
  <c r="I91" i="6"/>
  <c r="H91" i="6"/>
  <c r="N90" i="6"/>
  <c r="M90" i="6"/>
  <c r="K90" i="6"/>
  <c r="L90" i="6" s="1"/>
  <c r="J90" i="6"/>
  <c r="I90" i="6"/>
  <c r="H90" i="6"/>
  <c r="N89" i="6"/>
  <c r="K89" i="6"/>
  <c r="M89" i="6" s="1"/>
  <c r="J89" i="6"/>
  <c r="I89" i="6"/>
  <c r="H89" i="6"/>
  <c r="N88" i="6"/>
  <c r="K88" i="6"/>
  <c r="L88" i="6" s="1"/>
  <c r="J88" i="6"/>
  <c r="I88" i="6"/>
  <c r="H88" i="6"/>
  <c r="N87" i="6"/>
  <c r="M87" i="6"/>
  <c r="L87" i="6"/>
  <c r="K87" i="6"/>
  <c r="J87" i="6"/>
  <c r="I87" i="6"/>
  <c r="H87" i="6"/>
  <c r="N86" i="6"/>
  <c r="K86" i="6"/>
  <c r="M86" i="6" s="1"/>
  <c r="J86" i="6"/>
  <c r="I86" i="6"/>
  <c r="H86" i="6"/>
  <c r="N85" i="6"/>
  <c r="K85" i="6"/>
  <c r="M85" i="6" s="1"/>
  <c r="J85" i="6"/>
  <c r="I85" i="6"/>
  <c r="H85" i="6"/>
  <c r="N84" i="6"/>
  <c r="K84" i="6"/>
  <c r="L84" i="6" s="1"/>
  <c r="J84" i="6"/>
  <c r="I84" i="6"/>
  <c r="H84" i="6"/>
  <c r="N83" i="6"/>
  <c r="M83" i="6"/>
  <c r="L83" i="6"/>
  <c r="K83" i="6"/>
  <c r="J83" i="6"/>
  <c r="I83" i="6"/>
  <c r="H83" i="6"/>
  <c r="N82" i="6"/>
  <c r="M82" i="6"/>
  <c r="K82" i="6"/>
  <c r="L82" i="6" s="1"/>
  <c r="J82" i="6"/>
  <c r="I82" i="6"/>
  <c r="H82" i="6"/>
  <c r="N81" i="6"/>
  <c r="K81" i="6"/>
  <c r="M81" i="6" s="1"/>
  <c r="J81" i="6"/>
  <c r="I81" i="6"/>
  <c r="H81" i="6"/>
  <c r="N80" i="6"/>
  <c r="K80" i="6"/>
  <c r="L80" i="6" s="1"/>
  <c r="J80" i="6"/>
  <c r="I80" i="6"/>
  <c r="H80" i="6"/>
  <c r="N79" i="6"/>
  <c r="M79" i="6"/>
  <c r="L79" i="6"/>
  <c r="K79" i="6"/>
  <c r="J79" i="6"/>
  <c r="I79" i="6"/>
  <c r="H79" i="6"/>
  <c r="N78" i="6"/>
  <c r="K78" i="6"/>
  <c r="M78" i="6" s="1"/>
  <c r="J78" i="6"/>
  <c r="I78" i="6"/>
  <c r="H78" i="6"/>
  <c r="N77" i="6"/>
  <c r="K77" i="6"/>
  <c r="M77" i="6" s="1"/>
  <c r="J77" i="6"/>
  <c r="I77" i="6"/>
  <c r="H77" i="6"/>
  <c r="N76" i="6"/>
  <c r="K76" i="6"/>
  <c r="L76" i="6" s="1"/>
  <c r="J76" i="6"/>
  <c r="I76" i="6"/>
  <c r="H76" i="6"/>
  <c r="N75" i="6"/>
  <c r="M75" i="6"/>
  <c r="L75" i="6"/>
  <c r="K75" i="6"/>
  <c r="J75" i="6"/>
  <c r="I75" i="6"/>
  <c r="H75" i="6"/>
  <c r="N74" i="6"/>
  <c r="M74" i="6"/>
  <c r="K74" i="6"/>
  <c r="L74" i="6" s="1"/>
  <c r="J74" i="6"/>
  <c r="I74" i="6"/>
  <c r="H74" i="6"/>
  <c r="N73" i="6"/>
  <c r="K73" i="6"/>
  <c r="M73" i="6" s="1"/>
  <c r="J73" i="6"/>
  <c r="I73" i="6"/>
  <c r="H73" i="6"/>
  <c r="N72" i="6"/>
  <c r="K72" i="6"/>
  <c r="L72" i="6" s="1"/>
  <c r="J72" i="6"/>
  <c r="I72" i="6"/>
  <c r="H72" i="6"/>
  <c r="N71" i="6"/>
  <c r="M71" i="6"/>
  <c r="L71" i="6"/>
  <c r="K71" i="6"/>
  <c r="J71" i="6"/>
  <c r="I71" i="6"/>
  <c r="H71" i="6"/>
  <c r="N70" i="6"/>
  <c r="K70" i="6"/>
  <c r="M70" i="6" s="1"/>
  <c r="J70" i="6"/>
  <c r="I70" i="6"/>
  <c r="H70" i="6"/>
  <c r="N69" i="6"/>
  <c r="L69" i="6"/>
  <c r="K69" i="6"/>
  <c r="M69" i="6" s="1"/>
  <c r="J69" i="6"/>
  <c r="I69" i="6"/>
  <c r="H69" i="6"/>
  <c r="N68" i="6"/>
  <c r="M68" i="6"/>
  <c r="K68" i="6"/>
  <c r="L68" i="6" s="1"/>
  <c r="J68" i="6"/>
  <c r="I68" i="6"/>
  <c r="H68" i="6"/>
  <c r="N67" i="6"/>
  <c r="M67" i="6"/>
  <c r="L67" i="6"/>
  <c r="K67" i="6"/>
  <c r="J67" i="6"/>
  <c r="I67" i="6"/>
  <c r="H67" i="6"/>
  <c r="N66" i="6"/>
  <c r="K66" i="6"/>
  <c r="M66" i="6" s="1"/>
  <c r="J66" i="6"/>
  <c r="I66" i="6"/>
  <c r="H66" i="6"/>
  <c r="N65" i="6"/>
  <c r="L65" i="6"/>
  <c r="K65" i="6"/>
  <c r="M65" i="6" s="1"/>
  <c r="J65" i="6"/>
  <c r="I65" i="6"/>
  <c r="H65" i="6"/>
  <c r="N64" i="6"/>
  <c r="M64" i="6"/>
  <c r="K64" i="6"/>
  <c r="L64" i="6" s="1"/>
  <c r="J64" i="6"/>
  <c r="I64" i="6"/>
  <c r="H64" i="6"/>
  <c r="N63" i="6"/>
  <c r="M63" i="6"/>
  <c r="L63" i="6"/>
  <c r="K63" i="6"/>
  <c r="J63" i="6"/>
  <c r="I63" i="6"/>
  <c r="H63" i="6"/>
  <c r="N62" i="6"/>
  <c r="K62" i="6"/>
  <c r="M62" i="6" s="1"/>
  <c r="J62" i="6"/>
  <c r="I62" i="6"/>
  <c r="H62" i="6"/>
  <c r="N61" i="6"/>
  <c r="L61" i="6"/>
  <c r="K61" i="6"/>
  <c r="M61" i="6" s="1"/>
  <c r="J61" i="6"/>
  <c r="I61" i="6"/>
  <c r="H61" i="6"/>
  <c r="N60" i="6"/>
  <c r="M60" i="6"/>
  <c r="K60" i="6"/>
  <c r="L60" i="6" s="1"/>
  <c r="J60" i="6"/>
  <c r="I60" i="6"/>
  <c r="H60" i="6"/>
  <c r="N59" i="6"/>
  <c r="M59" i="6"/>
  <c r="L59" i="6"/>
  <c r="K59" i="6"/>
  <c r="J59" i="6"/>
  <c r="I59" i="6"/>
  <c r="H59" i="6"/>
  <c r="N58" i="6"/>
  <c r="K58" i="6"/>
  <c r="M58" i="6" s="1"/>
  <c r="J58" i="6"/>
  <c r="I58" i="6"/>
  <c r="H58" i="6"/>
  <c r="N57" i="6"/>
  <c r="L57" i="6"/>
  <c r="K57" i="6"/>
  <c r="M57" i="6" s="1"/>
  <c r="J57" i="6"/>
  <c r="I57" i="6"/>
  <c r="H57" i="6"/>
  <c r="N56" i="6"/>
  <c r="M56" i="6"/>
  <c r="K56" i="6"/>
  <c r="L56" i="6" s="1"/>
  <c r="J56" i="6"/>
  <c r="I56" i="6"/>
  <c r="H56" i="6"/>
  <c r="N55" i="6"/>
  <c r="M55" i="6"/>
  <c r="L55" i="6"/>
  <c r="K55" i="6"/>
  <c r="J55" i="6"/>
  <c r="I55" i="6"/>
  <c r="H55" i="6"/>
  <c r="N54" i="6"/>
  <c r="K54" i="6"/>
  <c r="M54" i="6" s="1"/>
  <c r="J54" i="6"/>
  <c r="I54" i="6"/>
  <c r="H54" i="6"/>
  <c r="N53" i="6"/>
  <c r="L53" i="6"/>
  <c r="K53" i="6"/>
  <c r="M53" i="6" s="1"/>
  <c r="J53" i="6"/>
  <c r="I53" i="6"/>
  <c r="H53" i="6"/>
  <c r="N52" i="6"/>
  <c r="M52" i="6"/>
  <c r="K52" i="6"/>
  <c r="L52" i="6" s="1"/>
  <c r="J52" i="6"/>
  <c r="I52" i="6"/>
  <c r="H52" i="6"/>
  <c r="N51" i="6"/>
  <c r="M51" i="6"/>
  <c r="L51" i="6"/>
  <c r="K51" i="6"/>
  <c r="J51" i="6"/>
  <c r="I51" i="6"/>
  <c r="H51" i="6"/>
  <c r="N50" i="6"/>
  <c r="K50" i="6"/>
  <c r="M50" i="6" s="1"/>
  <c r="J50" i="6"/>
  <c r="I50" i="6"/>
  <c r="H50" i="6"/>
  <c r="N49" i="6"/>
  <c r="L49" i="6"/>
  <c r="K49" i="6"/>
  <c r="M49" i="6" s="1"/>
  <c r="J49" i="6"/>
  <c r="I49" i="6"/>
  <c r="H49" i="6"/>
  <c r="N48" i="6"/>
  <c r="M48" i="6"/>
  <c r="K48" i="6"/>
  <c r="L48" i="6" s="1"/>
  <c r="J48" i="6"/>
  <c r="I48" i="6"/>
  <c r="H48" i="6"/>
  <c r="N47" i="6"/>
  <c r="M47" i="6"/>
  <c r="L47" i="6"/>
  <c r="K47" i="6"/>
  <c r="J47" i="6"/>
  <c r="I47" i="6"/>
  <c r="H47" i="6"/>
  <c r="N46" i="6"/>
  <c r="K46" i="6"/>
  <c r="M46" i="6" s="1"/>
  <c r="J46" i="6"/>
  <c r="I46" i="6"/>
  <c r="H46" i="6"/>
  <c r="N45" i="6"/>
  <c r="L45" i="6"/>
  <c r="K45" i="6"/>
  <c r="M45" i="6" s="1"/>
  <c r="J45" i="6"/>
  <c r="I45" i="6"/>
  <c r="H45" i="6"/>
  <c r="N44" i="6"/>
  <c r="M44" i="6"/>
  <c r="K44" i="6"/>
  <c r="L44" i="6" s="1"/>
  <c r="J44" i="6"/>
  <c r="I44" i="6"/>
  <c r="H44" i="6"/>
  <c r="N43" i="6"/>
  <c r="M43" i="6"/>
  <c r="L43" i="6"/>
  <c r="K43" i="6"/>
  <c r="J43" i="6"/>
  <c r="I43" i="6"/>
  <c r="H43" i="6"/>
  <c r="N42" i="6"/>
  <c r="K42" i="6"/>
  <c r="M42" i="6" s="1"/>
  <c r="J42" i="6"/>
  <c r="I42" i="6"/>
  <c r="H42" i="6"/>
  <c r="N41" i="6"/>
  <c r="L41" i="6"/>
  <c r="K41" i="6"/>
  <c r="M41" i="6" s="1"/>
  <c r="J41" i="6"/>
  <c r="I41" i="6"/>
  <c r="H41" i="6"/>
  <c r="N40" i="6"/>
  <c r="M40" i="6"/>
  <c r="K40" i="6"/>
  <c r="L40" i="6" s="1"/>
  <c r="J40" i="6"/>
  <c r="I40" i="6"/>
  <c r="H40" i="6"/>
  <c r="N39" i="6"/>
  <c r="M39" i="6"/>
  <c r="L39" i="6"/>
  <c r="K39" i="6"/>
  <c r="J39" i="6"/>
  <c r="I39" i="6"/>
  <c r="H39" i="6"/>
  <c r="N38" i="6"/>
  <c r="K38" i="6"/>
  <c r="M38" i="6" s="1"/>
  <c r="J38" i="6"/>
  <c r="I38" i="6"/>
  <c r="H38" i="6"/>
  <c r="N37" i="6"/>
  <c r="L37" i="6"/>
  <c r="K37" i="6"/>
  <c r="M37" i="6" s="1"/>
  <c r="J37" i="6"/>
  <c r="I37" i="6"/>
  <c r="H37" i="6"/>
  <c r="N36" i="6"/>
  <c r="M36" i="6"/>
  <c r="K36" i="6"/>
  <c r="L36" i="6" s="1"/>
  <c r="J36" i="6"/>
  <c r="I36" i="6"/>
  <c r="H36" i="6"/>
  <c r="N35" i="6"/>
  <c r="M35" i="6"/>
  <c r="L35" i="6"/>
  <c r="K35" i="6"/>
  <c r="J35" i="6"/>
  <c r="I35" i="6"/>
  <c r="H35" i="6"/>
  <c r="N34" i="6"/>
  <c r="K34" i="6"/>
  <c r="M34" i="6" s="1"/>
  <c r="J34" i="6"/>
  <c r="I34" i="6"/>
  <c r="H34" i="6"/>
  <c r="N33" i="6"/>
  <c r="L33" i="6"/>
  <c r="K33" i="6"/>
  <c r="M33" i="6" s="1"/>
  <c r="J33" i="6"/>
  <c r="I33" i="6"/>
  <c r="H33" i="6"/>
  <c r="N32" i="6"/>
  <c r="M32" i="6"/>
  <c r="K32" i="6"/>
  <c r="L32" i="6" s="1"/>
  <c r="J32" i="6"/>
  <c r="I32" i="6"/>
  <c r="H32" i="6"/>
  <c r="N31" i="6"/>
  <c r="M31" i="6"/>
  <c r="L31" i="6"/>
  <c r="K31" i="6"/>
  <c r="J31" i="6"/>
  <c r="I31" i="6"/>
  <c r="H31" i="6"/>
  <c r="N30" i="6"/>
  <c r="K30" i="6"/>
  <c r="M30" i="6" s="1"/>
  <c r="J30" i="6"/>
  <c r="I30" i="6"/>
  <c r="H30" i="6"/>
  <c r="N29" i="6"/>
  <c r="L29" i="6"/>
  <c r="K29" i="6"/>
  <c r="M29" i="6" s="1"/>
  <c r="J29" i="6"/>
  <c r="I29" i="6"/>
  <c r="H29" i="6"/>
  <c r="N28" i="6"/>
  <c r="M28" i="6"/>
  <c r="K28" i="6"/>
  <c r="L28" i="6" s="1"/>
  <c r="J28" i="6"/>
  <c r="I28" i="6"/>
  <c r="H28" i="6"/>
  <c r="N27" i="6"/>
  <c r="M27" i="6"/>
  <c r="L27" i="6"/>
  <c r="K27" i="6"/>
  <c r="J27" i="6"/>
  <c r="I27" i="6"/>
  <c r="H27" i="6"/>
  <c r="N26" i="6"/>
  <c r="K26" i="6"/>
  <c r="M26" i="6" s="1"/>
  <c r="J26" i="6"/>
  <c r="I26" i="6"/>
  <c r="H26" i="6"/>
  <c r="N25" i="6"/>
  <c r="L25" i="6"/>
  <c r="K25" i="6"/>
  <c r="M25" i="6" s="1"/>
  <c r="J25" i="6"/>
  <c r="I25" i="6"/>
  <c r="H25" i="6"/>
  <c r="N24" i="6"/>
  <c r="M24" i="6"/>
  <c r="K24" i="6"/>
  <c r="L24" i="6" s="1"/>
  <c r="J24" i="6"/>
  <c r="I24" i="6"/>
  <c r="H24" i="6"/>
  <c r="N23" i="6"/>
  <c r="M23" i="6"/>
  <c r="L23" i="6"/>
  <c r="K23" i="6"/>
  <c r="J23" i="6"/>
  <c r="I23" i="6"/>
  <c r="H23" i="6"/>
  <c r="N22" i="6"/>
  <c r="K22" i="6"/>
  <c r="M22" i="6" s="1"/>
  <c r="J22" i="6"/>
  <c r="I22" i="6"/>
  <c r="H22" i="6"/>
  <c r="N21" i="6"/>
  <c r="L21" i="6"/>
  <c r="K21" i="6"/>
  <c r="M21" i="6" s="1"/>
  <c r="J21" i="6"/>
  <c r="I21" i="6"/>
  <c r="H21" i="6"/>
  <c r="N20" i="6"/>
  <c r="M20" i="6"/>
  <c r="K20" i="6"/>
  <c r="L20" i="6" s="1"/>
  <c r="J20" i="6"/>
  <c r="I20" i="6"/>
  <c r="H20" i="6"/>
  <c r="N19" i="6"/>
  <c r="M19" i="6"/>
  <c r="L19" i="6"/>
  <c r="K19" i="6"/>
  <c r="J19" i="6"/>
  <c r="I19" i="6"/>
  <c r="H19" i="6"/>
  <c r="N18" i="6"/>
  <c r="K18" i="6"/>
  <c r="M18" i="6" s="1"/>
  <c r="J18" i="6"/>
  <c r="I18" i="6"/>
  <c r="H18" i="6"/>
  <c r="N17" i="6"/>
  <c r="L17" i="6"/>
  <c r="K17" i="6"/>
  <c r="M17" i="6" s="1"/>
  <c r="J17" i="6"/>
  <c r="I17" i="6"/>
  <c r="H17" i="6"/>
  <c r="N16" i="6"/>
  <c r="J16" i="6"/>
  <c r="I16" i="6"/>
  <c r="H16" i="6"/>
  <c r="N15" i="6"/>
  <c r="J15" i="6"/>
  <c r="I15" i="6"/>
  <c r="H15" i="6"/>
  <c r="N14" i="6"/>
  <c r="J14" i="6"/>
  <c r="I14" i="6"/>
  <c r="H14" i="6"/>
  <c r="N13" i="6"/>
  <c r="J13" i="6"/>
  <c r="I13" i="6"/>
  <c r="H13" i="6"/>
  <c r="N12" i="6"/>
  <c r="J12" i="6"/>
  <c r="I12" i="6"/>
  <c r="H12" i="6"/>
  <c r="N11" i="6"/>
  <c r="J11" i="6"/>
  <c r="I11" i="6"/>
  <c r="H11" i="6"/>
  <c r="N10" i="6"/>
  <c r="K10" i="6"/>
  <c r="M10" i="6" s="1"/>
  <c r="J10" i="6"/>
  <c r="I10" i="6"/>
  <c r="H10" i="6"/>
  <c r="N9" i="6"/>
  <c r="J9" i="6"/>
  <c r="I9" i="6"/>
  <c r="H9" i="6"/>
  <c r="N8" i="6"/>
  <c r="J8" i="6"/>
  <c r="I8" i="6"/>
  <c r="H8" i="6"/>
  <c r="N7" i="6"/>
  <c r="J7" i="6"/>
  <c r="I7" i="6"/>
  <c r="H7" i="6"/>
  <c r="N6" i="6"/>
  <c r="K6" i="6"/>
  <c r="M6" i="6" s="1"/>
  <c r="J6" i="6"/>
  <c r="I6" i="6"/>
  <c r="H6" i="6"/>
  <c r="B18" i="5"/>
  <c r="B17" i="5"/>
  <c r="E15" i="5"/>
  <c r="B14" i="5"/>
  <c r="B15" i="5" s="1"/>
  <c r="E13" i="5"/>
  <c r="E12" i="5"/>
  <c r="B12" i="5"/>
  <c r="B13" i="5" s="1"/>
  <c r="E11" i="5"/>
  <c r="E10" i="5"/>
  <c r="E9" i="5"/>
  <c r="E14" i="5" s="1"/>
  <c r="K20" i="4"/>
  <c r="I20" i="4"/>
  <c r="H20" i="4"/>
  <c r="K19" i="4"/>
  <c r="I19" i="4"/>
  <c r="H19" i="4"/>
  <c r="K18" i="4"/>
  <c r="I18" i="4"/>
  <c r="H18" i="4"/>
  <c r="K17" i="4"/>
  <c r="I17" i="4"/>
  <c r="H17" i="4"/>
  <c r="K16" i="4"/>
  <c r="I16" i="4"/>
  <c r="H16" i="4"/>
  <c r="K15" i="4"/>
  <c r="I15" i="4"/>
  <c r="H15" i="4"/>
  <c r="K14" i="4"/>
  <c r="I14" i="4"/>
  <c r="H14" i="4"/>
  <c r="K13" i="4"/>
  <c r="I13" i="4"/>
  <c r="H13" i="4"/>
  <c r="K12" i="4"/>
  <c r="I12" i="4"/>
  <c r="H12" i="4"/>
  <c r="K11" i="4"/>
  <c r="I11" i="4"/>
  <c r="H11" i="4"/>
  <c r="K10" i="4"/>
  <c r="I10" i="4"/>
  <c r="H10" i="4"/>
  <c r="K9" i="4"/>
  <c r="I9" i="4"/>
  <c r="H9" i="4"/>
  <c r="K8" i="4"/>
  <c r="I8" i="4"/>
  <c r="H8" i="4"/>
  <c r="K7" i="4"/>
  <c r="H7" i="4"/>
  <c r="I7" i="4" s="1"/>
  <c r="K6" i="4"/>
  <c r="I6" i="4"/>
  <c r="H6" i="4"/>
  <c r="V55" i="3"/>
  <c r="T55" i="3"/>
  <c r="S55" i="3"/>
  <c r="P55" i="3"/>
  <c r="O55" i="3"/>
  <c r="N55" i="3"/>
  <c r="M55" i="3"/>
  <c r="L55" i="3"/>
  <c r="K55" i="3"/>
  <c r="J55" i="3"/>
  <c r="V54" i="3"/>
  <c r="T54" i="3"/>
  <c r="S54" i="3"/>
  <c r="P54" i="3"/>
  <c r="O54" i="3"/>
  <c r="N54" i="3"/>
  <c r="M54" i="3"/>
  <c r="L54" i="3"/>
  <c r="K54" i="3"/>
  <c r="J54" i="3"/>
  <c r="V53" i="3"/>
  <c r="T53" i="3"/>
  <c r="S53" i="3"/>
  <c r="P53" i="3"/>
  <c r="O53" i="3"/>
  <c r="N53" i="3"/>
  <c r="M53" i="3"/>
  <c r="L53" i="3"/>
  <c r="K53" i="3"/>
  <c r="J53" i="3"/>
  <c r="V52" i="3"/>
  <c r="T52" i="3"/>
  <c r="S52" i="3"/>
  <c r="P52" i="3"/>
  <c r="O52" i="3"/>
  <c r="N52" i="3"/>
  <c r="M52" i="3"/>
  <c r="L52" i="3"/>
  <c r="K52" i="3"/>
  <c r="J52" i="3"/>
  <c r="V51" i="3"/>
  <c r="T51" i="3"/>
  <c r="S51" i="3"/>
  <c r="P51" i="3"/>
  <c r="O51" i="3"/>
  <c r="N51" i="3"/>
  <c r="M51" i="3"/>
  <c r="L51" i="3"/>
  <c r="K51" i="3"/>
  <c r="J51" i="3"/>
  <c r="V50" i="3"/>
  <c r="T50" i="3"/>
  <c r="S50" i="3"/>
  <c r="P50" i="3"/>
  <c r="O50" i="3"/>
  <c r="N50" i="3"/>
  <c r="M50" i="3"/>
  <c r="L50" i="3"/>
  <c r="K50" i="3"/>
  <c r="J50" i="3"/>
  <c r="V49" i="3"/>
  <c r="T49" i="3"/>
  <c r="S49" i="3"/>
  <c r="P49" i="3"/>
  <c r="O49" i="3"/>
  <c r="N49" i="3"/>
  <c r="M49" i="3"/>
  <c r="L49" i="3"/>
  <c r="K49" i="3"/>
  <c r="J49" i="3"/>
  <c r="V48" i="3"/>
  <c r="T48" i="3"/>
  <c r="S48" i="3"/>
  <c r="P48" i="3"/>
  <c r="O48" i="3"/>
  <c r="N48" i="3"/>
  <c r="M48" i="3"/>
  <c r="L48" i="3"/>
  <c r="K48" i="3"/>
  <c r="J48" i="3"/>
  <c r="V47" i="3"/>
  <c r="T47" i="3"/>
  <c r="S47" i="3"/>
  <c r="P47" i="3"/>
  <c r="O47" i="3"/>
  <c r="N47" i="3"/>
  <c r="M47" i="3"/>
  <c r="L47" i="3"/>
  <c r="K47" i="3"/>
  <c r="J47" i="3"/>
  <c r="V46" i="3"/>
  <c r="T46" i="3"/>
  <c r="S46" i="3"/>
  <c r="P46" i="3"/>
  <c r="O46" i="3"/>
  <c r="N46" i="3"/>
  <c r="M46" i="3"/>
  <c r="L46" i="3"/>
  <c r="K46" i="3"/>
  <c r="J46" i="3"/>
  <c r="V45" i="3"/>
  <c r="T45" i="3"/>
  <c r="S45" i="3"/>
  <c r="P45" i="3"/>
  <c r="O45" i="3"/>
  <c r="N45" i="3"/>
  <c r="M45" i="3"/>
  <c r="L45" i="3"/>
  <c r="K45" i="3"/>
  <c r="J45" i="3"/>
  <c r="V44" i="3"/>
  <c r="T44" i="3"/>
  <c r="S44" i="3"/>
  <c r="P44" i="3"/>
  <c r="O44" i="3"/>
  <c r="N44" i="3"/>
  <c r="M44" i="3"/>
  <c r="L44" i="3"/>
  <c r="K44" i="3"/>
  <c r="J44" i="3"/>
  <c r="V43" i="3"/>
  <c r="T43" i="3"/>
  <c r="S43" i="3"/>
  <c r="P43" i="3"/>
  <c r="O43" i="3"/>
  <c r="N43" i="3"/>
  <c r="M43" i="3"/>
  <c r="L43" i="3"/>
  <c r="K43" i="3"/>
  <c r="J43" i="3"/>
  <c r="V42" i="3"/>
  <c r="T42" i="3"/>
  <c r="S42" i="3"/>
  <c r="P42" i="3"/>
  <c r="O42" i="3"/>
  <c r="N42" i="3"/>
  <c r="M42" i="3"/>
  <c r="L42" i="3"/>
  <c r="K42" i="3"/>
  <c r="J42" i="3"/>
  <c r="V41" i="3"/>
  <c r="T41" i="3"/>
  <c r="S41" i="3"/>
  <c r="P41" i="3"/>
  <c r="O41" i="3"/>
  <c r="N41" i="3"/>
  <c r="M41" i="3"/>
  <c r="L41" i="3"/>
  <c r="K41" i="3"/>
  <c r="J41" i="3"/>
  <c r="V40" i="3"/>
  <c r="T40" i="3"/>
  <c r="S40" i="3"/>
  <c r="P40" i="3"/>
  <c r="O40" i="3"/>
  <c r="N40" i="3"/>
  <c r="M40" i="3"/>
  <c r="L40" i="3"/>
  <c r="K40" i="3"/>
  <c r="J40" i="3"/>
  <c r="V39" i="3"/>
  <c r="T39" i="3"/>
  <c r="S39" i="3"/>
  <c r="P39" i="3"/>
  <c r="O39" i="3"/>
  <c r="N39" i="3"/>
  <c r="M39" i="3"/>
  <c r="L39" i="3"/>
  <c r="K39" i="3"/>
  <c r="J39" i="3"/>
  <c r="V38" i="3"/>
  <c r="T38" i="3"/>
  <c r="S38" i="3"/>
  <c r="P38" i="3"/>
  <c r="O38" i="3"/>
  <c r="N38" i="3"/>
  <c r="M38" i="3"/>
  <c r="L38" i="3"/>
  <c r="K38" i="3"/>
  <c r="J38" i="3"/>
  <c r="V37" i="3"/>
  <c r="T37" i="3"/>
  <c r="S37" i="3"/>
  <c r="P37" i="3"/>
  <c r="O37" i="3"/>
  <c r="N37" i="3"/>
  <c r="M37" i="3"/>
  <c r="L37" i="3"/>
  <c r="K37" i="3"/>
  <c r="J37" i="3"/>
  <c r="V36" i="3"/>
  <c r="T36" i="3"/>
  <c r="S36" i="3"/>
  <c r="P36" i="3"/>
  <c r="O36" i="3"/>
  <c r="N36" i="3"/>
  <c r="M36" i="3"/>
  <c r="L36" i="3"/>
  <c r="K36" i="3"/>
  <c r="J36" i="3"/>
  <c r="V35" i="3"/>
  <c r="T35" i="3"/>
  <c r="S35" i="3"/>
  <c r="P35" i="3"/>
  <c r="O35" i="3"/>
  <c r="N35" i="3"/>
  <c r="M35" i="3"/>
  <c r="L35" i="3"/>
  <c r="K35" i="3"/>
  <c r="J35" i="3"/>
  <c r="V34" i="3"/>
  <c r="T34" i="3"/>
  <c r="S34" i="3"/>
  <c r="P34" i="3"/>
  <c r="O34" i="3"/>
  <c r="N34" i="3"/>
  <c r="M34" i="3"/>
  <c r="L34" i="3"/>
  <c r="K34" i="3"/>
  <c r="J34" i="3"/>
  <c r="V33" i="3"/>
  <c r="T33" i="3"/>
  <c r="S33" i="3"/>
  <c r="P33" i="3"/>
  <c r="O33" i="3"/>
  <c r="N33" i="3"/>
  <c r="M33" i="3"/>
  <c r="L33" i="3"/>
  <c r="K33" i="3"/>
  <c r="J33" i="3"/>
  <c r="V32" i="3"/>
  <c r="T32" i="3"/>
  <c r="S32" i="3"/>
  <c r="P32" i="3"/>
  <c r="O32" i="3"/>
  <c r="N32" i="3"/>
  <c r="M32" i="3"/>
  <c r="L32" i="3"/>
  <c r="K32" i="3"/>
  <c r="J32" i="3"/>
  <c r="V31" i="3"/>
  <c r="T31" i="3"/>
  <c r="S31" i="3"/>
  <c r="P31" i="3"/>
  <c r="O31" i="3"/>
  <c r="N31" i="3"/>
  <c r="M31" i="3"/>
  <c r="L31" i="3"/>
  <c r="K31" i="3"/>
  <c r="J31" i="3"/>
  <c r="V30" i="3"/>
  <c r="T30" i="3"/>
  <c r="S30" i="3"/>
  <c r="P30" i="3"/>
  <c r="O30" i="3"/>
  <c r="N30" i="3"/>
  <c r="M30" i="3"/>
  <c r="L30" i="3"/>
  <c r="K30" i="3"/>
  <c r="J30" i="3"/>
  <c r="V29" i="3"/>
  <c r="T29" i="3"/>
  <c r="S29" i="3"/>
  <c r="P29" i="3"/>
  <c r="O29" i="3"/>
  <c r="N29" i="3"/>
  <c r="M29" i="3"/>
  <c r="L29" i="3"/>
  <c r="K29" i="3"/>
  <c r="J29" i="3"/>
  <c r="V28" i="3"/>
  <c r="T28" i="3"/>
  <c r="S28" i="3"/>
  <c r="P28" i="3"/>
  <c r="O28" i="3"/>
  <c r="N28" i="3"/>
  <c r="M28" i="3"/>
  <c r="L28" i="3"/>
  <c r="K28" i="3"/>
  <c r="J28" i="3"/>
  <c r="V27" i="3"/>
  <c r="T27" i="3"/>
  <c r="S27" i="3"/>
  <c r="P27" i="3"/>
  <c r="O27" i="3"/>
  <c r="N27" i="3"/>
  <c r="M27" i="3"/>
  <c r="L27" i="3"/>
  <c r="K27" i="3"/>
  <c r="J27" i="3"/>
  <c r="V26" i="3"/>
  <c r="T26" i="3"/>
  <c r="S26" i="3"/>
  <c r="P26" i="3"/>
  <c r="O26" i="3"/>
  <c r="N26" i="3"/>
  <c r="M26" i="3"/>
  <c r="L26" i="3"/>
  <c r="K26" i="3"/>
  <c r="J26" i="3"/>
  <c r="V25" i="3"/>
  <c r="T25" i="3"/>
  <c r="S25" i="3"/>
  <c r="P25" i="3"/>
  <c r="O25" i="3"/>
  <c r="N25" i="3"/>
  <c r="M25" i="3"/>
  <c r="L25" i="3"/>
  <c r="K25" i="3"/>
  <c r="J25" i="3"/>
  <c r="V24" i="3"/>
  <c r="T24" i="3"/>
  <c r="S24" i="3"/>
  <c r="P24" i="3"/>
  <c r="O24" i="3"/>
  <c r="N24" i="3"/>
  <c r="M24" i="3"/>
  <c r="L24" i="3"/>
  <c r="K24" i="3"/>
  <c r="J24" i="3"/>
  <c r="V23" i="3"/>
  <c r="T23" i="3"/>
  <c r="S23" i="3"/>
  <c r="P23" i="3"/>
  <c r="O23" i="3"/>
  <c r="N23" i="3"/>
  <c r="M23" i="3"/>
  <c r="L23" i="3"/>
  <c r="K23" i="3"/>
  <c r="J23" i="3"/>
  <c r="V22" i="3"/>
  <c r="T22" i="3"/>
  <c r="S22" i="3"/>
  <c r="P22" i="3"/>
  <c r="O22" i="3"/>
  <c r="N22" i="3"/>
  <c r="M22" i="3"/>
  <c r="L22" i="3"/>
  <c r="K22" i="3"/>
  <c r="J22" i="3"/>
  <c r="V21" i="3"/>
  <c r="T21" i="3"/>
  <c r="S21" i="3"/>
  <c r="P21" i="3"/>
  <c r="O21" i="3"/>
  <c r="N21" i="3"/>
  <c r="M21" i="3"/>
  <c r="L21" i="3"/>
  <c r="K21" i="3"/>
  <c r="J21" i="3"/>
  <c r="V20" i="3"/>
  <c r="T20" i="3"/>
  <c r="S20" i="3"/>
  <c r="P20" i="3"/>
  <c r="O20" i="3"/>
  <c r="N20" i="3"/>
  <c r="M20" i="3"/>
  <c r="L20" i="3"/>
  <c r="K20" i="3"/>
  <c r="J20" i="3"/>
  <c r="V19" i="3"/>
  <c r="T19" i="3"/>
  <c r="S19" i="3"/>
  <c r="P19" i="3"/>
  <c r="O19" i="3"/>
  <c r="N19" i="3"/>
  <c r="M19" i="3"/>
  <c r="L19" i="3"/>
  <c r="K19" i="3"/>
  <c r="J19" i="3"/>
  <c r="V18" i="3"/>
  <c r="T18" i="3"/>
  <c r="S18" i="3"/>
  <c r="P18" i="3"/>
  <c r="O18" i="3"/>
  <c r="N18" i="3"/>
  <c r="M18" i="3"/>
  <c r="L18" i="3"/>
  <c r="K18" i="3"/>
  <c r="J18" i="3"/>
  <c r="V17" i="3"/>
  <c r="T17" i="3"/>
  <c r="S17" i="3"/>
  <c r="P17" i="3"/>
  <c r="O17" i="3"/>
  <c r="N17" i="3"/>
  <c r="M17" i="3"/>
  <c r="L17" i="3"/>
  <c r="K17" i="3"/>
  <c r="J17" i="3"/>
  <c r="V16" i="3"/>
  <c r="T16" i="3"/>
  <c r="S16" i="3"/>
  <c r="P16" i="3"/>
  <c r="O16" i="3"/>
  <c r="N16" i="3"/>
  <c r="M16" i="3"/>
  <c r="L16" i="3"/>
  <c r="K16" i="3"/>
  <c r="J16" i="3"/>
  <c r="V15" i="3"/>
  <c r="T15" i="3"/>
  <c r="S15" i="3"/>
  <c r="P15" i="3"/>
  <c r="O15" i="3"/>
  <c r="N15" i="3"/>
  <c r="M15" i="3"/>
  <c r="L15" i="3"/>
  <c r="K15" i="3"/>
  <c r="J15" i="3"/>
  <c r="V14" i="3"/>
  <c r="T14" i="3"/>
  <c r="S14" i="3"/>
  <c r="P14" i="3"/>
  <c r="O14" i="3"/>
  <c r="N14" i="3"/>
  <c r="M14" i="3"/>
  <c r="L14" i="3"/>
  <c r="K14" i="3"/>
  <c r="J14" i="3"/>
  <c r="V13" i="3"/>
  <c r="T13" i="3"/>
  <c r="S13" i="3"/>
  <c r="P13" i="3"/>
  <c r="O13" i="3"/>
  <c r="N13" i="3"/>
  <c r="M13" i="3"/>
  <c r="L13" i="3"/>
  <c r="K13" i="3"/>
  <c r="J13" i="3"/>
  <c r="V12" i="3"/>
  <c r="T12" i="3"/>
  <c r="S12" i="3"/>
  <c r="P12" i="3"/>
  <c r="O12" i="3"/>
  <c r="N12" i="3"/>
  <c r="M12" i="3"/>
  <c r="L12" i="3"/>
  <c r="K12" i="3"/>
  <c r="J12" i="3"/>
  <c r="V11" i="3"/>
  <c r="T11" i="3"/>
  <c r="S11" i="3"/>
  <c r="P11" i="3"/>
  <c r="O11" i="3"/>
  <c r="N11" i="3"/>
  <c r="M11" i="3"/>
  <c r="L11" i="3"/>
  <c r="K11" i="3"/>
  <c r="J11" i="3"/>
  <c r="V10" i="3"/>
  <c r="T10" i="3"/>
  <c r="S10" i="3"/>
  <c r="P10" i="3"/>
  <c r="O10" i="3"/>
  <c r="N10" i="3"/>
  <c r="M10" i="3"/>
  <c r="L10" i="3"/>
  <c r="K10" i="3"/>
  <c r="J10" i="3"/>
  <c r="V9" i="3"/>
  <c r="T9" i="3"/>
  <c r="S9" i="3"/>
  <c r="M9" i="3"/>
  <c r="K9" i="3"/>
  <c r="N9" i="3" s="1"/>
  <c r="J9" i="3"/>
  <c r="S8" i="3"/>
  <c r="T8" i="3" s="1"/>
  <c r="V8" i="3" s="1"/>
  <c r="M8" i="3"/>
  <c r="K8" i="3"/>
  <c r="P8" i="3" s="1"/>
  <c r="J8" i="3"/>
  <c r="S7" i="3"/>
  <c r="T7" i="3" s="1"/>
  <c r="V7" i="3" s="1"/>
  <c r="M7" i="3"/>
  <c r="K7" i="3"/>
  <c r="K15" i="6" s="1"/>
  <c r="J7" i="3"/>
  <c r="S6" i="3"/>
  <c r="T6" i="3" s="1"/>
  <c r="V6" i="3" s="1"/>
  <c r="B32" i="11" s="1"/>
  <c r="M6" i="3"/>
  <c r="K6" i="3"/>
  <c r="K11" i="6" s="1"/>
  <c r="J6" i="3"/>
  <c r="B18" i="2"/>
  <c r="B17" i="2"/>
  <c r="B4" i="11" s="1"/>
  <c r="I8" i="9" l="1"/>
  <c r="L11" i="6"/>
  <c r="M11" i="6"/>
  <c r="B19" i="5"/>
  <c r="B16" i="5"/>
  <c r="M15" i="6"/>
  <c r="L15" i="6"/>
  <c r="J7" i="7"/>
  <c r="N6" i="3"/>
  <c r="L7" i="3"/>
  <c r="P7" i="3"/>
  <c r="N8" i="3"/>
  <c r="L9" i="3"/>
  <c r="P9" i="3"/>
  <c r="L6" i="6"/>
  <c r="K9" i="6"/>
  <c r="L10" i="6"/>
  <c r="K13" i="6"/>
  <c r="L18" i="6"/>
  <c r="L22" i="6"/>
  <c r="L26" i="6"/>
  <c r="L30" i="6"/>
  <c r="L34" i="6"/>
  <c r="L38" i="6"/>
  <c r="L42" i="6"/>
  <c r="L46" i="6"/>
  <c r="L50" i="6"/>
  <c r="L54" i="6"/>
  <c r="L58" i="6"/>
  <c r="L62" i="6"/>
  <c r="L66" i="6"/>
  <c r="L70" i="6"/>
  <c r="L73" i="6"/>
  <c r="M76" i="6"/>
  <c r="L78" i="6"/>
  <c r="L81" i="6"/>
  <c r="M84" i="6"/>
  <c r="L86" i="6"/>
  <c r="L89" i="6"/>
  <c r="M92" i="6"/>
  <c r="L94" i="6"/>
  <c r="L97" i="6"/>
  <c r="M100" i="6"/>
  <c r="L102" i="6"/>
  <c r="L105" i="6"/>
  <c r="M108" i="6"/>
  <c r="L110" i="6"/>
  <c r="L113" i="6"/>
  <c r="M116" i="6"/>
  <c r="M118" i="6"/>
  <c r="C24" i="11"/>
  <c r="C23" i="11"/>
  <c r="C20" i="11"/>
  <c r="C15" i="11"/>
  <c r="C14" i="11"/>
  <c r="C13" i="11"/>
  <c r="C11" i="11"/>
  <c r="C9" i="11"/>
  <c r="C8" i="11"/>
  <c r="C7" i="11"/>
  <c r="O7" i="3"/>
  <c r="K14" i="6"/>
  <c r="K8" i="6"/>
  <c r="M142" i="6"/>
  <c r="L142" i="6"/>
  <c r="M146" i="6"/>
  <c r="L146" i="6"/>
  <c r="M166" i="6"/>
  <c r="L166" i="6"/>
  <c r="M174" i="6"/>
  <c r="L174" i="6"/>
  <c r="M182" i="6"/>
  <c r="L182" i="6"/>
  <c r="M210" i="6"/>
  <c r="L210" i="6"/>
  <c r="M218" i="6"/>
  <c r="L218" i="6"/>
  <c r="M222" i="6"/>
  <c r="L222" i="6"/>
  <c r="M226" i="6"/>
  <c r="L226" i="6"/>
  <c r="M230" i="6"/>
  <c r="L230" i="6"/>
  <c r="M242" i="6"/>
  <c r="L242" i="6"/>
  <c r="M250" i="6"/>
  <c r="L250" i="6"/>
  <c r="M270" i="6"/>
  <c r="L270" i="6"/>
  <c r="M278" i="6"/>
  <c r="L278" i="6"/>
  <c r="M286" i="6"/>
  <c r="L286" i="6"/>
  <c r="M290" i="6"/>
  <c r="L290" i="6"/>
  <c r="M294" i="6"/>
  <c r="L294" i="6"/>
  <c r="M298" i="6"/>
  <c r="L298" i="6"/>
  <c r="M302" i="6"/>
  <c r="L302" i="6"/>
  <c r="M310" i="6"/>
  <c r="L310" i="6"/>
  <c r="M318" i="6"/>
  <c r="L318" i="6"/>
  <c r="M322" i="6"/>
  <c r="L322" i="6"/>
  <c r="M330" i="6"/>
  <c r="L330" i="6"/>
  <c r="M338" i="6"/>
  <c r="L338" i="6"/>
  <c r="J8" i="7"/>
  <c r="E6" i="9"/>
  <c r="R6" i="8"/>
  <c r="C19" i="11" s="1"/>
  <c r="E8" i="9"/>
  <c r="R8" i="8"/>
  <c r="E10" i="9"/>
  <c r="R10" i="8"/>
  <c r="F6" i="9"/>
  <c r="G6" i="9" s="1"/>
  <c r="I6" i="9" s="1"/>
  <c r="O9" i="3"/>
  <c r="O6" i="3"/>
  <c r="O8" i="3"/>
  <c r="K12" i="6"/>
  <c r="K16" i="6"/>
  <c r="M126" i="6"/>
  <c r="L126" i="6"/>
  <c r="M130" i="6"/>
  <c r="L130" i="6"/>
  <c r="M134" i="6"/>
  <c r="L134" i="6"/>
  <c r="M138" i="6"/>
  <c r="L138" i="6"/>
  <c r="M150" i="6"/>
  <c r="L150" i="6"/>
  <c r="M154" i="6"/>
  <c r="L154" i="6"/>
  <c r="M158" i="6"/>
  <c r="L158" i="6"/>
  <c r="M162" i="6"/>
  <c r="L162" i="6"/>
  <c r="M170" i="6"/>
  <c r="L170" i="6"/>
  <c r="M178" i="6"/>
  <c r="L178" i="6"/>
  <c r="M186" i="6"/>
  <c r="L186" i="6"/>
  <c r="M190" i="6"/>
  <c r="L190" i="6"/>
  <c r="M194" i="6"/>
  <c r="L194" i="6"/>
  <c r="M198" i="6"/>
  <c r="L198" i="6"/>
  <c r="M202" i="6"/>
  <c r="L202" i="6"/>
  <c r="M206" i="6"/>
  <c r="L206" i="6"/>
  <c r="M214" i="6"/>
  <c r="L214" i="6"/>
  <c r="M234" i="6"/>
  <c r="L234" i="6"/>
  <c r="M238" i="6"/>
  <c r="L238" i="6"/>
  <c r="M246" i="6"/>
  <c r="L246" i="6"/>
  <c r="M254" i="6"/>
  <c r="L254" i="6"/>
  <c r="M258" i="6"/>
  <c r="L258" i="6"/>
  <c r="M262" i="6"/>
  <c r="L262" i="6"/>
  <c r="M266" i="6"/>
  <c r="L266" i="6"/>
  <c r="M274" i="6"/>
  <c r="L274" i="6"/>
  <c r="M282" i="6"/>
  <c r="L282" i="6"/>
  <c r="M306" i="6"/>
  <c r="L306" i="6"/>
  <c r="M314" i="6"/>
  <c r="L314" i="6"/>
  <c r="M326" i="6"/>
  <c r="L326" i="6"/>
  <c r="M334" i="6"/>
  <c r="L334" i="6"/>
  <c r="M342" i="6"/>
  <c r="L342" i="6"/>
  <c r="M346" i="6"/>
  <c r="L346" i="6"/>
  <c r="M350" i="6"/>
  <c r="L350" i="6"/>
  <c r="M354" i="6"/>
  <c r="L354" i="6"/>
  <c r="J6" i="7"/>
  <c r="E12" i="9"/>
  <c r="R14" i="8"/>
  <c r="H37" i="11"/>
  <c r="H34" i="11"/>
  <c r="H33" i="11"/>
  <c r="B24" i="11"/>
  <c r="B23" i="11"/>
  <c r="B20" i="11"/>
  <c r="B15" i="11"/>
  <c r="B14" i="11"/>
  <c r="B13" i="11"/>
  <c r="B11" i="11"/>
  <c r="B9" i="11"/>
  <c r="B8" i="11"/>
  <c r="B7" i="11"/>
  <c r="G9" i="11"/>
  <c r="G35" i="11"/>
  <c r="G31" i="11"/>
  <c r="G10" i="11"/>
  <c r="G7" i="11"/>
  <c r="G8" i="11"/>
  <c r="L6" i="3"/>
  <c r="P6" i="3"/>
  <c r="B33" i="11" s="1"/>
  <c r="N7" i="3"/>
  <c r="L8" i="3"/>
  <c r="D15" i="12"/>
  <c r="D11" i="12"/>
  <c r="D7" i="12"/>
  <c r="D14" i="12"/>
  <c r="D10" i="12"/>
  <c r="D17" i="12"/>
  <c r="D13" i="12"/>
  <c r="D9" i="12"/>
  <c r="I16" i="12"/>
  <c r="I12" i="12"/>
  <c r="I8" i="12"/>
  <c r="D6" i="12"/>
  <c r="K7" i="6"/>
  <c r="M72" i="6"/>
  <c r="L77" i="6"/>
  <c r="M80" i="6"/>
  <c r="L85" i="6"/>
  <c r="M88" i="6"/>
  <c r="L93" i="6"/>
  <c r="M96" i="6"/>
  <c r="L101" i="6"/>
  <c r="M104" i="6"/>
  <c r="L109" i="6"/>
  <c r="M112" i="6"/>
  <c r="M124" i="6"/>
  <c r="M8" i="7"/>
  <c r="H7" i="7"/>
  <c r="M7" i="7" s="1"/>
  <c r="L25" i="7"/>
  <c r="K25" i="7"/>
  <c r="L26" i="7"/>
  <c r="K26" i="7"/>
  <c r="L27" i="7"/>
  <c r="K27" i="7"/>
  <c r="L28" i="7"/>
  <c r="K28" i="7"/>
  <c r="L29" i="7"/>
  <c r="K29" i="7"/>
  <c r="L30" i="7"/>
  <c r="K30" i="7"/>
  <c r="L31" i="7"/>
  <c r="K31" i="7"/>
  <c r="L32" i="7"/>
  <c r="K32" i="7"/>
  <c r="L33" i="7"/>
  <c r="K33" i="7"/>
  <c r="L34" i="7"/>
  <c r="K34" i="7"/>
  <c r="L35" i="7"/>
  <c r="K35" i="7"/>
  <c r="H26" i="7"/>
  <c r="G26" i="7"/>
  <c r="H27" i="7"/>
  <c r="G27" i="7"/>
  <c r="H28" i="7"/>
  <c r="G28" i="7"/>
  <c r="H29" i="7"/>
  <c r="G29" i="7"/>
  <c r="H30" i="7"/>
  <c r="G30" i="7"/>
  <c r="H31" i="7"/>
  <c r="G31" i="7"/>
  <c r="H32" i="7"/>
  <c r="G32" i="7"/>
  <c r="H33" i="7"/>
  <c r="G33" i="7"/>
  <c r="H34" i="7"/>
  <c r="G34" i="7"/>
  <c r="H35" i="7"/>
  <c r="G35" i="7"/>
  <c r="R7" i="8"/>
  <c r="E9" i="9"/>
  <c r="R9" i="8"/>
  <c r="R13" i="8"/>
  <c r="B15" i="12"/>
  <c r="E13" i="9"/>
  <c r="R15" i="8"/>
  <c r="B19" i="11" s="1"/>
  <c r="B21" i="11" s="1"/>
  <c r="R17" i="8"/>
  <c r="R19" i="8"/>
  <c r="R21" i="8"/>
  <c r="R23" i="8"/>
  <c r="E11" i="9"/>
  <c r="H6" i="7"/>
  <c r="M6" i="7" s="1"/>
  <c r="G7" i="7"/>
  <c r="H8" i="7"/>
  <c r="G9" i="7"/>
  <c r="G11" i="7"/>
  <c r="G13" i="7"/>
  <c r="G15" i="7"/>
  <c r="G17" i="7"/>
  <c r="G19" i="7"/>
  <c r="G21" i="7"/>
  <c r="G23" i="7"/>
  <c r="E7" i="9"/>
  <c r="F10" i="9"/>
  <c r="G10" i="9" s="1"/>
  <c r="I10" i="9" s="1"/>
  <c r="I12" i="9"/>
  <c r="H30" i="11"/>
  <c r="I30" i="11" s="1"/>
  <c r="G30" i="11"/>
  <c r="H15" i="12"/>
  <c r="H11" i="12"/>
  <c r="H7" i="12"/>
  <c r="C15" i="12"/>
  <c r="H14" i="12"/>
  <c r="C11" i="12"/>
  <c r="H10" i="12"/>
  <c r="C7" i="12"/>
  <c r="H17" i="12"/>
  <c r="E16" i="12"/>
  <c r="H13" i="12"/>
  <c r="E12" i="12"/>
  <c r="H9" i="12"/>
  <c r="E8" i="12"/>
  <c r="C6" i="12"/>
  <c r="H6" i="12"/>
  <c r="I9" i="9"/>
  <c r="I13" i="9"/>
  <c r="G33" i="11"/>
  <c r="G37" i="11"/>
  <c r="C10" i="12"/>
  <c r="C14" i="12"/>
  <c r="C17" i="12"/>
  <c r="H26" i="11"/>
  <c r="G26" i="11"/>
  <c r="H32" i="11"/>
  <c r="G32" i="11"/>
  <c r="H36" i="11"/>
  <c r="G36" i="11"/>
  <c r="F6" i="12"/>
  <c r="H8" i="12"/>
  <c r="D8" i="12"/>
  <c r="C8" i="12"/>
  <c r="F8" i="12"/>
  <c r="B8" i="12"/>
  <c r="H12" i="12"/>
  <c r="D12" i="12"/>
  <c r="C12" i="12"/>
  <c r="F12" i="12"/>
  <c r="B12" i="12"/>
  <c r="H16" i="12"/>
  <c r="D16" i="12"/>
  <c r="C16" i="12"/>
  <c r="F16" i="12"/>
  <c r="B16" i="12"/>
  <c r="I7" i="11"/>
  <c r="H7" i="11"/>
  <c r="I8" i="11"/>
  <c r="H8" i="11"/>
  <c r="I9" i="11"/>
  <c r="H9" i="11"/>
  <c r="I10" i="11"/>
  <c r="H10" i="11"/>
  <c r="I11" i="11"/>
  <c r="H11" i="11"/>
  <c r="I12" i="11"/>
  <c r="H12" i="11"/>
  <c r="I13" i="11"/>
  <c r="H13" i="11"/>
  <c r="I14" i="11"/>
  <c r="H14" i="11"/>
  <c r="I15" i="11"/>
  <c r="H15" i="11"/>
  <c r="I16" i="11"/>
  <c r="H16" i="11"/>
  <c r="I17" i="11"/>
  <c r="H17" i="11"/>
  <c r="I18" i="11"/>
  <c r="H18" i="11"/>
  <c r="I19" i="11"/>
  <c r="H19" i="11"/>
  <c r="I20" i="11"/>
  <c r="H20" i="11"/>
  <c r="I21" i="11"/>
  <c r="H21" i="11"/>
  <c r="I22" i="11"/>
  <c r="H22" i="11"/>
  <c r="I23" i="11"/>
  <c r="H23" i="11"/>
  <c r="I24" i="11"/>
  <c r="H24" i="11"/>
  <c r="I25" i="11"/>
  <c r="H25" i="11"/>
  <c r="H31" i="11"/>
  <c r="I31" i="11" s="1"/>
  <c r="H35" i="11"/>
  <c r="I35" i="11" s="1"/>
  <c r="I7" i="12"/>
  <c r="I11" i="12"/>
  <c r="I15" i="12"/>
  <c r="E9" i="12"/>
  <c r="G9" i="12" s="1"/>
  <c r="I9" i="12"/>
  <c r="E13" i="12"/>
  <c r="G13" i="12" s="1"/>
  <c r="I13" i="12"/>
  <c r="E17" i="12"/>
  <c r="G17" i="12" s="1"/>
  <c r="I17" i="12"/>
  <c r="E6" i="12"/>
  <c r="I6" i="12"/>
  <c r="B9" i="12"/>
  <c r="F9" i="12"/>
  <c r="E10" i="12"/>
  <c r="G10" i="12" s="1"/>
  <c r="I10" i="12"/>
  <c r="B13" i="12"/>
  <c r="F13" i="12"/>
  <c r="E14" i="12"/>
  <c r="G14" i="12" s="1"/>
  <c r="I14" i="12"/>
  <c r="B17" i="12"/>
  <c r="F17" i="12"/>
  <c r="B6" i="12"/>
  <c r="E7" i="12"/>
  <c r="G7" i="12" s="1"/>
  <c r="B10" i="12"/>
  <c r="E11" i="12"/>
  <c r="G11" i="12" s="1"/>
  <c r="B14" i="12"/>
  <c r="E15" i="12"/>
  <c r="G15" i="12" s="1"/>
  <c r="B36" i="11" l="1"/>
  <c r="D19" i="11"/>
  <c r="C21" i="11"/>
  <c r="D21" i="11" s="1"/>
  <c r="C18" i="12"/>
  <c r="L8" i="6"/>
  <c r="M8" i="6"/>
  <c r="D8" i="11"/>
  <c r="C25" i="11"/>
  <c r="C12" i="11"/>
  <c r="C10" i="11"/>
  <c r="D14" i="11"/>
  <c r="C17" i="11"/>
  <c r="C16" i="11"/>
  <c r="D16" i="11" s="1"/>
  <c r="D23" i="11"/>
  <c r="F18" i="12"/>
  <c r="G8" i="12"/>
  <c r="G16" i="12"/>
  <c r="I34" i="11"/>
  <c r="B28" i="11"/>
  <c r="I37" i="11"/>
  <c r="I36" i="11"/>
  <c r="I33" i="11"/>
  <c r="I32" i="11"/>
  <c r="I38" i="11"/>
  <c r="B22" i="11"/>
  <c r="D22" i="11" s="1"/>
  <c r="I39" i="11"/>
  <c r="J26" i="11"/>
  <c r="J22" i="11"/>
  <c r="J18" i="11"/>
  <c r="J14" i="11"/>
  <c r="J10" i="11"/>
  <c r="J23" i="11"/>
  <c r="J19" i="11"/>
  <c r="J15" i="11"/>
  <c r="J11" i="11"/>
  <c r="J7" i="11"/>
  <c r="J24" i="11"/>
  <c r="J20" i="11"/>
  <c r="J16" i="11"/>
  <c r="J12" i="11"/>
  <c r="J8" i="11"/>
  <c r="J21" i="11"/>
  <c r="J17" i="11"/>
  <c r="J13" i="11"/>
  <c r="J9" i="11"/>
  <c r="J25" i="11"/>
  <c r="L6" i="7"/>
  <c r="K6" i="7"/>
  <c r="M14" i="6"/>
  <c r="L14" i="6"/>
  <c r="D9" i="11"/>
  <c r="D15" i="11"/>
  <c r="C18" i="11"/>
  <c r="D18" i="11" s="1"/>
  <c r="D24" i="11"/>
  <c r="M9" i="6"/>
  <c r="L9" i="6"/>
  <c r="L7" i="7"/>
  <c r="K7" i="7"/>
  <c r="B18" i="12"/>
  <c r="M7" i="6"/>
  <c r="L7" i="6"/>
  <c r="B29" i="11"/>
  <c r="B25" i="11"/>
  <c r="D25" i="11" s="1"/>
  <c r="B12" i="11"/>
  <c r="D12" i="11" s="1"/>
  <c r="B10" i="11"/>
  <c r="B17" i="11"/>
  <c r="B16" i="11"/>
  <c r="L16" i="6"/>
  <c r="M16" i="6"/>
  <c r="D11" i="11"/>
  <c r="E18" i="12"/>
  <c r="G6" i="12"/>
  <c r="G18" i="12" s="1"/>
  <c r="H18" i="12"/>
  <c r="G12" i="12"/>
  <c r="D18" i="12"/>
  <c r="B18" i="11"/>
  <c r="L12" i="6"/>
  <c r="M12" i="6"/>
  <c r="L8" i="7"/>
  <c r="K8" i="7"/>
  <c r="D7" i="11"/>
  <c r="C22" i="11"/>
  <c r="D13" i="11"/>
  <c r="D20" i="11"/>
  <c r="M13" i="6"/>
  <c r="L13" i="6"/>
  <c r="B35" i="11" l="1"/>
  <c r="B34" i="11"/>
  <c r="D17" i="11"/>
  <c r="D10" i="11"/>
</calcChain>
</file>

<file path=xl/sharedStrings.xml><?xml version="1.0" encoding="utf-8"?>
<sst xmlns="http://schemas.openxmlformats.org/spreadsheetml/2006/main" count="699" uniqueCount="391">
  <si>
    <t>Outil de pilotage · Vendre sur Facebook, gagner plus</t>
  </si>
  <si>
    <t>Suivi des ventes, des pubs, des produits et services, des clients et du bénéfice, en un seul fichier.</t>
  </si>
  <si>
    <t>Cellules jaunes : à remplir · cellules grises : calculées automatiquement (ne pas modifier)</t>
  </si>
  <si>
    <t>Campus des Bâtisseurs · Connecter • Accompagner • Bâtir</t>
  </si>
  <si>
    <t>Onglet</t>
  </si>
  <si>
    <t>À quoi il sert</t>
  </si>
  <si>
    <t>Paramètres</t>
  </si>
  <si>
    <t>Ton business, le mois suivi, tes objectifs, tes zones de livraison et les listes de choix. À remplir en premier.</t>
  </si>
  <si>
    <t>Catalogue</t>
  </si>
  <si>
    <t>Tes produits et services : coûts, prix, marge réelle, plafond de pub par vente, stock et alertes.</t>
  </si>
  <si>
    <t>Grille produit</t>
  </si>
  <si>
    <t>Note un produit avant de le lancer (6 critères du chapitre 2). 9 sur 12 ou plus : à tester.</t>
  </si>
  <si>
    <t>Calcul marge</t>
  </si>
  <si>
    <t>Simulateur : vrai bénéfice par vente, prix minimum, et calcul rapide d’une pub (coût par vente, décision).</t>
  </si>
  <si>
    <t>Suivi pubs</t>
  </si>
  <si>
    <t>Chaque soir : dépensé, messages, ventes de chaque pub. Coût par message, conversion, coût par vente calculés.</t>
  </si>
  <si>
    <t>Synthèse pubs</t>
  </si>
  <si>
    <t>Le bilan cumulé de chaque pub et la décision : augmenter, améliorer ou couper (chapitre 8).</t>
  </si>
  <si>
    <t>Ventes</t>
  </si>
  <si>
    <t>Le journal de toutes tes commandes : client, produit, paiement, statut, livraison, marge.</t>
  </si>
  <si>
    <t>Clients</t>
  </si>
  <si>
    <t>Ta liste de clients : nombre d’achats, montant total, dernière commande, segment (fidèle, VIP, à relancer).</t>
  </si>
  <si>
    <t>Dépenses</t>
  </si>
  <si>
    <t>Les autres frais du business : emballages en gros, transport, internet, livreur, matériel.</t>
  </si>
  <si>
    <t>Tableau de bord</t>
  </si>
  <si>
    <t>L’aperçu clair du mois : chiffre d’affaires, bénéfice net, pub, conversion, top produits, alertes.</t>
  </si>
  <si>
    <t>Bilan annuel</t>
  </si>
  <si>
    <t>Les 12 mois de l’année côte à côte, avec graphique.</t>
  </si>
  <si>
    <t>Plan 30 jours</t>
  </si>
  <si>
    <t>Les 30 actions de la formation, à cocher jour après jour, plus le plan de croissance sur 90 jours.</t>
  </si>
  <si>
    <t>Page pro</t>
  </si>
  <si>
    <t>La checklist « page pro » en 20 points, avec ton score.</t>
  </si>
  <si>
    <t>Mode d’emploi en 5 étapes</t>
  </si>
  <si>
    <t>1. Remplis Paramètres (année, mois suivi, objectifs, zones de livraison).</t>
  </si>
  <si>
    <t>2. Ajoute tes produits et services dans Catalogue. Vérifie que chaque marge est saine.</t>
  </si>
  <si>
    <t>3. Chaque soir, note tes pubs dans Suivi pubs et tes commandes dans Ventes.</t>
  </si>
  <si>
    <t>4. Une fois par semaine, regarde Synthèse pubs : augmente, améliore ou coupe chaque pub.</t>
  </si>
  <si>
    <t>5. En fin de mois, ouvre Tableau de bord, puis Bilan annuel : tes chiffres décident, pas tes émotions.</t>
  </si>
  <si>
    <t>Règle de comptage : seules les commandes au statut « Livrée et payée » comptent dans le chiffre d’affaires.</t>
  </si>
  <si>
    <t>Une commande « Annulée » avec une livraison payée par toi est comptée comme une perte (le livreur a été payé pour rien).</t>
  </si>
  <si>
    <t>Pour un service, indique ton coût de revient (matériel, déplacement, sous-traitance) et choisis « Service » : le stock est ignoré.</t>
  </si>
  <si>
    <t>campusdesbatisseurs.com · infos@campusdesbatisseurs.com · +221 76 760 22 22 · @campusdesbatisseurs</t>
  </si>
  <si>
    <t>FICHIER D’EXEMPLE : les données sont fictives (boutique de pagnes de Fatou). Utilise le fichier vierge pour ton business.</t>
  </si>
  <si>
    <t>À remplir en premier. Les listes alimentent les menus déroulants des autres onglets.</t>
  </si>
  <si>
    <t>Paramètre</t>
  </si>
  <si>
    <t>Valeur</t>
  </si>
  <si>
    <t>Modes de paiement</t>
  </si>
  <si>
    <t>Statuts de commande</t>
  </si>
  <si>
    <t>Sources de la vente</t>
  </si>
  <si>
    <t>Zones de livraison</t>
  </si>
  <si>
    <t>Tarif livreur (FCFA)</t>
  </si>
  <si>
    <t>Catégories de dépenses</t>
  </si>
  <si>
    <t>Types</t>
  </si>
  <si>
    <t>Nom du business</t>
  </si>
  <si>
    <t>Pagnes de Fatou</t>
  </si>
  <si>
    <t>Wave</t>
  </si>
  <si>
    <t>En attente</t>
  </si>
  <si>
    <t>Publicité</t>
  </si>
  <si>
    <t>Dakar Plateau</t>
  </si>
  <si>
    <t>Emballages en gros</t>
  </si>
  <si>
    <t>Produit</t>
  </si>
  <si>
    <t>Année suivie</t>
  </si>
  <si>
    <t>Orange Money</t>
  </si>
  <si>
    <t>Livrée et payée</t>
  </si>
  <si>
    <t>Publication gratuite</t>
  </si>
  <si>
    <t>Dakar banlieue</t>
  </si>
  <si>
    <t>Transport / achats</t>
  </si>
  <si>
    <t>Service</t>
  </si>
  <si>
    <t>Mois suivi (1 à 12)</t>
  </si>
  <si>
    <t>Free Money</t>
  </si>
  <si>
    <t>Annulée</t>
  </si>
  <si>
    <t>Groupe Facebook</t>
  </si>
  <si>
    <t>Pikine / Guédiawaye</t>
  </si>
  <si>
    <t>Internet et crédit</t>
  </si>
  <si>
    <t>Objectif de chiffre d’affaires mensuel (FCFA)</t>
  </si>
  <si>
    <t>Espèces à la livraison</t>
  </si>
  <si>
    <t>Retournée</t>
  </si>
  <si>
    <t>Marketplace</t>
  </si>
  <si>
    <t>Rufisque</t>
  </si>
  <si>
    <t>Livreur (forfait)</t>
  </si>
  <si>
    <t>Objectif de nombre de ventes par mois</t>
  </si>
  <si>
    <t>Acompte + solde</t>
  </si>
  <si>
    <t>Direct vidéo</t>
  </si>
  <si>
    <t>Thiès</t>
  </si>
  <si>
    <t>Matériel</t>
  </si>
  <si>
    <t>Seuil « augmenter » : coût par vente &lt; marge ×</t>
  </si>
  <si>
    <t>Virement bancaire</t>
  </si>
  <si>
    <t>Bouche-à-oreille</t>
  </si>
  <si>
    <t>Autres régions</t>
  </si>
  <si>
    <t>Photos / vidéos</t>
  </si>
  <si>
    <t>Jours minimum avant de décider (pub)</t>
  </si>
  <si>
    <t>Client fidèle</t>
  </si>
  <si>
    <t>Formation</t>
  </si>
  <si>
    <t>Repère de conversion faible (messages → ventes)</t>
  </si>
  <si>
    <t>Statut WhatsApp</t>
  </si>
  <si>
    <t>Autre</t>
  </si>
  <si>
    <t>Le seuil 1/3 et les 3 jours viennent de la règle de décision du chapitre 8. Le repère de 10 % de conversion est indicatif.</t>
  </si>
  <si>
    <t>Mois suivi (calculé)</t>
  </si>
  <si>
    <t>Mois précédent (calculé)</t>
  </si>
  <si>
    <t>Catalogue des produits et services</t>
  </si>
  <si>
    <t>Coût total avant pub = achat + emballage + livraison payée par toi + frais. Marge avant pub = ton plafond de dépense pub par vente (chapitre 8).</t>
  </si>
  <si>
    <t>Réf.</t>
  </si>
  <si>
    <t>Nom du produit ou service</t>
  </si>
  <si>
    <t>Type</t>
  </si>
  <si>
    <t>Catégorie</t>
  </si>
  <si>
    <t>Coût d’achat / de revient</t>
  </si>
  <si>
    <t>Emballage</t>
  </si>
  <si>
    <t>Livraison payée par toi</t>
  </si>
  <si>
    <t>Frais divers</t>
  </si>
  <si>
    <t>Prix de vente</t>
  </si>
  <si>
    <t>Coût total avant pub</t>
  </si>
  <si>
    <t>Marge avant pub</t>
  </si>
  <si>
    <t>Taux de marge</t>
  </si>
  <si>
    <t>Coef. prix / coût</t>
  </si>
  <si>
    <t>Plafond pub par vente</t>
  </si>
  <si>
    <t>Seuil « augmenter »</t>
  </si>
  <si>
    <t>Verdict prix</t>
  </si>
  <si>
    <t>Stock initial</t>
  </si>
  <si>
    <t>Réappro.</t>
  </si>
  <si>
    <t>Vendus</t>
  </si>
  <si>
    <t>Stock restant</t>
  </si>
  <si>
    <t>Stock mini</t>
  </si>
  <si>
    <t>Alerte stock</t>
  </si>
  <si>
    <t>P01</t>
  </si>
  <si>
    <t>Pagne wax 6 yards</t>
  </si>
  <si>
    <t>Mode</t>
  </si>
  <si>
    <t>P02</t>
  </si>
  <si>
    <t>Foulard assorti</t>
  </si>
  <si>
    <t>Accessoires</t>
  </si>
  <si>
    <t>P03</t>
  </si>
  <si>
    <t>Pack 3 pagnes</t>
  </si>
  <si>
    <t>P04</t>
  </si>
  <si>
    <t>Conseil style à domicile</t>
  </si>
  <si>
    <t>Services</t>
  </si>
  <si>
    <t>Grille produit : ce produit va-t-il se vendre ?</t>
  </si>
  <si>
    <t>Note chaque critère de 0 à 2. Garde les produits qui font 9 ou plus sur 12, puis fais une publication test (chapitre 2).</t>
  </si>
  <si>
    <t>Produit envisagé</t>
  </si>
  <si>
    <t>Règle un problème ou un désir fort</t>
  </si>
  <si>
    <t>Marge d’au moins x2</t>
  </si>
  <si>
    <t>Facile à livrer</t>
  </si>
  <si>
    <t>Se montre bien en vidéo</t>
  </si>
  <si>
    <t>Pas disponible partout au même prix</t>
  </si>
  <si>
    <t>Donne envie de racheter</t>
  </si>
  <si>
    <t>Total / 12</t>
  </si>
  <si>
    <t>Décision</t>
  </si>
  <si>
    <t>Messages reçus (publication test)</t>
  </si>
  <si>
    <t>Verdict du test</t>
  </si>
  <si>
    <t>Montre connectée</t>
  </si>
  <si>
    <t>Règle du livre : une publication test qui génère au moins 10 messages sérieux justifie un petit stock. Sinon, change d’angle, de photo ou de produit.</t>
  </si>
  <si>
    <t>Simulateur : vraie marge et rentabilité d’une pub</t>
  </si>
  <si>
    <t>Prérempli avec l’exemple du livre : remplace les cellules jaunes par tes chiffres.</t>
  </si>
  <si>
    <t>1. LE VRAI BÉNÉFICE PAR VENTE</t>
  </si>
  <si>
    <t>2. CETTE PUB EST-ELLE RENTABLE ?</t>
  </si>
  <si>
    <t>Prix d’achat du produit (ou coût de revient du service)</t>
  </si>
  <si>
    <t>Budget dépensé (FCFA)</t>
  </si>
  <si>
    <t>Messages reçus</t>
  </si>
  <si>
    <t>Livraison payée par toi (si offerte)</t>
  </si>
  <si>
    <t>Ventes conclues</t>
  </si>
  <si>
    <t>Coût de pub moyen par vente</t>
  </si>
  <si>
    <t>Marge avant pub du produit</t>
  </si>
  <si>
    <t>Frais de transfert ou divers</t>
  </si>
  <si>
    <t>Coût par message</t>
  </si>
  <si>
    <t>Taux de conversion</t>
  </si>
  <si>
    <t>Coût total par vente</t>
  </si>
  <si>
    <t>Coût par vente</t>
  </si>
  <si>
    <t>Bénéfice réel par vente</t>
  </si>
  <si>
    <t>Bénéfice par vente après pub</t>
  </si>
  <si>
    <t>Marge avant pub (plafond de pub par vente)</t>
  </si>
  <si>
    <t>Bénéfice total de la pub</t>
  </si>
  <si>
    <t>Seuil « augmenter » (coût par vente maximum)</t>
  </si>
  <si>
    <t>Taux de bénéfice réel</t>
  </si>
  <si>
    <t>Prix minimum pour un coefficient x2</t>
  </si>
  <si>
    <t>Prix minimum pour un coefficient x3</t>
  </si>
  <si>
    <t>Verdict</t>
  </si>
  <si>
    <t>Exemple du livre : prix 10 000, coût total 6 800, bénéfice réel 3 200 FCFA ; pub : 9 000 FCFA, 36 messages, 9 ventes → 1 000 FCFA par vente, on augmente.</t>
  </si>
  <si>
    <t>Suivi quotidien des pubs</t>
  </si>
  <si>
    <t>Remplis chaque soir. Les ventes, c’est toi qui les notes : Facebook ne sait pas qui a payé sur WhatsApp.</t>
  </si>
  <si>
    <t>Date</t>
  </si>
  <si>
    <t>Nom de la pub</t>
  </si>
  <si>
    <t>Produit / service</t>
  </si>
  <si>
    <t>Version</t>
  </si>
  <si>
    <t>Dépensé (FCFA)</t>
  </si>
  <si>
    <t>Messages</t>
  </si>
  <si>
    <t>Bénéfice après pub</t>
  </si>
  <si>
    <t>Lecture du jour</t>
  </si>
  <si>
    <t>Mois</t>
  </si>
  <si>
    <t>Pub A · le problème</t>
  </si>
  <si>
    <t>A</t>
  </si>
  <si>
    <t>Pub B · témoignage</t>
  </si>
  <si>
    <t>B</t>
  </si>
  <si>
    <t>Pub test septembre</t>
  </si>
  <si>
    <t>Synthèse et décision par pub</t>
  </si>
  <si>
    <t>Écris le nom exact de chaque pub (comme dans Suivi pubs). La décision suit la règle du chapitre 8, après 3 à 4 jours.</t>
  </si>
  <si>
    <t>Jours de diffusion</t>
  </si>
  <si>
    <t>Dépensé total</t>
  </si>
  <si>
    <t>Bénéfice total</t>
  </si>
  <si>
    <t>Diagnostic</t>
  </si>
  <si>
    <t>Règle : coût par vente &lt; 1/3 de la marge avant pub → augmenter ; entre 1/3 et la marge → améliorer ; au-delà de la marge → couper.</t>
  </si>
  <si>
    <t>Journal des ventes et commandes</t>
  </si>
  <si>
    <t>Une ligne par commande. Laisse « Prix unitaire » vide pour appliquer le prix du catalogue. Statut « Livrée et payée » = vente comptée.</t>
  </si>
  <si>
    <t>N°</t>
  </si>
  <si>
    <t>Client</t>
  </si>
  <si>
    <t>Téléphone</t>
  </si>
  <si>
    <t>Zone</t>
  </si>
  <si>
    <t>Qté</t>
  </si>
  <si>
    <t>Prix unitaire (si différent)</t>
  </si>
  <si>
    <t>Prix appliqué</t>
  </si>
  <si>
    <t>Remise</t>
  </si>
  <si>
    <t>Montant net</t>
  </si>
  <si>
    <t>Paiement</t>
  </si>
  <si>
    <t>Statut</t>
  </si>
  <si>
    <t>Source</t>
  </si>
  <si>
    <t>Livraison payée (si différent)</t>
  </si>
  <si>
    <t>Livraison retenue</t>
  </si>
  <si>
    <t>Coût produits</t>
  </si>
  <si>
    <t>Marge brute</t>
  </si>
  <si>
    <t>Avis demandé ?</t>
  </si>
  <si>
    <t>Type client</t>
  </si>
  <si>
    <t>Note : la remise et la livraison s’appliquent à la commande entière. « Livraison payée (si différent) » : saisis 0 si le client paie la livraison.</t>
  </si>
  <si>
    <t>Awa Ndiaye</t>
  </si>
  <si>
    <t>77 111 22 33</t>
  </si>
  <si>
    <t>Oui</t>
  </si>
  <si>
    <t>Mariama Ba</t>
  </si>
  <si>
    <t>76 222 33 44</t>
  </si>
  <si>
    <t>Khady Fall</t>
  </si>
  <si>
    <t>78 333 44 55</t>
  </si>
  <si>
    <t>Non</t>
  </si>
  <si>
    <t>Fatou Sow</t>
  </si>
  <si>
    <t>77 444 55 66</t>
  </si>
  <si>
    <t>Aminata Diop</t>
  </si>
  <si>
    <t>70 555 66 77</t>
  </si>
  <si>
    <t>Ndèye Sarr</t>
  </si>
  <si>
    <t>76 666 77 88</t>
  </si>
  <si>
    <t>Coumba Gueye</t>
  </si>
  <si>
    <t>77 777 88 99</t>
  </si>
  <si>
    <t>Bineta Cissé</t>
  </si>
  <si>
    <t>78 888 99 00</t>
  </si>
  <si>
    <t>Liste des clients</t>
  </si>
  <si>
    <t>Saisis le téléphone exactement comme dans Ventes. Le reste se calcule seul. Segments : nouveau, fidèle (2 achats), VIP (3 et plus), à relancer (plus de 60 jours).</t>
  </si>
  <si>
    <t>Nom</t>
  </si>
  <si>
    <t>Commandes livrées</t>
  </si>
  <si>
    <t>Montant total</t>
  </si>
  <si>
    <t>Dernière commande</t>
  </si>
  <si>
    <t>Jours depuis</t>
  </si>
  <si>
    <t>Annulations</t>
  </si>
  <si>
    <t>Segment</t>
  </si>
  <si>
    <t>Paiement avant livraison ?</t>
  </si>
  <si>
    <t>Notes</t>
  </si>
  <si>
    <t>Autres dépenses du business</t>
  </si>
  <si>
    <t>Hors publicité (déjà suivie dans Suivi pubs) et hors coût des produits (déjà dans Ventes).</t>
  </si>
  <si>
    <t>Description</t>
  </si>
  <si>
    <t>Montant (FCFA)</t>
  </si>
  <si>
    <t>Sachets et cartes de remerciement</t>
  </si>
  <si>
    <t>Forfait data du mois</t>
  </si>
  <si>
    <t>Sachets kraft avec logo</t>
  </si>
  <si>
    <t>Taxi pour réassort au marché</t>
  </si>
  <si>
    <t>Tableau de bord du mois</t>
  </si>
  <si>
    <t>Change le mois dans Paramètres (cellule B8). Seules les commandes « Livrée et payée » comptent dans le chiffre d’affaires.</t>
  </si>
  <si>
    <t>Mois affiché</t>
  </si>
  <si>
    <t>TOP PRODUITS ET SERVICES DU MOIS</t>
  </si>
  <si>
    <t>Indicateur</t>
  </si>
  <si>
    <t>Ce mois</t>
  </si>
  <si>
    <t>Mois précédent</t>
  </si>
  <si>
    <t>Évolution</t>
  </si>
  <si>
    <t>Chiffre d’affaires</t>
  </si>
  <si>
    <t>Part du CA</t>
  </si>
  <si>
    <t>Chiffre d’affaires (FCFA)</t>
  </si>
  <si>
    <t>Nombre de ventes</t>
  </si>
  <si>
    <t>Articles ou prestations vendus</t>
  </si>
  <si>
    <t>Panier moyen (FCFA)</t>
  </si>
  <si>
    <t>Commandes annulées ou retournées</t>
  </si>
  <si>
    <t>Taux d’annulation</t>
  </si>
  <si>
    <t>Dépenses en publicité (FCFA)</t>
  </si>
  <si>
    <t>Messages reçus grâce aux pubs</t>
  </si>
  <si>
    <t>Ventes notées dans le suivi des pubs</t>
  </si>
  <si>
    <t>Coût par message (FCFA)</t>
  </si>
  <si>
    <t>Taux de conversion des pubs</t>
  </si>
  <si>
    <t>Coût par vente en pub (FCFA)</t>
  </si>
  <si>
    <t>Marge brute (après produits et livraisons)</t>
  </si>
  <si>
    <t>Autres dépenses (FCFA)</t>
  </si>
  <si>
    <t>BÉNÉFICE NET (FCFA)</t>
  </si>
  <si>
    <t>Marge nette sur le chiffre d’affaires</t>
  </si>
  <si>
    <t>Ventes à de nouveaux clients</t>
  </si>
  <si>
    <t>Ventes à des clients qui rachètent</t>
  </si>
  <si>
    <t>Avis demandés après livraison</t>
  </si>
  <si>
    <t>OBJECTIFS DU MOIS</t>
  </si>
  <si>
    <t>Chiffre d’affaires atteint</t>
  </si>
  <si>
    <t>VENTES PAR SOURCE (CE MOIS)</t>
  </si>
  <si>
    <t>Nombre de ventes atteint</t>
  </si>
  <si>
    <t>ALERTES</t>
  </si>
  <si>
    <t>Produits à réapprovisionner</t>
  </si>
  <si>
    <t>Produits vendus à perte ou à marge faible</t>
  </si>
  <si>
    <t>Pubs à couper</t>
  </si>
  <si>
    <t>Pubs à augmenter</t>
  </si>
  <si>
    <t>Clients à relancer (plus de 60 jours)</t>
  </si>
  <si>
    <t>Commandes en attente</t>
  </si>
  <si>
    <t>Les 12 mois de l’année choisie dans Paramètres (cellule B7).</t>
  </si>
  <si>
    <t>Pub</t>
  </si>
  <si>
    <t>Autres dépenses</t>
  </si>
  <si>
    <t>Bénéfice net</t>
  </si>
  <si>
    <t>Nouveaux clients</t>
  </si>
  <si>
    <t>Coût par vente pub</t>
  </si>
  <si>
    <t>TOTAL</t>
  </si>
  <si>
    <t>—</t>
  </si>
  <si>
    <t>Plan d’action de 30 jours</t>
  </si>
  <si>
    <t>Une action par jour. Coche « Oui » quand c’est fait. L’avancement se calcule seul.</t>
  </si>
  <si>
    <t>PLAN DE CROISSANCE SUR 90 JOURS</t>
  </si>
  <si>
    <t>Jour</t>
  </si>
  <si>
    <t>Action</t>
  </si>
  <si>
    <t>Chapitre</t>
  </si>
  <si>
    <t>Fait ?</t>
  </si>
  <si>
    <t>Période</t>
  </si>
  <si>
    <t>Objectif</t>
  </si>
  <si>
    <t>Actions</t>
  </si>
  <si>
    <t>Faire l’auto-diagnostic et noter ton score</t>
  </si>
  <si>
    <t>1</t>
  </si>
  <si>
    <t>Jours 1 à 30</t>
  </si>
  <si>
    <t>Stabiliser</t>
  </si>
  <si>
    <t>Une pub rentable qui tourne, suivi des chiffres chaque jour, 20 clients dans ta liste</t>
  </si>
  <si>
    <t>Remplir la grille produit et choisir ton produit</t>
  </si>
  <si>
    <t>2</t>
  </si>
  <si>
    <t>Jours 31 à 60</t>
  </si>
  <si>
    <t>Augmenter le panier</t>
  </si>
  <si>
    <t>Créer 2 packs, ajouter 1 produit complémentaire, lancer le parrainage</t>
  </si>
  <si>
    <t>Calculer ta vraie marge et fixer ton prix</t>
  </si>
  <si>
    <t>Jours 61 à 90</t>
  </si>
  <si>
    <t>Déléguer et accélérer</t>
  </si>
  <si>
    <t>Confier la livraison, augmenter le budget des pubs gagnantes, tester une nouvelle zone</t>
  </si>
  <si>
    <t>Publier une publication test et compter les messages</t>
  </si>
  <si>
    <t>Créer ou refaire ta page : nom, photo, couverture, description</t>
  </si>
  <si>
    <t>3</t>
  </si>
  <si>
    <t>Installer et configurer WhatsApp Business, le relier à la page</t>
  </si>
  <si>
    <t>Sécuriser ton compte : double authentification, second administrateur</t>
  </si>
  <si>
    <t>Récolter tes 5 premiers avis ou témoignages</t>
  </si>
  <si>
    <t>Préparer et programmer 7 publications</t>
  </si>
  <si>
    <t>4</t>
  </si>
  <si>
    <t>Tourner 3 vidéos courtes de démonstration</t>
  </si>
  <si>
    <t>Rejoindre 10 groupes et laisser 5 commentaires utiles</t>
  </si>
  <si>
    <t>5</t>
  </si>
  <si>
    <t>Publier 3 annonces sur Marketplace (si disponible)</t>
  </si>
  <si>
    <t>Créer ton propre groupe de clients</t>
  </si>
  <si>
    <t>Faire ton premier direct vidéo</t>
  </si>
  <si>
    <t>Écrire 3 versions de ta pub avec la formule PPPA</t>
  </si>
  <si>
    <t>7</t>
  </si>
  <si>
    <t>Lancer ta première pub test, objectif « messages »</t>
  </si>
  <si>
    <t>6</t>
  </si>
  <si>
    <t>Enregistrer tes 7 réponses rapides</t>
  </si>
  <si>
    <t>9</t>
  </si>
  <si>
    <t>Ne rien toucher à la pub, noter les chiffres</t>
  </si>
  <si>
    <t>8</t>
  </si>
  <si>
    <t>Noter les chiffres, répondre à tous les messages en moins de 5 minutes</t>
  </si>
  <si>
    <t>8, 9</t>
  </si>
  <si>
    <t>Analyser : couper, améliorer ou augmenter</t>
  </si>
  <si>
    <t>Créer ta liste de clients et ta liste de diffusion</t>
  </si>
  <si>
    <t>10</t>
  </si>
  <si>
    <t>Envoyer le message de suivi à tes clients récents</t>
  </si>
  <si>
    <t>Lancer une nouvelle version de pub pour battre la meilleure</t>
  </si>
  <si>
    <t>Créer ton premier pack</t>
  </si>
  <si>
    <t>11</t>
  </si>
  <si>
    <t>Lancer ton offre de parrainage</t>
  </si>
  <si>
    <t>Faire ton deuxième direct avec une offre limitée</t>
  </si>
  <si>
    <t>Augmenter le budget de la pub gagnante de 20 à 30 %</t>
  </si>
  <si>
    <t>Faire le bilan de tes chiffres du mois</t>
  </si>
  <si>
    <t>Écrire ton plan de croissance sur 90 jours</t>
  </si>
  <si>
    <t>Refaire l’auto-diagnostic et comparer avec le jour 1</t>
  </si>
  <si>
    <t>Avancement du plan</t>
  </si>
  <si>
    <t>Checklist « page pro » en 20 points</t>
  </si>
  <si>
    <t>Coche « Oui » pour chaque point en place. Ta page est ta vitrine (chapitre 3).</t>
  </si>
  <si>
    <t>Point à vérifier</t>
  </si>
  <si>
    <t>En place ?</t>
  </si>
  <si>
    <t>Nom de page court et clair</t>
  </si>
  <si>
    <t>Photo de profil nette et lisible</t>
  </si>
  <si>
    <t>Couverture avec promesse et contact</t>
  </si>
  <si>
    <t>Description complète avec le modèle</t>
  </si>
  <si>
    <t>Bouton d’action WhatsApp ou message</t>
  </si>
  <si>
    <t>Numéro WhatsApp Business relié à la page</t>
  </si>
  <si>
    <t>Une publication épinglée en haut de la page</t>
  </si>
  <si>
    <t>Au moins 5 avis ou témoignages visibles</t>
  </si>
  <si>
    <t>Au moins 3 vraies photos de produits prises par moi</t>
  </si>
  <si>
    <t>Une vidéo où je me présente</t>
  </si>
  <si>
    <t>Une vidéo de livraison</t>
  </si>
  <si>
    <t>Zones et délais de livraison indiqués</t>
  </si>
  <si>
    <t>Moyens de paiement indiqués</t>
  </si>
  <si>
    <t>WhatsApp Business : profil complet</t>
  </si>
  <si>
    <t>WhatsApp Business : catalogue rempli</t>
  </si>
  <si>
    <t>WhatsApp Business : messages d’accueil et d’absence</t>
  </si>
  <si>
    <t>WhatsApp Business : 5 réponses rapides enregistrées</t>
  </si>
  <si>
    <t>Double authentification activée sur Facebook</t>
  </si>
  <si>
    <t>Un deuxième administrateur de confiance ajouté</t>
  </si>
  <si>
    <t>Double vérification activée sur WhatsApp</t>
  </si>
  <si>
    <t>Score de ta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</si>
</sst>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#,##0;\-#,##0;\-"/>
    <numFmt numFmtId="165" formatCode="0%;\-0%;\-"/>
    <numFmt numFmtId="166" formatCode="mmm\ yyyy"/>
    <numFmt numFmtId="167" formatCode="0.0%"/>
    <numFmt numFmtId="168" formatCode="0.0"/>
    <numFmt numFmtId="169" formatCode="\+0%;\-0%;0%"/>
    <numFmt numFmtId="170" formatCode="\+0&quot; pt&quot;;\-0&quot; pt&quot;;0"/>
    <numFmt numFmtId="171" formatCode="0&quot; / 20&quot;"/>
  </numFmts>
  <fonts count="18" x14ac:knownFonts="1">
    <font>
      <sz val="11"/>
      <color theme="1"/>
      <name val="Calibri"/>
      <family val="2"/>
      <charset val="1"/>
    </font>
    <font>
      <b/>
      <sz val="18"/>
      <color rgb="FF14213D"/>
      <name val="Arial"/>
      <charset val="1"/>
    </font>
    <font>
      <i/>
      <sz val="10"/>
      <color rgb="FF5C677D"/>
      <name val="Arial"/>
      <charset val="1"/>
    </font>
    <font>
      <sz val="8.5"/>
      <color rgb="FF5C677D"/>
      <name val="Arial"/>
      <charset val="1"/>
    </font>
    <font>
      <b/>
      <sz val="10"/>
      <color rgb="FF2F6DB5"/>
      <name val="Arial"/>
      <charset val="1"/>
    </font>
    <font>
      <b/>
      <sz val="10"/>
      <color rgb="FFFFFFFF"/>
      <name val="Arial"/>
      <charset val="1"/>
    </font>
    <font>
      <b/>
      <sz val="10"/>
      <color rgb="FF14213D"/>
      <name val="Arial"/>
      <charset val="1"/>
    </font>
    <font>
      <sz val="10"/>
      <color rgb="FF1B1D24"/>
      <name val="Arial"/>
      <charset val="1"/>
    </font>
    <font>
      <sz val="10"/>
      <color rgb="FF14213D"/>
      <name val="Arial"/>
      <charset val="1"/>
    </font>
    <font>
      <b/>
      <sz val="10"/>
      <color rgb="FFC2453A"/>
      <name val="Arial"/>
      <charset val="1"/>
    </font>
    <font>
      <b/>
      <sz val="16"/>
      <color rgb="FF14213D"/>
      <name val="Arial"/>
      <charset val="1"/>
    </font>
    <font>
      <b/>
      <sz val="9.5"/>
      <color rgb="FFFFFFFF"/>
      <name val="Arial"/>
      <charset val="1"/>
    </font>
    <font>
      <b/>
      <sz val="10"/>
      <color rgb="FF1B1D24"/>
      <name val="Arial"/>
      <charset val="1"/>
    </font>
    <font>
      <i/>
      <sz val="8.5"/>
      <color rgb="FF5C677D"/>
      <name val="Arial"/>
      <charset val="1"/>
    </font>
    <font>
      <b/>
      <sz val="11"/>
      <color rgb="FF14213D"/>
      <name val="Arial"/>
      <charset val="1"/>
    </font>
    <font>
      <i/>
      <sz val="9"/>
      <color rgb="FF5C677D"/>
      <name val="Arial"/>
      <charset val="1"/>
    </font>
    <font>
      <b/>
      <sz val="11"/>
      <color rgb="FF2F6DB5"/>
      <name val="Arial"/>
      <charset val="1"/>
    </font>
    <font>
      <b/>
      <sz val="11"/>
      <color rgb="FF1B1D24"/>
      <name val="Arial"/>
      <charset val="1"/>
    </font>
  </fonts>
  <fills count="6">
    <fill>
      <patternFill patternType="none"/>
    </fill>
    <fill>
      <patternFill patternType="gray125"/>
    </fill>
    <fill>
      <patternFill patternType="solid">
        <fgColor rgb="FF14213D"/>
        <bgColor rgb="FF1B1D24"/>
      </patternFill>
    </fill>
    <fill>
      <patternFill patternType="solid">
        <fgColor rgb="FFFFF4CC"/>
        <bgColor rgb="FFFBE7C2"/>
      </patternFill>
    </fill>
    <fill>
      <patternFill patternType="solid">
        <fgColor rgb="FFEEF1F5"/>
        <bgColor rgb="FFEAF1FA"/>
      </patternFill>
    </fill>
    <fill>
      <patternFill patternType="solid">
        <fgColor rgb="FFEAF1FA"/>
        <bgColor rgb="FFEEF1F5"/>
      </patternFill>
    </fill>
  </fills>
  <borders count="2">
    <border>
      <left/>
      <right/>
      <top/>
      <bottom/>
      <diagonal/>
    </border>
    <border>
      <left style="thin">
        <color rgb="FFD3D9E2"/>
      </left>
      <right style="thin">
        <color rgb="FFD3D9E2"/>
      </right>
      <top style="thin">
        <color rgb="FFD3D9E2"/>
      </top>
      <bottom style="thin">
        <color rgb="FFD3D9E2"/>
      </bottom>
      <diagonal/>
    </border>
  </borders>
  <cellStyleXfs count="1">
    <xf numFmtId="0" fontId="0" fillId="0" borderId="0"/>
  </cellStyleXfs>
  <cellXfs count="66">
    <xf numFmtId="0" fontId="0" fillId="0" borderId="0" xfId="0"/>
    <xf numFmtId="0" fontId="12" fillId="4" borderId="1" xfId="0" applyFont="1" applyFill="1" applyBorder="1" applyAlignment="1">
      <alignment vertic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1" xfId="0" applyFont="1" applyFill="1" applyBorder="1" applyAlignment="1">
      <alignment vertical="center" wrapText="1"/>
    </xf>
    <xf numFmtId="0" fontId="6" fillId="0" borderId="1" xfId="0" applyFont="1" applyBorder="1" applyAlignment="1">
      <alignment vertical="center" wrapText="1"/>
    </xf>
    <xf numFmtId="0" fontId="7" fillId="0" borderId="1" xfId="0" applyFont="1" applyBorder="1" applyAlignment="1">
      <alignment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0" fontId="11" fillId="2" borderId="1" xfId="0" applyFont="1" applyFill="1" applyBorder="1" applyAlignment="1">
      <alignment horizontal="center" vertical="center" wrapText="1"/>
    </xf>
    <xf numFmtId="0" fontId="11" fillId="2" borderId="1" xfId="0" applyFont="1" applyFill="1" applyBorder="1" applyAlignment="1">
      <alignment vertical="center" wrapText="1"/>
    </xf>
    <xf numFmtId="0" fontId="11" fillId="2" borderId="1" xfId="0" applyFont="1" applyFill="1" applyBorder="1" applyAlignment="1">
      <alignment wrapText="1"/>
    </xf>
    <xf numFmtId="0" fontId="12" fillId="0" borderId="1" xfId="0" applyFont="1" applyBorder="1" applyAlignment="1">
      <alignment vertical="center"/>
    </xf>
    <xf numFmtId="0" fontId="7" fillId="3" borderId="1" xfId="0" applyFont="1" applyFill="1" applyBorder="1" applyAlignment="1">
      <alignment vertical="center"/>
    </xf>
    <xf numFmtId="164" fontId="7" fillId="3" borderId="1" xfId="0" applyNumberFormat="1" applyFont="1" applyFill="1" applyBorder="1" applyAlignment="1">
      <alignment vertical="center"/>
    </xf>
    <xf numFmtId="1" fontId="7" fillId="3" borderId="1" xfId="0" applyNumberFormat="1" applyFont="1" applyFill="1" applyBorder="1" applyAlignment="1">
      <alignment vertical="center"/>
    </xf>
    <xf numFmtId="0" fontId="13" fillId="0" borderId="0" xfId="0" applyFont="1"/>
    <xf numFmtId="0" fontId="14" fillId="0" borderId="0" xfId="0" applyFont="1"/>
    <xf numFmtId="166" fontId="12" fillId="4" borderId="1" xfId="0" applyNumberFormat="1" applyFont="1" applyFill="1" applyBorder="1" applyAlignment="1">
      <alignment vertical="center"/>
    </xf>
    <xf numFmtId="166" fontId="7" fillId="4" borderId="1" xfId="0" applyNumberFormat="1" applyFont="1" applyFill="1" applyBorder="1" applyAlignment="1">
      <alignment vertical="center"/>
    </xf>
    <xf numFmtId="164" fontId="7" fillId="4" borderId="1" xfId="0" applyNumberFormat="1" applyFont="1" applyFill="1" applyBorder="1" applyAlignment="1">
      <alignment vertical="center"/>
    </xf>
    <xf numFmtId="167" fontId="7" fillId="4" borderId="1" xfId="0" applyNumberFormat="1" applyFont="1" applyFill="1" applyBorder="1" applyAlignment="1">
      <alignment vertical="center"/>
    </xf>
    <xf numFmtId="168" fontId="7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/>
    </xf>
    <xf numFmtId="1" fontId="7" fillId="4" borderId="1" xfId="0" applyNumberFormat="1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5" fillId="0" borderId="0" xfId="0" applyFont="1"/>
    <xf numFmtId="0" fontId="7" fillId="0" borderId="1" xfId="0" applyFont="1" applyBorder="1" applyAlignment="1">
      <alignment vertical="center"/>
    </xf>
    <xf numFmtId="164" fontId="12" fillId="4" borderId="1" xfId="0" applyNumberFormat="1" applyFont="1" applyFill="1" applyBorder="1" applyAlignment="1">
      <alignment vertical="center"/>
    </xf>
    <xf numFmtId="165" fontId="12" fillId="4" borderId="1" xfId="0" applyNumberFormat="1" applyFont="1" applyFill="1" applyBorder="1" applyAlignment="1">
      <alignment vertical="center"/>
    </xf>
    <xf numFmtId="0" fontId="12" fillId="4" borderId="1" xfId="0" applyFont="1" applyFill="1" applyBorder="1" applyAlignment="1">
      <alignment vertical="center"/>
    </xf>
    <xf numFmtId="167" fontId="12" fillId="4" borderId="1" xfId="0" applyNumberFormat="1" applyFont="1" applyFill="1" applyBorder="1" applyAlignment="1">
      <alignment vertical="center"/>
    </xf>
    <xf numFmtId="14" fontId="7" fillId="3" borderId="1" xfId="0" applyNumberFormat="1" applyFont="1" applyFill="1" applyBorder="1" applyAlignment="1">
      <alignment vertical="center"/>
    </xf>
    <xf numFmtId="165" fontId="7" fillId="4" borderId="1" xfId="0" applyNumberFormat="1" applyFont="1" applyFill="1" applyBorder="1" applyAlignment="1">
      <alignment vertical="center"/>
    </xf>
    <xf numFmtId="0" fontId="7" fillId="4" borderId="1" xfId="0" applyFont="1" applyFill="1" applyBorder="1" applyAlignment="1">
      <alignment vertical="center" wrapText="1"/>
    </xf>
    <xf numFmtId="0" fontId="7" fillId="4" borderId="1" xfId="0" applyFont="1" applyFill="1" applyBorder="1" applyAlignment="1">
      <alignment horizontal="center" vertical="center"/>
    </xf>
    <xf numFmtId="14" fontId="7" fillId="4" borderId="1" xfId="0" applyNumberFormat="1" applyFont="1" applyFill="1" applyBorder="1" applyAlignment="1">
      <alignment vertical="center"/>
    </xf>
    <xf numFmtId="0" fontId="16" fillId="0" borderId="0" xfId="0" applyFont="1"/>
    <xf numFmtId="164" fontId="17" fillId="4" borderId="1" xfId="0" applyNumberFormat="1" applyFont="1" applyFill="1" applyBorder="1" applyAlignment="1">
      <alignment vertical="center"/>
    </xf>
    <xf numFmtId="169" fontId="7" fillId="4" borderId="1" xfId="0" applyNumberFormat="1" applyFont="1" applyFill="1" applyBorder="1" applyAlignment="1">
      <alignment horizontal="center" vertical="center"/>
    </xf>
    <xf numFmtId="1" fontId="7" fillId="4" borderId="1" xfId="0" applyNumberFormat="1" applyFont="1" applyFill="1" applyBorder="1" applyAlignment="1">
      <alignment horizontal="center" vertical="center"/>
    </xf>
    <xf numFmtId="165" fontId="7" fillId="4" borderId="1" xfId="0" applyNumberFormat="1" applyFont="1" applyFill="1" applyBorder="1" applyAlignment="1">
      <alignment horizontal="center" vertical="center"/>
    </xf>
    <xf numFmtId="170" fontId="7" fillId="4" borderId="1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wrapText="1"/>
    </xf>
    <xf numFmtId="1" fontId="12" fillId="4" borderId="1" xfId="0" applyNumberFormat="1" applyFont="1" applyFill="1" applyBorder="1" applyAlignment="1">
      <alignment horizontal="center" vertical="center"/>
    </xf>
    <xf numFmtId="0" fontId="12" fillId="5" borderId="1" xfId="0" applyFont="1" applyFill="1" applyBorder="1" applyAlignment="1">
      <alignment vertical="center"/>
    </xf>
    <xf numFmtId="164" fontId="12" fillId="5" borderId="1" xfId="0" applyNumberFormat="1" applyFont="1" applyFill="1" applyBorder="1" applyAlignment="1">
      <alignment vertical="center"/>
    </xf>
    <xf numFmtId="1" fontId="12" fillId="5" borderId="1" xfId="0" applyNumberFormat="1" applyFont="1" applyFill="1" applyBorder="1" applyAlignment="1">
      <alignment vertical="center"/>
    </xf>
    <xf numFmtId="0" fontId="7" fillId="5" borderId="1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5" fontId="12" fillId="4" borderId="1" xfId="0" applyNumberFormat="1" applyFont="1" applyFill="1" applyBorder="1" applyAlignment="1">
      <alignment horizontal="center" vertical="center"/>
    </xf>
    <xf numFmtId="171" fontId="12" fillId="4" borderId="1" xfId="0" applyNumberFormat="1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top"/>
    </xf>
    <xf numFmtId="1" fontId="7" fillId="3" borderId="1" xfId="0" applyNumberFormat="1" applyFont="1" applyFill="1" applyBorder="1" applyAlignment="1">
      <alignment horizontal="left" vertical="top"/>
    </xf>
    <xf numFmtId="164" fontId="7" fillId="3" borderId="1" xfId="0" applyNumberFormat="1" applyFont="1" applyFill="1" applyBorder="1" applyAlignment="1">
      <alignment horizontal="left" vertical="top"/>
    </xf>
    <xf numFmtId="2" fontId="7" fillId="3" borderId="1" xfId="0" applyNumberFormat="1" applyFont="1" applyFill="1" applyBorder="1" applyAlignment="1">
      <alignment horizontal="left" vertical="top"/>
    </xf>
    <xf numFmtId="165" fontId="7" fillId="3" borderId="1" xfId="0" applyNumberFormat="1" applyFont="1" applyFill="1" applyBorder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41">
    <dxf>
      <fill>
        <patternFill>
          <bgColor rgb="FFF2C9C4"/>
        </patternFill>
      </fill>
    </dxf>
    <dxf>
      <fill>
        <patternFill>
          <bgColor rgb="FFD5EDE3"/>
        </patternFill>
      </fill>
    </dxf>
    <dxf>
      <fill>
        <patternFill>
          <bgColor rgb="FFD5EDE3"/>
        </patternFill>
      </fill>
    </dxf>
    <dxf>
      <fill>
        <patternFill>
          <bgColor rgb="FFF2C9C4"/>
        </patternFill>
      </fill>
    </dxf>
    <dxf>
      <font>
        <b/>
        <color rgb="FFC2453A"/>
      </font>
    </dxf>
    <dxf>
      <font>
        <b/>
        <color rgb="FF2E8B6E"/>
      </font>
    </dxf>
    <dxf>
      <font>
        <b/>
        <color rgb="FFC2453A"/>
      </font>
    </dxf>
    <dxf>
      <font>
        <b/>
        <color rgb="FF2E8B6E"/>
      </font>
    </dxf>
    <dxf>
      <font>
        <b/>
        <color rgb="FFC2453A"/>
      </font>
    </dxf>
    <dxf>
      <font>
        <b/>
        <color rgb="FF2E8B6E"/>
      </font>
    </dxf>
    <dxf>
      <fill>
        <patternFill>
          <bgColor rgb="FFF2C9C4"/>
        </patternFill>
      </fill>
    </dxf>
    <dxf>
      <fill>
        <patternFill>
          <bgColor rgb="FFFBE7C2"/>
        </patternFill>
      </fill>
    </dxf>
    <dxf>
      <fill>
        <patternFill>
          <bgColor rgb="FFF2C9C4"/>
        </patternFill>
      </fill>
    </dxf>
    <dxf>
      <fill>
        <patternFill>
          <bgColor rgb="FFF2C9C4"/>
        </patternFill>
      </fill>
    </dxf>
    <dxf>
      <fill>
        <patternFill>
          <bgColor rgb="FFFBE7C2"/>
        </patternFill>
      </fill>
    </dxf>
    <dxf>
      <fill>
        <patternFill>
          <bgColor rgb="FFD5EDE3"/>
        </patternFill>
      </fill>
    </dxf>
    <dxf>
      <fill>
        <patternFill>
          <bgColor rgb="FFF2C9C4"/>
        </patternFill>
      </fill>
    </dxf>
    <dxf>
      <fill>
        <patternFill>
          <bgColor rgb="FFD5EDE3"/>
        </patternFill>
      </fill>
    </dxf>
    <dxf>
      <fill>
        <patternFill>
          <bgColor rgb="FFF2C9C4"/>
        </patternFill>
      </fill>
    </dxf>
    <dxf>
      <fill>
        <patternFill>
          <bgColor rgb="FFEAF1FA"/>
        </patternFill>
      </fill>
    </dxf>
    <dxf>
      <fill>
        <patternFill>
          <bgColor rgb="FFFBE7C2"/>
        </patternFill>
      </fill>
    </dxf>
    <dxf>
      <fill>
        <patternFill>
          <bgColor rgb="FFD5EDE3"/>
        </patternFill>
      </fill>
    </dxf>
    <dxf>
      <fill>
        <patternFill>
          <bgColor rgb="FFD5EDE3"/>
        </patternFill>
      </fill>
    </dxf>
    <dxf>
      <fill>
        <patternFill>
          <bgColor rgb="FFF2C9C4"/>
        </patternFill>
      </fill>
    </dxf>
    <dxf>
      <fill>
        <patternFill>
          <bgColor rgb="FFF2C9C4"/>
        </patternFill>
      </fill>
    </dxf>
    <dxf>
      <fill>
        <patternFill>
          <bgColor rgb="FFFBE7C2"/>
        </patternFill>
      </fill>
    </dxf>
    <dxf>
      <fill>
        <patternFill>
          <bgColor rgb="FFD5EDE3"/>
        </patternFill>
      </fill>
    </dxf>
    <dxf>
      <fill>
        <patternFill>
          <bgColor rgb="FFF2C9C4"/>
        </patternFill>
      </fill>
    </dxf>
    <dxf>
      <fill>
        <patternFill>
          <bgColor rgb="FFFBE7C2"/>
        </patternFill>
      </fill>
    </dxf>
    <dxf>
      <fill>
        <patternFill>
          <bgColor rgb="FFD5EDE3"/>
        </patternFill>
      </fill>
    </dxf>
    <dxf>
      <fill>
        <patternFill>
          <bgColor rgb="FFF2C9C4"/>
        </patternFill>
      </fill>
    </dxf>
    <dxf>
      <fill>
        <patternFill>
          <bgColor rgb="FFFBE7C2"/>
        </patternFill>
      </fill>
    </dxf>
    <dxf>
      <fill>
        <patternFill>
          <bgColor rgb="FFD5EDE3"/>
        </patternFill>
      </fill>
    </dxf>
    <dxf>
      <fill>
        <patternFill>
          <bgColor rgb="FFF2C9C4"/>
        </patternFill>
      </fill>
    </dxf>
    <dxf>
      <fill>
        <patternFill>
          <bgColor rgb="FFFBE7C2"/>
        </patternFill>
      </fill>
    </dxf>
    <dxf>
      <fill>
        <patternFill>
          <bgColor rgb="FFD5EDE3"/>
        </patternFill>
      </fill>
    </dxf>
    <dxf>
      <fill>
        <patternFill>
          <bgColor rgb="FFD5EDE3"/>
        </patternFill>
      </fill>
    </dxf>
    <dxf>
      <fill>
        <patternFill>
          <bgColor rgb="FFF2C9C4"/>
        </patternFill>
      </fill>
    </dxf>
    <dxf>
      <fill>
        <patternFill>
          <bgColor rgb="FFF2C9C4"/>
        </patternFill>
      </fill>
    </dxf>
    <dxf>
      <fill>
        <patternFill>
          <bgColor rgb="FFFBE7C2"/>
        </patternFill>
      </fill>
    </dxf>
    <dxf>
      <fill>
        <patternFill>
          <bgColor rgb="FFD5EDE3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78787"/>
      <rgbColor rgb="FF9999FF"/>
      <rgbColor rgb="FFC2453A"/>
      <rgbColor rgb="FFFFF4CC"/>
      <rgbColor rgb="FFEAF1FA"/>
      <rgbColor rgb="FF660066"/>
      <rgbColor rgb="FFFF8080"/>
      <rgbColor rgb="FF0066CC"/>
      <rgbColor rgb="FFD3D9E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EF1F5"/>
      <rgbColor rgb="FFD5EDE3"/>
      <rgbColor rgb="FFFBE7C2"/>
      <rgbColor rgb="FF99CCFF"/>
      <rgbColor rgb="FFFF99CC"/>
      <rgbColor rgb="FFCC99FF"/>
      <rgbColor rgb="FFF2C9C4"/>
      <rgbColor rgb="FF2F6DB5"/>
      <rgbColor rgb="FF33CCCC"/>
      <rgbColor rgb="FF99CC00"/>
      <rgbColor rgb="FFFFCC00"/>
      <rgbColor rgb="FFFF9900"/>
      <rgbColor rgb="FFFF6600"/>
      <rgbColor rgb="FF5C677D"/>
      <rgbColor rgb="FF969696"/>
      <rgbColor rgb="FF14213D"/>
      <rgbColor rgb="FF2E8B6E"/>
      <rgbColor rgb="FF003300"/>
      <rgbColor rgb="FF333300"/>
      <rgbColor rgb="FF993300"/>
      <rgbColor rgb="FF993366"/>
      <rgbColor rgb="FF333399"/>
      <rgbColor rgb="FF1B1D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fr-FR" sz="1800" b="1" strike="noStrike" spc="-1">
                <a:solidFill>
                  <a:srgbClr val="000000"/>
                </a:solidFill>
                <a:latin typeface="Calibri"/>
              </a:rPr>
              <a:t>Chiffre d’affaires et bénéfice net par mois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'Bilan annuel'!$B$5</c:f>
              <c:strCache>
                <c:ptCount val="1"/>
                <c:pt idx="0">
                  <c:v>Chiffre d’affaires</c:v>
                </c:pt>
              </c:strCache>
            </c:strRef>
          </c:tx>
          <c:spPr>
            <a:solidFill>
              <a:srgbClr val="2F6DB5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'Bilan annuel'!$A$6:$A$17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'Bilan annuel'!$B$6:$B$17</c:f>
              <c:numCache>
                <c:formatCode>#\ ##0;\-#\ 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64000</c:v>
                </c:pt>
                <c:pt idx="9">
                  <c:v>150000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ACC-4989-BCD1-94D9E2DADDA9}"/>
            </c:ext>
          </c:extLst>
        </c:ser>
        <c:ser>
          <c:idx val="1"/>
          <c:order val="1"/>
          <c:tx>
            <c:strRef>
              <c:f>'Bilan annuel'!$G$5</c:f>
              <c:strCache>
                <c:ptCount val="1"/>
                <c:pt idx="0">
                  <c:v>Bénéfice net</c:v>
                </c:pt>
              </c:strCache>
            </c:strRef>
          </c:tx>
          <c:spPr>
            <a:solidFill>
              <a:srgbClr val="2E8B6E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fr-FR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'Bilan annuel'!$A$6:$A$17</c:f>
              <c:numCache>
                <c:formatCode>mmm\ yyyy</c:formatCode>
                <c:ptCount val="12"/>
                <c:pt idx="0">
                  <c:v>46023</c:v>
                </c:pt>
                <c:pt idx="1">
                  <c:v>46054</c:v>
                </c:pt>
                <c:pt idx="2">
                  <c:v>46082</c:v>
                </c:pt>
                <c:pt idx="3">
                  <c:v>46113</c:v>
                </c:pt>
                <c:pt idx="4">
                  <c:v>46143</c:v>
                </c:pt>
                <c:pt idx="5">
                  <c:v>46174</c:v>
                </c:pt>
                <c:pt idx="6">
                  <c:v>46204</c:v>
                </c:pt>
                <c:pt idx="7">
                  <c:v>46235</c:v>
                </c:pt>
                <c:pt idx="8">
                  <c:v>46266</c:v>
                </c:pt>
                <c:pt idx="9">
                  <c:v>46296</c:v>
                </c:pt>
                <c:pt idx="10">
                  <c:v>46327</c:v>
                </c:pt>
                <c:pt idx="11">
                  <c:v>46357</c:v>
                </c:pt>
              </c:numCache>
            </c:numRef>
          </c:cat>
          <c:val>
            <c:numRef>
              <c:f>'Bilan annuel'!$G$6:$G$17</c:f>
              <c:numCache>
                <c:formatCode>#\ ##0;\-#\ ##0;\-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15950</c:v>
                </c:pt>
                <c:pt idx="9">
                  <c:v>45750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ACC-4989-BCD1-94D9E2DADD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9108108"/>
        <c:axId val="60639198"/>
      </c:barChart>
      <c:dateAx>
        <c:axId val="29108108"/>
        <c:scaling>
          <c:orientation val="minMax"/>
        </c:scaling>
        <c:delete val="0"/>
        <c:axPos val="b"/>
        <c:numFmt formatCode="mmm\ yyyy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60639198"/>
        <c:crosses val="autoZero"/>
        <c:auto val="1"/>
        <c:lblOffset val="100"/>
        <c:baseTimeUnit val="months"/>
      </c:dateAx>
      <c:valAx>
        <c:axId val="60639198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fr-FR" sz="1000" b="1" strike="noStrike" spc="-1">
                    <a:solidFill>
                      <a:srgbClr val="000000"/>
                    </a:solidFill>
                    <a:latin typeface="Calibri"/>
                  </a:rPr>
                  <a:t>FCFA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\ ##0;\-#\ ##0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fr-FR"/>
          </a:p>
        </c:txPr>
        <c:crossAx val="2910810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fr-FR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130680</xdr:rowOff>
    </xdr:from>
    <xdr:to>
      <xdr:col>7</xdr:col>
      <xdr:colOff>659520</xdr:colOff>
      <xdr:row>34</xdr:row>
      <xdr:rowOff>152640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2E8B6E"/>
  </sheetPr>
  <dimension ref="A1:J39"/>
  <sheetViews>
    <sheetView showGridLines="0" tabSelected="1" zoomScaleNormal="100" workbookViewId="0">
      <pane ySplit="6" topLeftCell="A7" activePane="bottomLeft" state="frozen"/>
      <selection pane="bottomLeft" activeCell="A15" sqref="A15"/>
    </sheetView>
  </sheetViews>
  <sheetFormatPr baseColWidth="10" defaultColWidth="8.7109375" defaultRowHeight="15" x14ac:dyDescent="0.25"/>
  <cols>
    <col min="1" max="1" width="36" customWidth="1"/>
    <col min="2" max="3" width="16" customWidth="1"/>
    <col min="4" max="4" width="13" customWidth="1"/>
    <col min="5" max="5" width="3" customWidth="1"/>
    <col min="6" max="6" width="26" customWidth="1"/>
    <col min="7" max="7" width="11" customWidth="1"/>
    <col min="8" max="9" width="14" customWidth="1"/>
    <col min="10" max="10" width="10" customWidth="1"/>
  </cols>
  <sheetData>
    <row r="1" spans="1:10" ht="20.25" x14ac:dyDescent="0.3">
      <c r="A1" s="13" t="s">
        <v>256</v>
      </c>
    </row>
    <row r="2" spans="1:10" x14ac:dyDescent="0.25">
      <c r="A2" s="3" t="s">
        <v>257</v>
      </c>
    </row>
    <row r="3" spans="1:10" x14ac:dyDescent="0.25">
      <c r="A3" s="4" t="s">
        <v>2</v>
      </c>
    </row>
    <row r="4" spans="1:10" x14ac:dyDescent="0.25">
      <c r="A4" s="9" t="s">
        <v>258</v>
      </c>
      <c r="B4" s="23">
        <f>Paramètres!$B$17</f>
        <v>46296</v>
      </c>
      <c r="C4" s="5" t="str">
        <f>Paramètres!B6</f>
        <v>Pagnes de Fatou</v>
      </c>
    </row>
    <row r="5" spans="1:10" x14ac:dyDescent="0.25">
      <c r="F5" s="43" t="s">
        <v>259</v>
      </c>
    </row>
    <row r="6" spans="1:10" ht="31.5" customHeight="1" x14ac:dyDescent="0.25">
      <c r="A6" s="14" t="s">
        <v>260</v>
      </c>
      <c r="B6" s="14" t="s">
        <v>261</v>
      </c>
      <c r="C6" s="14" t="s">
        <v>262</v>
      </c>
      <c r="D6" s="14" t="s">
        <v>263</v>
      </c>
      <c r="F6" s="14" t="s">
        <v>179</v>
      </c>
      <c r="G6" s="14" t="s">
        <v>204</v>
      </c>
      <c r="H6" s="14" t="s">
        <v>264</v>
      </c>
      <c r="I6" s="14" t="s">
        <v>215</v>
      </c>
      <c r="J6" s="14" t="s">
        <v>265</v>
      </c>
    </row>
    <row r="7" spans="1:10" x14ac:dyDescent="0.25">
      <c r="A7" s="17" t="s">
        <v>266</v>
      </c>
      <c r="B7" s="44">
        <f>SUMIFS(Ventes!$K$6:$K$505,Ventes!$T$6:$T$505,$B$4,Ventes!$M$6:$M$505,"Livrée et payée")</f>
        <v>150000</v>
      </c>
      <c r="C7" s="44">
        <f>SUMIFS(Ventes!$K$6:$K$505,Ventes!$T$6:$T$505,Paramètres!$B$18,Ventes!$M$6:$M$505,"Livrée et payée")</f>
        <v>64000</v>
      </c>
      <c r="D7" s="45">
        <f>IF(N(C7)=0,"",B7/C7-1)</f>
        <v>1.34375</v>
      </c>
      <c r="F7" s="28" t="str">
        <f>IF(Catalogue!B6="","",Catalogue!B6)</f>
        <v>Pagne wax 6 yards</v>
      </c>
      <c r="G7" s="46">
        <f>IF(F7="","",SUMIFS(Ventes!$G$6:$G$505,Ventes!$F$6:$F$505,F7,Ventes!$T$6:$T$505,$B$4,Ventes!$M$6:$M$505,"Livrée et payée"))</f>
        <v>8</v>
      </c>
      <c r="H7" s="25">
        <f>IF(F7="","",SUMIFS(Ventes!$K$6:$K$505,Ventes!$F$6:$F$505,F7,Ventes!$T$6:$T$505,$B$4,Ventes!$M$6:$M$505,"Livrée et payée"))</f>
        <v>80000</v>
      </c>
      <c r="I7" s="25">
        <f>IF(F7="","",SUMIFS(Ventes!$R$6:$R$505,Ventes!$F$6:$F$505,F7,Ventes!$T$6:$T$505,$B$4))</f>
        <v>33600</v>
      </c>
      <c r="J7" s="47">
        <f t="shared" ref="J7:J26" si="0">IF(OR(F7="",N($B$7)=0),"",H7/$B$7)</f>
        <v>0.53333333333333333</v>
      </c>
    </row>
    <row r="8" spans="1:10" x14ac:dyDescent="0.25">
      <c r="A8" s="33" t="s">
        <v>267</v>
      </c>
      <c r="B8" s="29">
        <f>COUNTIFS(Ventes!$T$6:$T$505,$B$4,Ventes!$M$6:$M$505,"Livrée et payée")</f>
        <v>11</v>
      </c>
      <c r="C8" s="29">
        <f>COUNTIFS(Ventes!$T$6:$T$505,Paramètres!$B$18,Ventes!$M$6:$M$505,"Livrée et payée")</f>
        <v>6</v>
      </c>
      <c r="D8" s="45">
        <f>IF(N(C8)=0,"",B8/C8-1)</f>
        <v>0.83333333333333326</v>
      </c>
      <c r="F8" s="28" t="str">
        <f>IF(Catalogue!B7="","",Catalogue!B7)</f>
        <v>Foulard assorti</v>
      </c>
      <c r="G8" s="46">
        <f>IF(F8="","",SUMIFS(Ventes!$G$6:$G$505,Ventes!$F$6:$F$505,F8,Ventes!$T$6:$T$505,$B$4,Ventes!$M$6:$M$505,"Livrée et payée"))</f>
        <v>3</v>
      </c>
      <c r="H8" s="25">
        <f>IF(F8="","",SUMIFS(Ventes!$K$6:$K$505,Ventes!$F$6:$F$505,F8,Ventes!$T$6:$T$505,$B$4,Ventes!$M$6:$M$505,"Livrée et payée"))</f>
        <v>10500</v>
      </c>
      <c r="I8" s="25">
        <f>IF(F8="","",SUMIFS(Ventes!$R$6:$R$505,Ventes!$F$6:$F$505,F8,Ventes!$T$6:$T$505,$B$4))</f>
        <v>6450</v>
      </c>
      <c r="J8" s="47">
        <f t="shared" si="0"/>
        <v>7.0000000000000007E-2</v>
      </c>
    </row>
    <row r="9" spans="1:10" x14ac:dyDescent="0.25">
      <c r="A9" s="33" t="s">
        <v>268</v>
      </c>
      <c r="B9" s="29">
        <f>SUMIFS(Ventes!$G$6:$G$505,Ventes!$T$6:$T$505,$B$4,Ventes!$M$6:$M$505,"Livrée et payée")</f>
        <v>14</v>
      </c>
      <c r="C9" s="29">
        <f>SUMIFS(Ventes!$G$6:$G$505,Ventes!$T$6:$T$505,Paramètres!$B$18,Ventes!$M$6:$M$505,"Livrée et payée")</f>
        <v>7</v>
      </c>
      <c r="D9" s="45">
        <f>IF(N(C9)=0,"",B9/C9-1)</f>
        <v>1</v>
      </c>
      <c r="F9" s="28" t="str">
        <f>IF(Catalogue!B8="","",Catalogue!B8)</f>
        <v>Pack 3 pagnes</v>
      </c>
      <c r="G9" s="46">
        <f>IF(F9="","",SUMIFS(Ventes!$G$6:$G$505,Ventes!$F$6:$F$505,F9,Ventes!$T$6:$T$505,$B$4,Ventes!$M$6:$M$505,"Livrée et payée"))</f>
        <v>2</v>
      </c>
      <c r="H9" s="25">
        <f>IF(F9="","",SUMIFS(Ventes!$K$6:$K$505,Ventes!$F$6:$F$505,F9,Ventes!$T$6:$T$505,$B$4,Ventes!$M$6:$M$505,"Livrée et payée"))</f>
        <v>52000</v>
      </c>
      <c r="I9" s="25">
        <f>IF(F9="","",SUMIFS(Ventes!$R$6:$R$505,Ventes!$F$6:$F$505,F9,Ventes!$T$6:$T$505,$B$4))</f>
        <v>24200</v>
      </c>
      <c r="J9" s="47">
        <f t="shared" si="0"/>
        <v>0.34666666666666668</v>
      </c>
    </row>
    <row r="10" spans="1:10" x14ac:dyDescent="0.25">
      <c r="A10" s="33" t="s">
        <v>269</v>
      </c>
      <c r="B10" s="25">
        <f>IF(N(B8)=0,0,B7/B8)</f>
        <v>13636.363636363636</v>
      </c>
      <c r="C10" s="25">
        <f>IF(N(C8)=0,0,C7/C8)</f>
        <v>10666.666666666666</v>
      </c>
      <c r="D10" s="45">
        <f>IF(N(C10)=0,"",B10/C10-1)</f>
        <v>0.27840909090909105</v>
      </c>
      <c r="F10" s="28" t="str">
        <f>IF(Catalogue!B9="","",Catalogue!B9)</f>
        <v>Conseil style à domicile</v>
      </c>
      <c r="G10" s="46">
        <f>IF(F10="","",SUMIFS(Ventes!$G$6:$G$505,Ventes!$F$6:$F$505,F10,Ventes!$T$6:$T$505,$B$4,Ventes!$M$6:$M$505,"Livrée et payée"))</f>
        <v>1</v>
      </c>
      <c r="H10" s="25">
        <f>IF(F10="","",SUMIFS(Ventes!$K$6:$K$505,Ventes!$F$6:$F$505,F10,Ventes!$T$6:$T$505,$B$4,Ventes!$M$6:$M$505,"Livrée et payée"))</f>
        <v>7500</v>
      </c>
      <c r="I10" s="25">
        <f>IF(F10="","",SUMIFS(Ventes!$R$6:$R$505,Ventes!$F$6:$F$505,F10,Ventes!$T$6:$T$505,$B$4))</f>
        <v>5500</v>
      </c>
      <c r="J10" s="47">
        <f t="shared" si="0"/>
        <v>0.05</v>
      </c>
    </row>
    <row r="11" spans="1:10" x14ac:dyDescent="0.25">
      <c r="A11" s="33" t="s">
        <v>270</v>
      </c>
      <c r="B11" s="29">
        <f>COUNTIFS(Ventes!$T$6:$T$505,$B$4,Ventes!$M$6:$M$505,"Annulée")+COUNTIFS(Ventes!$T$6:$T$505,$B$4,Ventes!$M$6:$M$505,"Retournée")</f>
        <v>1</v>
      </c>
      <c r="C11" s="29">
        <f>COUNTIFS(Ventes!$T$6:$T$505,Paramètres!$B$18,Ventes!$M$6:$M$505,"Annulée")+COUNTIFS(Ventes!$T$6:$T$505,Paramètres!$B$18,Ventes!$M$6:$M$505,"Retournée")</f>
        <v>1</v>
      </c>
      <c r="D11" s="45">
        <f>IF(N(C11)=0,"",B11/C11-1)</f>
        <v>0</v>
      </c>
      <c r="F11" s="28" t="str">
        <f>IF(Catalogue!B10="","",Catalogue!B10)</f>
        <v/>
      </c>
      <c r="G11" s="46" t="str">
        <f>IF(F11="","",SUMIFS(Ventes!$G$6:$G$505,Ventes!$F$6:$F$505,F11,Ventes!$T$6:$T$505,$B$4,Ventes!$M$6:$M$505,"Livrée et payée"))</f>
        <v/>
      </c>
      <c r="H11" s="25" t="str">
        <f>IF(F11="","",SUMIFS(Ventes!$K$6:$K$505,Ventes!$F$6:$F$505,F11,Ventes!$T$6:$T$505,$B$4,Ventes!$M$6:$M$505,"Livrée et payée"))</f>
        <v/>
      </c>
      <c r="I11" s="25" t="str">
        <f>IF(F11="","",SUMIFS(Ventes!$R$6:$R$505,Ventes!$F$6:$F$505,F11,Ventes!$T$6:$T$505,$B$4))</f>
        <v/>
      </c>
      <c r="J11" s="47" t="str">
        <f t="shared" si="0"/>
        <v/>
      </c>
    </row>
    <row r="12" spans="1:10" x14ac:dyDescent="0.25">
      <c r="A12" s="33" t="s">
        <v>271</v>
      </c>
      <c r="B12" s="39">
        <f>IF((B8+B11)=0,0,B11/(B8+B11))</f>
        <v>8.3333333333333329E-2</v>
      </c>
      <c r="C12" s="39">
        <f>IF((C8+C11)=0,0,C11/(C8+C11))</f>
        <v>0.14285714285714285</v>
      </c>
      <c r="D12" s="48">
        <f>(B12-C12)*100</f>
        <v>-5.9523809523809517</v>
      </c>
      <c r="F12" s="28" t="str">
        <f>IF(Catalogue!B11="","",Catalogue!B11)</f>
        <v/>
      </c>
      <c r="G12" s="46" t="str">
        <f>IF(F12="","",SUMIFS(Ventes!$G$6:$G$505,Ventes!$F$6:$F$505,F12,Ventes!$T$6:$T$505,$B$4,Ventes!$M$6:$M$505,"Livrée et payée"))</f>
        <v/>
      </c>
      <c r="H12" s="25" t="str">
        <f>IF(F12="","",SUMIFS(Ventes!$K$6:$K$505,Ventes!$F$6:$F$505,F12,Ventes!$T$6:$T$505,$B$4,Ventes!$M$6:$M$505,"Livrée et payée"))</f>
        <v/>
      </c>
      <c r="I12" s="25" t="str">
        <f>IF(F12="","",SUMIFS(Ventes!$R$6:$R$505,Ventes!$F$6:$F$505,F12,Ventes!$T$6:$T$505,$B$4))</f>
        <v/>
      </c>
      <c r="J12" s="47" t="str">
        <f t="shared" si="0"/>
        <v/>
      </c>
    </row>
    <row r="13" spans="1:10" x14ac:dyDescent="0.25">
      <c r="A13" s="33" t="s">
        <v>272</v>
      </c>
      <c r="B13" s="25">
        <f>SUMIFS('Suivi pubs'!$E$6:$E$370,'Suivi pubs'!$N$6:$N$370,$B$4)</f>
        <v>12000</v>
      </c>
      <c r="C13" s="25">
        <f>SUMIFS('Suivi pubs'!$E$6:$E$370,'Suivi pubs'!$N$6:$N$370,Paramètres!$B$18)</f>
        <v>6000</v>
      </c>
      <c r="D13" s="45">
        <f>IF(N(C13)=0,"",B13/C13-1)</f>
        <v>1</v>
      </c>
      <c r="F13" s="28" t="str">
        <f>IF(Catalogue!B12="","",Catalogue!B12)</f>
        <v/>
      </c>
      <c r="G13" s="46" t="str">
        <f>IF(F13="","",SUMIFS(Ventes!$G$6:$G$505,Ventes!$F$6:$F$505,F13,Ventes!$T$6:$T$505,$B$4,Ventes!$M$6:$M$505,"Livrée et payée"))</f>
        <v/>
      </c>
      <c r="H13" s="25" t="str">
        <f>IF(F13="","",SUMIFS(Ventes!$K$6:$K$505,Ventes!$F$6:$F$505,F13,Ventes!$T$6:$T$505,$B$4,Ventes!$M$6:$M$505,"Livrée et payée"))</f>
        <v/>
      </c>
      <c r="I13" s="25" t="str">
        <f>IF(F13="","",SUMIFS(Ventes!$R$6:$R$505,Ventes!$F$6:$F$505,F13,Ventes!$T$6:$T$505,$B$4))</f>
        <v/>
      </c>
      <c r="J13" s="47" t="str">
        <f t="shared" si="0"/>
        <v/>
      </c>
    </row>
    <row r="14" spans="1:10" x14ac:dyDescent="0.25">
      <c r="A14" s="33" t="s">
        <v>273</v>
      </c>
      <c r="B14" s="29">
        <f>SUMIFS('Suivi pubs'!$F$6:$F$370,'Suivi pubs'!$N$6:$N$370,$B$4)</f>
        <v>49</v>
      </c>
      <c r="C14" s="29">
        <f>SUMIFS('Suivi pubs'!$F$6:$F$370,'Suivi pubs'!$N$6:$N$370,Paramètres!$B$18)</f>
        <v>12</v>
      </c>
      <c r="D14" s="45">
        <f>IF(N(C14)=0,"",B14/C14-1)</f>
        <v>3.083333333333333</v>
      </c>
      <c r="F14" s="28" t="str">
        <f>IF(Catalogue!B13="","",Catalogue!B13)</f>
        <v/>
      </c>
      <c r="G14" s="46" t="str">
        <f>IF(F14="","",SUMIFS(Ventes!$G$6:$G$505,Ventes!$F$6:$F$505,F14,Ventes!$T$6:$T$505,$B$4,Ventes!$M$6:$M$505,"Livrée et payée"))</f>
        <v/>
      </c>
      <c r="H14" s="25" t="str">
        <f>IF(F14="","",SUMIFS(Ventes!$K$6:$K$505,Ventes!$F$6:$F$505,F14,Ventes!$T$6:$T$505,$B$4,Ventes!$M$6:$M$505,"Livrée et payée"))</f>
        <v/>
      </c>
      <c r="I14" s="25" t="str">
        <f>IF(F14="","",SUMIFS(Ventes!$R$6:$R$505,Ventes!$F$6:$F$505,F14,Ventes!$T$6:$T$505,$B$4))</f>
        <v/>
      </c>
      <c r="J14" s="47" t="str">
        <f t="shared" si="0"/>
        <v/>
      </c>
    </row>
    <row r="15" spans="1:10" x14ac:dyDescent="0.25">
      <c r="A15" s="33" t="s">
        <v>274</v>
      </c>
      <c r="B15" s="29">
        <f>SUMIFS('Suivi pubs'!$G$6:$G$370,'Suivi pubs'!$N$6:$N$370,$B$4)</f>
        <v>7</v>
      </c>
      <c r="C15" s="29">
        <f>SUMIFS('Suivi pubs'!$G$6:$G$370,'Suivi pubs'!$N$6:$N$370,Paramètres!$B$18)</f>
        <v>1</v>
      </c>
      <c r="D15" s="45">
        <f>IF(N(C15)=0,"",B15/C15-1)</f>
        <v>6</v>
      </c>
      <c r="F15" s="28" t="str">
        <f>IF(Catalogue!B14="","",Catalogue!B14)</f>
        <v/>
      </c>
      <c r="G15" s="46" t="str">
        <f>IF(F15="","",SUMIFS(Ventes!$G$6:$G$505,Ventes!$F$6:$F$505,F15,Ventes!$T$6:$T$505,$B$4,Ventes!$M$6:$M$505,"Livrée et payée"))</f>
        <v/>
      </c>
      <c r="H15" s="25" t="str">
        <f>IF(F15="","",SUMIFS(Ventes!$K$6:$K$505,Ventes!$F$6:$F$505,F15,Ventes!$T$6:$T$505,$B$4,Ventes!$M$6:$M$505,"Livrée et payée"))</f>
        <v/>
      </c>
      <c r="I15" s="25" t="str">
        <f>IF(F15="","",SUMIFS(Ventes!$R$6:$R$505,Ventes!$F$6:$F$505,F15,Ventes!$T$6:$T$505,$B$4))</f>
        <v/>
      </c>
      <c r="J15" s="47" t="str">
        <f t="shared" si="0"/>
        <v/>
      </c>
    </row>
    <row r="16" spans="1:10" x14ac:dyDescent="0.25">
      <c r="A16" s="33" t="s">
        <v>275</v>
      </c>
      <c r="B16" s="25">
        <f>IF(N(B14)=0,0,B13/B14)</f>
        <v>244.89795918367346</v>
      </c>
      <c r="C16" s="25">
        <f>IF(N(C14)=0,0,C13/C14)</f>
        <v>500</v>
      </c>
      <c r="D16" s="45">
        <f>IF(N(C16)=0,"",B16/C16-1)</f>
        <v>-0.51020408163265307</v>
      </c>
      <c r="F16" s="28" t="str">
        <f>IF(Catalogue!B15="","",Catalogue!B15)</f>
        <v/>
      </c>
      <c r="G16" s="46" t="str">
        <f>IF(F16="","",SUMIFS(Ventes!$G$6:$G$505,Ventes!$F$6:$F$505,F16,Ventes!$T$6:$T$505,$B$4,Ventes!$M$6:$M$505,"Livrée et payée"))</f>
        <v/>
      </c>
      <c r="H16" s="25" t="str">
        <f>IF(F16="","",SUMIFS(Ventes!$K$6:$K$505,Ventes!$F$6:$F$505,F16,Ventes!$T$6:$T$505,$B$4,Ventes!$M$6:$M$505,"Livrée et payée"))</f>
        <v/>
      </c>
      <c r="I16" s="25" t="str">
        <f>IF(F16="","",SUMIFS(Ventes!$R$6:$R$505,Ventes!$F$6:$F$505,F16,Ventes!$T$6:$T$505,$B$4))</f>
        <v/>
      </c>
      <c r="J16" s="47" t="str">
        <f t="shared" si="0"/>
        <v/>
      </c>
    </row>
    <row r="17" spans="1:10" x14ac:dyDescent="0.25">
      <c r="A17" s="33" t="s">
        <v>276</v>
      </c>
      <c r="B17" s="39">
        <f>IF(N(B14)=0,0,B15/B14)</f>
        <v>0.14285714285714285</v>
      </c>
      <c r="C17" s="39">
        <f>IF(N(C14)=0,0,C15/C14)</f>
        <v>8.3333333333333329E-2</v>
      </c>
      <c r="D17" s="48">
        <f>(B17-C17)*100</f>
        <v>5.9523809523809517</v>
      </c>
      <c r="F17" s="28" t="str">
        <f>IF(Catalogue!B16="","",Catalogue!B16)</f>
        <v/>
      </c>
      <c r="G17" s="46" t="str">
        <f>IF(F17="","",SUMIFS(Ventes!$G$6:$G$505,Ventes!$F$6:$F$505,F17,Ventes!$T$6:$T$505,$B$4,Ventes!$M$6:$M$505,"Livrée et payée"))</f>
        <v/>
      </c>
      <c r="H17" s="25" t="str">
        <f>IF(F17="","",SUMIFS(Ventes!$K$6:$K$505,Ventes!$F$6:$F$505,F17,Ventes!$T$6:$T$505,$B$4,Ventes!$M$6:$M$505,"Livrée et payée"))</f>
        <v/>
      </c>
      <c r="I17" s="25" t="str">
        <f>IF(F17="","",SUMIFS(Ventes!$R$6:$R$505,Ventes!$F$6:$F$505,F17,Ventes!$T$6:$T$505,$B$4))</f>
        <v/>
      </c>
      <c r="J17" s="47" t="str">
        <f t="shared" si="0"/>
        <v/>
      </c>
    </row>
    <row r="18" spans="1:10" x14ac:dyDescent="0.25">
      <c r="A18" s="33" t="s">
        <v>277</v>
      </c>
      <c r="B18" s="25">
        <f>IF(N(B15)=0,0,B13/B15)</f>
        <v>1714.2857142857142</v>
      </c>
      <c r="C18" s="25">
        <f>IF(N(C15)=0,0,C13/C15)</f>
        <v>6000</v>
      </c>
      <c r="D18" s="45">
        <f>IF(N(C18)=0,"",B18/C18-1)</f>
        <v>-0.7142857142857143</v>
      </c>
      <c r="F18" s="28" t="str">
        <f>IF(Catalogue!B17="","",Catalogue!B17)</f>
        <v/>
      </c>
      <c r="G18" s="46" t="str">
        <f>IF(F18="","",SUMIFS(Ventes!$G$6:$G$505,Ventes!$F$6:$F$505,F18,Ventes!$T$6:$T$505,$B$4,Ventes!$M$6:$M$505,"Livrée et payée"))</f>
        <v/>
      </c>
      <c r="H18" s="25" t="str">
        <f>IF(F18="","",SUMIFS(Ventes!$K$6:$K$505,Ventes!$F$6:$F$505,F18,Ventes!$T$6:$T$505,$B$4,Ventes!$M$6:$M$505,"Livrée et payée"))</f>
        <v/>
      </c>
      <c r="I18" s="25" t="str">
        <f>IF(F18="","",SUMIFS(Ventes!$R$6:$R$505,Ventes!$F$6:$F$505,F18,Ventes!$T$6:$T$505,$B$4))</f>
        <v/>
      </c>
      <c r="J18" s="47" t="str">
        <f t="shared" si="0"/>
        <v/>
      </c>
    </row>
    <row r="19" spans="1:10" x14ac:dyDescent="0.25">
      <c r="A19" s="33" t="s">
        <v>278</v>
      </c>
      <c r="B19" s="25">
        <f>SUMIFS(Ventes!$R$6:$R$505,Ventes!$T$6:$T$505,$B$4)</f>
        <v>69750</v>
      </c>
      <c r="C19" s="25">
        <f>SUMIFS(Ventes!$R$6:$R$505,Ventes!$T$6:$T$505,Paramètres!$B$18)</f>
        <v>30950</v>
      </c>
      <c r="D19" s="45">
        <f>IF(N(C19)=0,"",B19/C19-1)</f>
        <v>1.2536348949919223</v>
      </c>
      <c r="F19" s="28" t="str">
        <f>IF(Catalogue!B18="","",Catalogue!B18)</f>
        <v/>
      </c>
      <c r="G19" s="46" t="str">
        <f>IF(F19="","",SUMIFS(Ventes!$G$6:$G$505,Ventes!$F$6:$F$505,F19,Ventes!$T$6:$T$505,$B$4,Ventes!$M$6:$M$505,"Livrée et payée"))</f>
        <v/>
      </c>
      <c r="H19" s="25" t="str">
        <f>IF(F19="","",SUMIFS(Ventes!$K$6:$K$505,Ventes!$F$6:$F$505,F19,Ventes!$T$6:$T$505,$B$4,Ventes!$M$6:$M$505,"Livrée et payée"))</f>
        <v/>
      </c>
      <c r="I19" s="25" t="str">
        <f>IF(F19="","",SUMIFS(Ventes!$R$6:$R$505,Ventes!$F$6:$F$505,F19,Ventes!$T$6:$T$505,$B$4))</f>
        <v/>
      </c>
      <c r="J19" s="47" t="str">
        <f t="shared" si="0"/>
        <v/>
      </c>
    </row>
    <row r="20" spans="1:10" x14ac:dyDescent="0.25">
      <c r="A20" s="33" t="s">
        <v>279</v>
      </c>
      <c r="B20" s="25">
        <f>SUMIFS(Dépenses!$D$6:$D$205,Dépenses!$E$6:$E$205,$B$4)</f>
        <v>12000</v>
      </c>
      <c r="C20" s="25">
        <f>SUMIFS(Dépenses!$D$6:$D$205,Dépenses!$E$6:$E$205,Paramètres!$B$18)</f>
        <v>9000</v>
      </c>
      <c r="D20" s="45">
        <f>IF(N(C20)=0,"",B20/C20-1)</f>
        <v>0.33333333333333326</v>
      </c>
      <c r="F20" s="28" t="str">
        <f>IF(Catalogue!B19="","",Catalogue!B19)</f>
        <v/>
      </c>
      <c r="G20" s="46" t="str">
        <f>IF(F20="","",SUMIFS(Ventes!$G$6:$G$505,Ventes!$F$6:$F$505,F20,Ventes!$T$6:$T$505,$B$4,Ventes!$M$6:$M$505,"Livrée et payée"))</f>
        <v/>
      </c>
      <c r="H20" s="25" t="str">
        <f>IF(F20="","",SUMIFS(Ventes!$K$6:$K$505,Ventes!$F$6:$F$505,F20,Ventes!$T$6:$T$505,$B$4,Ventes!$M$6:$M$505,"Livrée et payée"))</f>
        <v/>
      </c>
      <c r="I20" s="25" t="str">
        <f>IF(F20="","",SUMIFS(Ventes!$R$6:$R$505,Ventes!$F$6:$F$505,F20,Ventes!$T$6:$T$505,$B$4))</f>
        <v/>
      </c>
      <c r="J20" s="47" t="str">
        <f t="shared" si="0"/>
        <v/>
      </c>
    </row>
    <row r="21" spans="1:10" x14ac:dyDescent="0.25">
      <c r="A21" s="17" t="s">
        <v>280</v>
      </c>
      <c r="B21" s="44">
        <f>B19-B13-B20</f>
        <v>45750</v>
      </c>
      <c r="C21" s="44">
        <f>C19-C13-C20</f>
        <v>15950</v>
      </c>
      <c r="D21" s="45">
        <f>IF(N(C21)=0,"",B21/C21-1)</f>
        <v>1.8683385579937304</v>
      </c>
      <c r="F21" s="28" t="str">
        <f>IF(Catalogue!B20="","",Catalogue!B20)</f>
        <v/>
      </c>
      <c r="G21" s="46" t="str">
        <f>IF(F21="","",SUMIFS(Ventes!$G$6:$G$505,Ventes!$F$6:$F$505,F21,Ventes!$T$6:$T$505,$B$4,Ventes!$M$6:$M$505,"Livrée et payée"))</f>
        <v/>
      </c>
      <c r="H21" s="25" t="str">
        <f>IF(F21="","",SUMIFS(Ventes!$K$6:$K$505,Ventes!$F$6:$F$505,F21,Ventes!$T$6:$T$505,$B$4,Ventes!$M$6:$M$505,"Livrée et payée"))</f>
        <v/>
      </c>
      <c r="I21" s="25" t="str">
        <f>IF(F21="","",SUMIFS(Ventes!$R$6:$R$505,Ventes!$F$6:$F$505,F21,Ventes!$T$6:$T$505,$B$4))</f>
        <v/>
      </c>
      <c r="J21" s="47" t="str">
        <f t="shared" si="0"/>
        <v/>
      </c>
    </row>
    <row r="22" spans="1:10" x14ac:dyDescent="0.25">
      <c r="A22" s="33" t="s">
        <v>281</v>
      </c>
      <c r="B22" s="39">
        <f>IF(N(B7)=0,0,B21/B7)</f>
        <v>0.30499999999999999</v>
      </c>
      <c r="C22" s="39">
        <f>IF(N(C7)=0,0,C21/C7)</f>
        <v>0.24921874999999999</v>
      </c>
      <c r="D22" s="48">
        <f>(B22-C22)*100</f>
        <v>5.578125</v>
      </c>
      <c r="F22" s="28" t="str">
        <f>IF(Catalogue!B21="","",Catalogue!B21)</f>
        <v/>
      </c>
      <c r="G22" s="46" t="str">
        <f>IF(F22="","",SUMIFS(Ventes!$G$6:$G$505,Ventes!$F$6:$F$505,F22,Ventes!$T$6:$T$505,$B$4,Ventes!$M$6:$M$505,"Livrée et payée"))</f>
        <v/>
      </c>
      <c r="H22" s="25" t="str">
        <f>IF(F22="","",SUMIFS(Ventes!$K$6:$K$505,Ventes!$F$6:$F$505,F22,Ventes!$T$6:$T$505,$B$4,Ventes!$M$6:$M$505,"Livrée et payée"))</f>
        <v/>
      </c>
      <c r="I22" s="25" t="str">
        <f>IF(F22="","",SUMIFS(Ventes!$R$6:$R$505,Ventes!$F$6:$F$505,F22,Ventes!$T$6:$T$505,$B$4))</f>
        <v/>
      </c>
      <c r="J22" s="47" t="str">
        <f t="shared" si="0"/>
        <v/>
      </c>
    </row>
    <row r="23" spans="1:10" x14ac:dyDescent="0.25">
      <c r="A23" s="33" t="s">
        <v>282</v>
      </c>
      <c r="B23" s="29">
        <f>COUNTIFS(Ventes!$T$6:$T$505,$B$4,Ventes!$M$6:$M$505,"Livrée et payée",Ventes!$U$6:$U$505,"Nouveau")</f>
        <v>2</v>
      </c>
      <c r="C23" s="29">
        <f>COUNTIFS(Ventes!$T$6:$T$505,Paramètres!$B$18,Ventes!$M$6:$M$505,"Livrée et payée",Ventes!$U$6:$U$505,"Nouveau")</f>
        <v>5</v>
      </c>
      <c r="D23" s="45">
        <f>IF(N(C23)=0,"",B23/C23-1)</f>
        <v>-0.6</v>
      </c>
      <c r="F23" s="28" t="str">
        <f>IF(Catalogue!B22="","",Catalogue!B22)</f>
        <v/>
      </c>
      <c r="G23" s="46" t="str">
        <f>IF(F23="","",SUMIFS(Ventes!$G$6:$G$505,Ventes!$F$6:$F$505,F23,Ventes!$T$6:$T$505,$B$4,Ventes!$M$6:$M$505,"Livrée et payée"))</f>
        <v/>
      </c>
      <c r="H23" s="25" t="str">
        <f>IF(F23="","",SUMIFS(Ventes!$K$6:$K$505,Ventes!$F$6:$F$505,F23,Ventes!$T$6:$T$505,$B$4,Ventes!$M$6:$M$505,"Livrée et payée"))</f>
        <v/>
      </c>
      <c r="I23" s="25" t="str">
        <f>IF(F23="","",SUMIFS(Ventes!$R$6:$R$505,Ventes!$F$6:$F$505,F23,Ventes!$T$6:$T$505,$B$4))</f>
        <v/>
      </c>
      <c r="J23" s="47" t="str">
        <f t="shared" si="0"/>
        <v/>
      </c>
    </row>
    <row r="24" spans="1:10" x14ac:dyDescent="0.25">
      <c r="A24" s="33" t="s">
        <v>283</v>
      </c>
      <c r="B24" s="29">
        <f>COUNTIFS(Ventes!$T$6:$T$505,$B$4,Ventes!$M$6:$M$505,"Livrée et payée",Ventes!$U$6:$U$505,"Fidèle")</f>
        <v>9</v>
      </c>
      <c r="C24" s="29">
        <f>COUNTIFS(Ventes!$T$6:$T$505,Paramètres!$B$18,Ventes!$M$6:$M$505,"Livrée et payée",Ventes!$U$6:$U$505,"Fidèle")</f>
        <v>1</v>
      </c>
      <c r="D24" s="45">
        <f>IF(N(C24)=0,"",B24/C24-1)</f>
        <v>8</v>
      </c>
      <c r="F24" s="28" t="str">
        <f>IF(Catalogue!B23="","",Catalogue!B23)</f>
        <v/>
      </c>
      <c r="G24" s="46" t="str">
        <f>IF(F24="","",SUMIFS(Ventes!$G$6:$G$505,Ventes!$F$6:$F$505,F24,Ventes!$T$6:$T$505,$B$4,Ventes!$M$6:$M$505,"Livrée et payée"))</f>
        <v/>
      </c>
      <c r="H24" s="25" t="str">
        <f>IF(F24="","",SUMIFS(Ventes!$K$6:$K$505,Ventes!$F$6:$F$505,F24,Ventes!$T$6:$T$505,$B$4,Ventes!$M$6:$M$505,"Livrée et payée"))</f>
        <v/>
      </c>
      <c r="I24" s="25" t="str">
        <f>IF(F24="","",SUMIFS(Ventes!$R$6:$R$505,Ventes!$F$6:$F$505,F24,Ventes!$T$6:$T$505,$B$4))</f>
        <v/>
      </c>
      <c r="J24" s="47" t="str">
        <f t="shared" si="0"/>
        <v/>
      </c>
    </row>
    <row r="25" spans="1:10" x14ac:dyDescent="0.25">
      <c r="A25" s="33" t="s">
        <v>284</v>
      </c>
      <c r="B25" s="39">
        <f>IF(N(B8)=0,0,COUNTIFS(Ventes!$T$6:$T$505,$B$4,Ventes!$M$6:$M$505,"Livrée et payée",Ventes!$S$6:$S$505,"Oui")/B8)</f>
        <v>0.63636363636363635</v>
      </c>
      <c r="C25" s="39">
        <f>IF(N(C8)=0,0,COUNTIFS(Ventes!$T$6:$T$505,Paramètres!$B$18,Ventes!$M$6:$M$505,"Livrée et payée",Ventes!$S$6:$S$505,"Oui")/C8)</f>
        <v>0.66666666666666663</v>
      </c>
      <c r="D25" s="48">
        <f>(B25-C25)*100</f>
        <v>-3.0303030303030276</v>
      </c>
      <c r="F25" s="28" t="str">
        <f>IF(Catalogue!B24="","",Catalogue!B24)</f>
        <v/>
      </c>
      <c r="G25" s="46" t="str">
        <f>IF(F25="","",SUMIFS(Ventes!$G$6:$G$505,Ventes!$F$6:$F$505,F25,Ventes!$T$6:$T$505,$B$4,Ventes!$M$6:$M$505,"Livrée et payée"))</f>
        <v/>
      </c>
      <c r="H25" s="25" t="str">
        <f>IF(F25="","",SUMIFS(Ventes!$K$6:$K$505,Ventes!$F$6:$F$505,F25,Ventes!$T$6:$T$505,$B$4,Ventes!$M$6:$M$505,"Livrée et payée"))</f>
        <v/>
      </c>
      <c r="I25" s="25" t="str">
        <f>IF(F25="","",SUMIFS(Ventes!$R$6:$R$505,Ventes!$F$6:$F$505,F25,Ventes!$T$6:$T$505,$B$4))</f>
        <v/>
      </c>
      <c r="J25" s="47" t="str">
        <f t="shared" si="0"/>
        <v/>
      </c>
    </row>
    <row r="26" spans="1:10" x14ac:dyDescent="0.25">
      <c r="F26" s="28" t="str">
        <f>IF(Catalogue!B25="","",Catalogue!B25)</f>
        <v/>
      </c>
      <c r="G26" s="46" t="str">
        <f>IF(F26="","",SUMIFS(Ventes!$G$6:$G$505,Ventes!$F$6:$F$505,F26,Ventes!$T$6:$T$505,$B$4,Ventes!$M$6:$M$505,"Livrée et payée"))</f>
        <v/>
      </c>
      <c r="H26" s="25" t="str">
        <f>IF(F26="","",SUMIFS(Ventes!$K$6:$K$505,Ventes!$F$6:$F$505,F26,Ventes!$T$6:$T$505,$B$4,Ventes!$M$6:$M$505,"Livrée et payée"))</f>
        <v/>
      </c>
      <c r="I26" s="25" t="str">
        <f>IF(F26="","",SUMIFS(Ventes!$R$6:$R$505,Ventes!$F$6:$F$505,F26,Ventes!$T$6:$T$505,$B$4))</f>
        <v/>
      </c>
      <c r="J26" s="47" t="str">
        <f t="shared" si="0"/>
        <v/>
      </c>
    </row>
    <row r="27" spans="1:10" x14ac:dyDescent="0.25">
      <c r="A27" s="5" t="s">
        <v>285</v>
      </c>
    </row>
    <row r="28" spans="1:10" x14ac:dyDescent="0.25">
      <c r="A28" s="33" t="s">
        <v>286</v>
      </c>
      <c r="B28" s="35">
        <f>IF(N(Paramètres!B9)=0,"",B7/Paramètres!B9)</f>
        <v>0.5</v>
      </c>
      <c r="F28" s="43" t="s">
        <v>287</v>
      </c>
    </row>
    <row r="29" spans="1:10" ht="26.25" x14ac:dyDescent="0.25">
      <c r="A29" s="33" t="s">
        <v>288</v>
      </c>
      <c r="B29" s="35">
        <f>IF(N(Paramètres!B10)=0,"",B8/Paramètres!B10)</f>
        <v>0.36666666666666664</v>
      </c>
      <c r="F29" s="49" t="s">
        <v>211</v>
      </c>
      <c r="G29" s="49" t="s">
        <v>18</v>
      </c>
      <c r="H29" s="49" t="s">
        <v>264</v>
      </c>
      <c r="I29" s="49" t="s">
        <v>265</v>
      </c>
    </row>
    <row r="30" spans="1:10" x14ac:dyDescent="0.25">
      <c r="F30" s="28" t="str">
        <f>IF(Paramètres!H6="","",Paramètres!H6)</f>
        <v>Publicité</v>
      </c>
      <c r="G30" s="46">
        <f>IF(F30="","",COUNTIFS(Ventes!$N$6:$N$505,F30,Ventes!$T$6:$T$505,$B$4,Ventes!$M$6:$M$505,"Livrée et payée"))</f>
        <v>7</v>
      </c>
      <c r="H30" s="25">
        <f>IF(F30="","",SUMIFS(Ventes!$K$6:$K$505,Ventes!$N$6:$N$505,F30,Ventes!$T$6:$T$505,$B$4,Ventes!$M$6:$M$505,"Livrée et payée"))</f>
        <v>86000</v>
      </c>
      <c r="I30" s="47">
        <f t="shared" ref="I30:I39" si="1">IF(OR(F30="",N($B$7)=0),"",H30/$B$7)</f>
        <v>0.57333333333333336</v>
      </c>
    </row>
    <row r="31" spans="1:10" x14ac:dyDescent="0.25">
      <c r="A31" s="12" t="s">
        <v>289</v>
      </c>
      <c r="F31" s="28" t="str">
        <f>IF(Paramètres!H7="","",Paramètres!H7)</f>
        <v>Publication gratuite</v>
      </c>
      <c r="G31" s="46">
        <f>IF(F31="","",COUNTIFS(Ventes!$N$6:$N$505,F31,Ventes!$T$6:$T$505,$B$4,Ventes!$M$6:$M$505,"Livrée et payée"))</f>
        <v>0</v>
      </c>
      <c r="H31" s="25">
        <f>IF(F31="","",SUMIFS(Ventes!$K$6:$K$505,Ventes!$N$6:$N$505,F31,Ventes!$T$6:$T$505,$B$4,Ventes!$M$6:$M$505,"Livrée et payée"))</f>
        <v>0</v>
      </c>
      <c r="I31" s="47">
        <f t="shared" si="1"/>
        <v>0</v>
      </c>
    </row>
    <row r="32" spans="1:10" x14ac:dyDescent="0.25">
      <c r="A32" s="33" t="s">
        <v>290</v>
      </c>
      <c r="B32" s="50">
        <f>COUNTIF(Catalogue!$V$6:$V$55,"Réapprovisionner")</f>
        <v>0</v>
      </c>
      <c r="F32" s="28" t="str">
        <f>IF(Paramètres!H8="","",Paramètres!H8)</f>
        <v>Groupe Facebook</v>
      </c>
      <c r="G32" s="46">
        <f>IF(F32="","",COUNTIFS(Ventes!$N$6:$N$505,F32,Ventes!$T$6:$T$505,$B$4,Ventes!$M$6:$M$505,"Livrée et payée"))</f>
        <v>0</v>
      </c>
      <c r="H32" s="25">
        <f>IF(F32="","",SUMIFS(Ventes!$K$6:$K$505,Ventes!$N$6:$N$505,F32,Ventes!$T$6:$T$505,$B$4,Ventes!$M$6:$M$505,"Livrée et payée"))</f>
        <v>0</v>
      </c>
      <c r="I32" s="47">
        <f t="shared" si="1"/>
        <v>0</v>
      </c>
    </row>
    <row r="33" spans="1:9" x14ac:dyDescent="0.25">
      <c r="A33" s="33" t="s">
        <v>291</v>
      </c>
      <c r="B33" s="50">
        <f>COUNTIF(Catalogue!$P$6:$P$55,"Vente à perte")+COUNTIF(Catalogue!$P$6:$P$55,"Marge faible (&lt; x2)")</f>
        <v>0</v>
      </c>
      <c r="F33" s="28" t="str">
        <f>IF(Paramètres!H9="","",Paramètres!H9)</f>
        <v>Marketplace</v>
      </c>
      <c r="G33" s="46">
        <f>IF(F33="","",COUNTIFS(Ventes!$N$6:$N$505,F33,Ventes!$T$6:$T$505,$B$4,Ventes!$M$6:$M$505,"Livrée et payée"))</f>
        <v>0</v>
      </c>
      <c r="H33" s="25">
        <f>IF(F33="","",SUMIFS(Ventes!$K$6:$K$505,Ventes!$N$6:$N$505,F33,Ventes!$T$6:$T$505,$B$4,Ventes!$M$6:$M$505,"Livrée et payée"))</f>
        <v>0</v>
      </c>
      <c r="I33" s="47">
        <f t="shared" si="1"/>
        <v>0</v>
      </c>
    </row>
    <row r="34" spans="1:9" x14ac:dyDescent="0.25">
      <c r="A34" s="33" t="s">
        <v>292</v>
      </c>
      <c r="B34" s="50">
        <f>COUNTIF('Synthèse pubs'!$L$6:$L$35,"Couper")</f>
        <v>2</v>
      </c>
      <c r="F34" s="28" t="str">
        <f>IF(Paramètres!H10="","",Paramètres!H10)</f>
        <v>Direct vidéo</v>
      </c>
      <c r="G34" s="46">
        <f>IF(F34="","",COUNTIFS(Ventes!$N$6:$N$505,F34,Ventes!$T$6:$T$505,$B$4,Ventes!$M$6:$M$505,"Livrée et payée"))</f>
        <v>1</v>
      </c>
      <c r="H34" s="25">
        <f>IF(F34="","",SUMIFS(Ventes!$K$6:$K$505,Ventes!$N$6:$N$505,F34,Ventes!$T$6:$T$505,$B$4,Ventes!$M$6:$M$505,"Livrée et payée"))</f>
        <v>7500</v>
      </c>
      <c r="I34" s="47">
        <f t="shared" si="1"/>
        <v>0.05</v>
      </c>
    </row>
    <row r="35" spans="1:9" x14ac:dyDescent="0.25">
      <c r="A35" s="33" t="s">
        <v>293</v>
      </c>
      <c r="B35" s="50">
        <f>COUNTIF('Synthèse pubs'!$L$6:$L$35,"Augmenter*")</f>
        <v>1</v>
      </c>
      <c r="F35" s="28" t="str">
        <f>IF(Paramètres!H11="","",Paramètres!H11)</f>
        <v>Bouche-à-oreille</v>
      </c>
      <c r="G35" s="46">
        <f>IF(F35="","",COUNTIFS(Ventes!$N$6:$N$505,F35,Ventes!$T$6:$T$505,$B$4,Ventes!$M$6:$M$505,"Livrée et payée"))</f>
        <v>0</v>
      </c>
      <c r="H35" s="25">
        <f>IF(F35="","",SUMIFS(Ventes!$K$6:$K$505,Ventes!$N$6:$N$505,F35,Ventes!$T$6:$T$505,$B$4,Ventes!$M$6:$M$505,"Livrée et payée"))</f>
        <v>0</v>
      </c>
      <c r="I35" s="47">
        <f t="shared" si="1"/>
        <v>0</v>
      </c>
    </row>
    <row r="36" spans="1:9" x14ac:dyDescent="0.25">
      <c r="A36" s="33" t="s">
        <v>294</v>
      </c>
      <c r="B36" s="50">
        <f ca="1">COUNTIF(Clients!$I$6:$I$305,"À relancer")</f>
        <v>0</v>
      </c>
      <c r="F36" s="28" t="str">
        <f>IF(Paramètres!H12="","",Paramètres!H12)</f>
        <v>Client fidèle</v>
      </c>
      <c r="G36" s="46">
        <f>IF(F36="","",COUNTIFS(Ventes!$N$6:$N$505,F36,Ventes!$T$6:$T$505,$B$4,Ventes!$M$6:$M$505,"Livrée et payée"))</f>
        <v>2</v>
      </c>
      <c r="H36" s="25">
        <f>IF(F36="","",SUMIFS(Ventes!$K$6:$K$505,Ventes!$N$6:$N$505,F36,Ventes!$T$6:$T$505,$B$4,Ventes!$M$6:$M$505,"Livrée et payée"))</f>
        <v>46000</v>
      </c>
      <c r="I36" s="47">
        <f t="shared" si="1"/>
        <v>0.30666666666666664</v>
      </c>
    </row>
    <row r="37" spans="1:9" x14ac:dyDescent="0.25">
      <c r="A37" s="33" t="s">
        <v>295</v>
      </c>
      <c r="B37" s="50">
        <f>COUNTIF(Ventes!$M$6:$M$505,"En attente")</f>
        <v>1</v>
      </c>
      <c r="F37" s="28" t="str">
        <f>IF(Paramètres!H13="","",Paramètres!H13)</f>
        <v>Statut WhatsApp</v>
      </c>
      <c r="G37" s="46">
        <f>IF(F37="","",COUNTIFS(Ventes!$N$6:$N$505,F37,Ventes!$T$6:$T$505,$B$4,Ventes!$M$6:$M$505,"Livrée et payée"))</f>
        <v>1</v>
      </c>
      <c r="H37" s="25">
        <f>IF(F37="","",SUMIFS(Ventes!$K$6:$K$505,Ventes!$N$6:$N$505,F37,Ventes!$T$6:$T$505,$B$4,Ventes!$M$6:$M$505,"Livrée et payée"))</f>
        <v>10500</v>
      </c>
      <c r="I37" s="47">
        <f t="shared" si="1"/>
        <v>7.0000000000000007E-2</v>
      </c>
    </row>
    <row r="38" spans="1:9" x14ac:dyDescent="0.25">
      <c r="F38" s="28" t="str">
        <f>IF(Paramètres!H14="","",Paramètres!H14)</f>
        <v/>
      </c>
      <c r="G38" s="46" t="str">
        <f>IF(F38="","",COUNTIFS(Ventes!$N$6:$N$505,F38,Ventes!$T$6:$T$505,$B$4,Ventes!$M$6:$M$505,"Livrée et payée"))</f>
        <v/>
      </c>
      <c r="H38" s="25" t="str">
        <f>IF(F38="","",SUMIFS(Ventes!$K$6:$K$505,Ventes!$N$6:$N$505,F38,Ventes!$T$6:$T$505,$B$4,Ventes!$M$6:$M$505,"Livrée et payée"))</f>
        <v/>
      </c>
      <c r="I38" s="47" t="str">
        <f t="shared" si="1"/>
        <v/>
      </c>
    </row>
    <row r="39" spans="1:9" x14ac:dyDescent="0.25">
      <c r="F39" s="28" t="str">
        <f>IF(Paramètres!H15="","",Paramètres!H15)</f>
        <v/>
      </c>
      <c r="G39" s="46" t="str">
        <f>IF(F39="","",COUNTIFS(Ventes!$N$6:$N$505,F39,Ventes!$T$6:$T$505,$B$4,Ventes!$M$6:$M$505,"Livrée et payée"))</f>
        <v/>
      </c>
      <c r="H39" s="25" t="str">
        <f>IF(F39="","",SUMIFS(Ventes!$K$6:$K$505,Ventes!$N$6:$N$505,F39,Ventes!$T$6:$T$505,$B$4,Ventes!$M$6:$M$505,"Livrée et payée"))</f>
        <v/>
      </c>
      <c r="I39" s="47" t="str">
        <f t="shared" si="1"/>
        <v/>
      </c>
    </row>
  </sheetData>
  <conditionalFormatting sqref="B21">
    <cfRule type="cellIs" dxfId="17" priority="2" operator="greaterThan">
      <formula>0</formula>
    </cfRule>
    <cfRule type="cellIs" dxfId="16" priority="3" operator="lessThan">
      <formula>0</formula>
    </cfRule>
  </conditionalFormatting>
  <conditionalFormatting sqref="B28:B29">
    <cfRule type="cellIs" dxfId="15" priority="12" operator="greaterThanOrEqual">
      <formula>1</formula>
    </cfRule>
    <cfRule type="cellIs" dxfId="14" priority="13" operator="between">
      <formula>0.7</formula>
      <formula>0.9999</formula>
    </cfRule>
    <cfRule type="cellIs" dxfId="13" priority="14" operator="lessThan">
      <formula>0.7</formula>
    </cfRule>
  </conditionalFormatting>
  <conditionalFormatting sqref="B32:B34">
    <cfRule type="cellIs" dxfId="12" priority="18" operator="greaterThan">
      <formula>0</formula>
    </cfRule>
  </conditionalFormatting>
  <conditionalFormatting sqref="B35">
    <cfRule type="cellIs" dxfId="11" priority="21" operator="greaterThan">
      <formula>0</formula>
    </cfRule>
  </conditionalFormatting>
  <conditionalFormatting sqref="B36:B37">
    <cfRule type="cellIs" dxfId="10" priority="22" operator="greaterThan">
      <formula>0</formula>
    </cfRule>
  </conditionalFormatting>
  <conditionalFormatting sqref="D7:D8">
    <cfRule type="expression" dxfId="9" priority="4">
      <formula>AND(ISNUMBER(D7),D7&gt;0)</formula>
    </cfRule>
    <cfRule type="expression" dxfId="8" priority="5">
      <formula>AND(ISNUMBER(D7),D7&lt;0)</formula>
    </cfRule>
  </conditionalFormatting>
  <conditionalFormatting sqref="D10">
    <cfRule type="expression" dxfId="7" priority="10">
      <formula>AND(ISNUMBER(D10),D10&gt;0)</formula>
    </cfRule>
    <cfRule type="expression" dxfId="6" priority="11">
      <formula>AND(ISNUMBER(D10),D10&lt;0)</formula>
    </cfRule>
  </conditionalFormatting>
  <conditionalFormatting sqref="D21">
    <cfRule type="expression" dxfId="5" priority="8">
      <formula>AND(ISNUMBER(D21),D21&gt;0)</formula>
    </cfRule>
    <cfRule type="expression" dxfId="4" priority="9">
      <formula>AND(ISNUMBER(D21),D21&lt;0)</formula>
    </cfRule>
  </conditionalFormatting>
  <conditionalFormatting sqref="H7:H26">
    <cfRule type="dataBar" priority="24">
      <dataBar>
        <cfvo type="num" val="0"/>
        <cfvo type="max"/>
        <color rgb="FF5B8DD6"/>
      </dataBar>
      <extLst>
        <ext xmlns:x14="http://schemas.microsoft.com/office/spreadsheetml/2009/9/main" uri="{B025F937-C7B1-47D3-B67F-A62EFF666E3E}">
          <x14:id>{D66CB858-3C33-438D-AB65-58E05095D8BF}</x14:id>
        </ext>
      </extLst>
    </cfRule>
  </conditionalFormatting>
  <conditionalFormatting sqref="H30:H39">
    <cfRule type="dataBar" priority="25">
      <dataBar>
        <cfvo type="num" val="0"/>
        <cfvo type="max"/>
        <color rgb="FF5B8DD6"/>
      </dataBar>
      <extLst>
        <ext xmlns:x14="http://schemas.microsoft.com/office/spreadsheetml/2009/9/main" uri="{B025F937-C7B1-47D3-B67F-A62EFF666E3E}">
          <x14:id>{A4908B72-1CF4-4565-8364-AE830047D6F0}</x14:id>
        </ext>
      </extLst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66CB858-3C33-438D-AB65-58E05095D8BF}">
            <x14:dataBar axisPosition="none">
              <x14:cfvo type="num">
                <xm:f>0</xm:f>
              </x14:cfvo>
              <x14:cfvo type="max"/>
              <x14:negativeFillColor rgb="FF5B8DD6"/>
            </x14:dataBar>
          </x14:cfRule>
          <xm:sqref>H7:H26</xm:sqref>
        </x14:conditionalFormatting>
        <x14:conditionalFormatting xmlns:xm="http://schemas.microsoft.com/office/excel/2006/main">
          <x14:cfRule type="dataBar" id="{A4908B72-1CF4-4565-8364-AE830047D6F0}">
            <x14:dataBar axisPosition="none">
              <x14:cfvo type="num">
                <xm:f>0</xm:f>
              </x14:cfvo>
              <x14:cfvo type="max"/>
              <x14:negativeFillColor rgb="FF5B8DD6"/>
            </x14:dataBar>
          </x14:cfRule>
          <xm:sqref>H30:H39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4213D"/>
  </sheetPr>
  <dimension ref="A1:C35"/>
  <sheetViews>
    <sheetView showGridLines="0" topLeftCell="A16" zoomScaleNormal="100" workbookViewId="0">
      <selection activeCell="B26" sqref="B26"/>
    </sheetView>
  </sheetViews>
  <sheetFormatPr baseColWidth="10" defaultColWidth="8.7109375" defaultRowHeight="15" x14ac:dyDescent="0.25"/>
  <cols>
    <col min="1" max="1" width="4" customWidth="1"/>
    <col min="2" max="2" width="30" customWidth="1"/>
    <col min="3" max="3" width="80" customWidth="1"/>
  </cols>
  <sheetData>
    <row r="1" spans="1:3" ht="23.25" x14ac:dyDescent="0.35">
      <c r="A1" s="2" t="s">
        <v>0</v>
      </c>
    </row>
    <row r="2" spans="1:3" x14ac:dyDescent="0.25">
      <c r="A2" s="3" t="s">
        <v>1</v>
      </c>
    </row>
    <row r="3" spans="1:3" x14ac:dyDescent="0.25">
      <c r="A3" s="4" t="s">
        <v>2</v>
      </c>
    </row>
    <row r="5" spans="1:3" x14ac:dyDescent="0.25">
      <c r="B5" s="5" t="s">
        <v>3</v>
      </c>
    </row>
    <row r="7" spans="1:3" ht="19.5" customHeight="1" x14ac:dyDescent="0.25">
      <c r="B7" s="6" t="s">
        <v>4</v>
      </c>
      <c r="C7" s="6" t="s">
        <v>5</v>
      </c>
    </row>
    <row r="8" spans="1:3" ht="30" customHeight="1" x14ac:dyDescent="0.25">
      <c r="B8" s="7" t="s">
        <v>6</v>
      </c>
      <c r="C8" s="8" t="s">
        <v>7</v>
      </c>
    </row>
    <row r="9" spans="1:3" ht="30" customHeight="1" x14ac:dyDescent="0.25">
      <c r="B9" s="7" t="s">
        <v>8</v>
      </c>
      <c r="C9" s="8" t="s">
        <v>9</v>
      </c>
    </row>
    <row r="10" spans="1:3" ht="30" customHeight="1" x14ac:dyDescent="0.25">
      <c r="B10" s="7" t="s">
        <v>10</v>
      </c>
      <c r="C10" s="8" t="s">
        <v>11</v>
      </c>
    </row>
    <row r="11" spans="1:3" ht="30" customHeight="1" x14ac:dyDescent="0.25">
      <c r="B11" s="7" t="s">
        <v>12</v>
      </c>
      <c r="C11" s="8" t="s">
        <v>13</v>
      </c>
    </row>
    <row r="12" spans="1:3" ht="30" customHeight="1" x14ac:dyDescent="0.25">
      <c r="B12" s="7" t="s">
        <v>14</v>
      </c>
      <c r="C12" s="8" t="s">
        <v>15</v>
      </c>
    </row>
    <row r="13" spans="1:3" ht="30" customHeight="1" x14ac:dyDescent="0.25">
      <c r="B13" s="7" t="s">
        <v>16</v>
      </c>
      <c r="C13" s="8" t="s">
        <v>17</v>
      </c>
    </row>
    <row r="14" spans="1:3" ht="30" customHeight="1" x14ac:dyDescent="0.25">
      <c r="B14" s="7" t="s">
        <v>18</v>
      </c>
      <c r="C14" s="8" t="s">
        <v>19</v>
      </c>
    </row>
    <row r="15" spans="1:3" ht="30" customHeight="1" x14ac:dyDescent="0.25">
      <c r="B15" s="7" t="s">
        <v>20</v>
      </c>
      <c r="C15" s="8" t="s">
        <v>21</v>
      </c>
    </row>
    <row r="16" spans="1:3" ht="30" customHeight="1" x14ac:dyDescent="0.25">
      <c r="B16" s="7" t="s">
        <v>22</v>
      </c>
      <c r="C16" s="8" t="s">
        <v>23</v>
      </c>
    </row>
    <row r="17" spans="2:3" ht="30" customHeight="1" x14ac:dyDescent="0.25">
      <c r="B17" s="7" t="s">
        <v>24</v>
      </c>
      <c r="C17" s="8" t="s">
        <v>25</v>
      </c>
    </row>
    <row r="18" spans="2:3" ht="30" customHeight="1" x14ac:dyDescent="0.25">
      <c r="B18" s="7" t="s">
        <v>26</v>
      </c>
      <c r="C18" s="8" t="s">
        <v>27</v>
      </c>
    </row>
    <row r="19" spans="2:3" ht="30" customHeight="1" x14ac:dyDescent="0.25">
      <c r="B19" s="7" t="s">
        <v>28</v>
      </c>
      <c r="C19" s="8" t="s">
        <v>29</v>
      </c>
    </row>
    <row r="20" spans="2:3" ht="30" customHeight="1" x14ac:dyDescent="0.25">
      <c r="B20" s="7" t="s">
        <v>30</v>
      </c>
      <c r="C20" s="8" t="s">
        <v>31</v>
      </c>
    </row>
    <row r="22" spans="2:3" x14ac:dyDescent="0.25">
      <c r="B22" s="9" t="s">
        <v>32</v>
      </c>
    </row>
    <row r="23" spans="2:3" x14ac:dyDescent="0.25">
      <c r="B23" s="10" t="s">
        <v>33</v>
      </c>
    </row>
    <row r="24" spans="2:3" x14ac:dyDescent="0.25">
      <c r="B24" s="10" t="s">
        <v>34</v>
      </c>
    </row>
    <row r="25" spans="2:3" x14ac:dyDescent="0.25">
      <c r="B25" s="10" t="s">
        <v>35</v>
      </c>
    </row>
    <row r="26" spans="2:3" x14ac:dyDescent="0.25">
      <c r="B26" s="10" t="s">
        <v>36</v>
      </c>
    </row>
    <row r="27" spans="2:3" x14ac:dyDescent="0.25">
      <c r="B27" s="10" t="s">
        <v>37</v>
      </c>
    </row>
    <row r="28" spans="2:3" x14ac:dyDescent="0.25">
      <c r="B28" s="10"/>
    </row>
    <row r="29" spans="2:3" x14ac:dyDescent="0.25">
      <c r="B29" s="10" t="s">
        <v>38</v>
      </c>
    </row>
    <row r="30" spans="2:3" x14ac:dyDescent="0.25">
      <c r="B30" s="10" t="s">
        <v>39</v>
      </c>
    </row>
    <row r="31" spans="2:3" x14ac:dyDescent="0.25">
      <c r="B31" s="10" t="s">
        <v>40</v>
      </c>
    </row>
    <row r="32" spans="2:3" x14ac:dyDescent="0.25">
      <c r="B32" s="10"/>
    </row>
    <row r="33" spans="2:2" x14ac:dyDescent="0.25">
      <c r="B33" s="11" t="s">
        <v>41</v>
      </c>
    </row>
    <row r="35" spans="2:2" x14ac:dyDescent="0.25">
      <c r="B35" s="12" t="s">
        <v>42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4213D"/>
  </sheetPr>
  <dimension ref="A1:O20"/>
  <sheetViews>
    <sheetView showGridLines="0" zoomScaleNormal="100" workbookViewId="0">
      <selection activeCell="K11" sqref="K11"/>
    </sheetView>
  </sheetViews>
  <sheetFormatPr baseColWidth="10" defaultColWidth="8.7109375" defaultRowHeight="15" x14ac:dyDescent="0.25"/>
  <cols>
    <col min="1" max="1" width="45.5703125" customWidth="1"/>
    <col min="2" max="2" width="18" customWidth="1"/>
    <col min="3" max="3" width="3" customWidth="1"/>
    <col min="4" max="4" width="24" customWidth="1"/>
    <col min="5" max="5" width="3" customWidth="1"/>
    <col min="6" max="6" width="22" customWidth="1"/>
    <col min="7" max="7" width="3" customWidth="1"/>
    <col min="8" max="8" width="24" customWidth="1"/>
    <col min="9" max="9" width="3" customWidth="1"/>
    <col min="10" max="10" width="18" customWidth="1"/>
    <col min="11" max="11" width="14" customWidth="1"/>
    <col min="12" max="12" width="3" customWidth="1"/>
    <col min="13" max="13" width="24" customWidth="1"/>
    <col min="14" max="14" width="3" customWidth="1"/>
    <col min="15" max="15" width="14" customWidth="1"/>
  </cols>
  <sheetData>
    <row r="1" spans="1:15" ht="20.25" x14ac:dyDescent="0.3">
      <c r="A1" s="13" t="s">
        <v>6</v>
      </c>
    </row>
    <row r="2" spans="1:15" x14ac:dyDescent="0.25">
      <c r="A2" s="3" t="s">
        <v>43</v>
      </c>
    </row>
    <row r="3" spans="1:15" x14ac:dyDescent="0.25">
      <c r="A3" s="4" t="s">
        <v>2</v>
      </c>
    </row>
    <row r="5" spans="1:15" ht="31.5" customHeight="1" x14ac:dyDescent="0.25">
      <c r="A5" s="14" t="s">
        <v>44</v>
      </c>
      <c r="B5" s="14" t="s">
        <v>45</v>
      </c>
      <c r="D5" s="15" t="s">
        <v>46</v>
      </c>
      <c r="F5" s="15" t="s">
        <v>47</v>
      </c>
      <c r="H5" s="15" t="s">
        <v>48</v>
      </c>
      <c r="J5" s="15" t="s">
        <v>49</v>
      </c>
      <c r="K5" s="16" t="s">
        <v>50</v>
      </c>
      <c r="M5" s="15" t="s">
        <v>51</v>
      </c>
      <c r="O5" s="15" t="s">
        <v>52</v>
      </c>
    </row>
    <row r="6" spans="1:15" x14ac:dyDescent="0.25">
      <c r="A6" s="17" t="s">
        <v>53</v>
      </c>
      <c r="B6" s="60" t="s">
        <v>54</v>
      </c>
      <c r="D6" s="60" t="s">
        <v>55</v>
      </c>
      <c r="E6" s="65"/>
      <c r="F6" s="60" t="s">
        <v>56</v>
      </c>
      <c r="G6" s="65"/>
      <c r="H6" s="60" t="s">
        <v>57</v>
      </c>
      <c r="I6" s="65"/>
      <c r="J6" s="60" t="s">
        <v>58</v>
      </c>
      <c r="K6" s="62">
        <v>1000</v>
      </c>
      <c r="L6" s="65"/>
      <c r="M6" s="60" t="s">
        <v>59</v>
      </c>
      <c r="N6" s="65"/>
      <c r="O6" s="60" t="s">
        <v>60</v>
      </c>
    </row>
    <row r="7" spans="1:15" x14ac:dyDescent="0.25">
      <c r="A7" s="17" t="s">
        <v>61</v>
      </c>
      <c r="B7" s="61">
        <v>2026</v>
      </c>
      <c r="D7" s="60" t="s">
        <v>62</v>
      </c>
      <c r="E7" s="65"/>
      <c r="F7" s="60" t="s">
        <v>63</v>
      </c>
      <c r="G7" s="65"/>
      <c r="H7" s="60" t="s">
        <v>64</v>
      </c>
      <c r="I7" s="65"/>
      <c r="J7" s="60" t="s">
        <v>65</v>
      </c>
      <c r="K7" s="62">
        <v>1500</v>
      </c>
      <c r="L7" s="65"/>
      <c r="M7" s="60" t="s">
        <v>66</v>
      </c>
      <c r="N7" s="65"/>
      <c r="O7" s="60" t="s">
        <v>67</v>
      </c>
    </row>
    <row r="8" spans="1:15" x14ac:dyDescent="0.25">
      <c r="A8" s="17" t="s">
        <v>68</v>
      </c>
      <c r="B8" s="61">
        <v>10</v>
      </c>
      <c r="D8" s="60" t="s">
        <v>69</v>
      </c>
      <c r="E8" s="65"/>
      <c r="F8" s="60" t="s">
        <v>70</v>
      </c>
      <c r="G8" s="65"/>
      <c r="H8" s="60" t="s">
        <v>71</v>
      </c>
      <c r="I8" s="65"/>
      <c r="J8" s="60" t="s">
        <v>72</v>
      </c>
      <c r="K8" s="62">
        <v>2000</v>
      </c>
      <c r="L8" s="65"/>
      <c r="M8" s="60" t="s">
        <v>73</v>
      </c>
      <c r="N8" s="65"/>
      <c r="O8" s="60"/>
    </row>
    <row r="9" spans="1:15" x14ac:dyDescent="0.25">
      <c r="A9" s="17" t="s">
        <v>74</v>
      </c>
      <c r="B9" s="62">
        <v>300000</v>
      </c>
      <c r="D9" s="60" t="s">
        <v>75</v>
      </c>
      <c r="E9" s="65"/>
      <c r="F9" s="60" t="s">
        <v>76</v>
      </c>
      <c r="G9" s="65"/>
      <c r="H9" s="60" t="s">
        <v>77</v>
      </c>
      <c r="I9" s="65"/>
      <c r="J9" s="60" t="s">
        <v>78</v>
      </c>
      <c r="K9" s="62">
        <v>2500</v>
      </c>
      <c r="L9" s="65"/>
      <c r="M9" s="60" t="s">
        <v>79</v>
      </c>
      <c r="N9" s="65"/>
      <c r="O9" s="60"/>
    </row>
    <row r="10" spans="1:15" x14ac:dyDescent="0.25">
      <c r="A10" s="17" t="s">
        <v>80</v>
      </c>
      <c r="B10" s="61">
        <v>30</v>
      </c>
      <c r="D10" s="60" t="s">
        <v>81</v>
      </c>
      <c r="E10" s="65"/>
      <c r="F10" s="60"/>
      <c r="G10" s="65"/>
      <c r="H10" s="60" t="s">
        <v>82</v>
      </c>
      <c r="I10" s="65"/>
      <c r="J10" s="60" t="s">
        <v>83</v>
      </c>
      <c r="K10" s="62">
        <v>3000</v>
      </c>
      <c r="L10" s="65"/>
      <c r="M10" s="60" t="s">
        <v>84</v>
      </c>
      <c r="N10" s="65"/>
      <c r="O10" s="60"/>
    </row>
    <row r="11" spans="1:15" x14ac:dyDescent="0.25">
      <c r="A11" s="17" t="s">
        <v>85</v>
      </c>
      <c r="B11" s="63">
        <v>0.33333333333333298</v>
      </c>
      <c r="D11" s="60" t="s">
        <v>86</v>
      </c>
      <c r="E11" s="65"/>
      <c r="F11" s="60"/>
      <c r="G11" s="65"/>
      <c r="H11" s="60" t="s">
        <v>87</v>
      </c>
      <c r="I11" s="65"/>
      <c r="J11" s="60" t="s">
        <v>88</v>
      </c>
      <c r="K11" s="62">
        <v>3500</v>
      </c>
      <c r="L11" s="65"/>
      <c r="M11" s="60" t="s">
        <v>89</v>
      </c>
      <c r="N11" s="65"/>
      <c r="O11" s="60"/>
    </row>
    <row r="12" spans="1:15" x14ac:dyDescent="0.25">
      <c r="A12" s="17" t="s">
        <v>90</v>
      </c>
      <c r="B12" s="61">
        <v>3</v>
      </c>
      <c r="D12" s="60"/>
      <c r="E12" s="65"/>
      <c r="F12" s="60"/>
      <c r="G12" s="65"/>
      <c r="H12" s="60" t="s">
        <v>91</v>
      </c>
      <c r="I12" s="65"/>
      <c r="J12" s="60"/>
      <c r="K12" s="62"/>
      <c r="L12" s="65"/>
      <c r="M12" s="60" t="s">
        <v>92</v>
      </c>
      <c r="N12" s="65"/>
      <c r="O12" s="60"/>
    </row>
    <row r="13" spans="1:15" x14ac:dyDescent="0.25">
      <c r="A13" s="17" t="s">
        <v>93</v>
      </c>
      <c r="B13" s="64">
        <v>0.1</v>
      </c>
      <c r="D13" s="60"/>
      <c r="E13" s="65"/>
      <c r="F13" s="60"/>
      <c r="G13" s="65"/>
      <c r="H13" s="60" t="s">
        <v>94</v>
      </c>
      <c r="I13" s="65"/>
      <c r="J13" s="60"/>
      <c r="K13" s="62"/>
      <c r="L13" s="65"/>
      <c r="M13" s="60" t="s">
        <v>95</v>
      </c>
      <c r="N13" s="65"/>
      <c r="O13" s="60"/>
    </row>
    <row r="14" spans="1:15" x14ac:dyDescent="0.25">
      <c r="D14" s="60"/>
      <c r="E14" s="65"/>
      <c r="F14" s="60"/>
      <c r="G14" s="65"/>
      <c r="H14" s="60"/>
      <c r="I14" s="65"/>
      <c r="J14" s="60"/>
      <c r="K14" s="62"/>
      <c r="L14" s="65"/>
      <c r="M14" s="60"/>
      <c r="N14" s="65"/>
      <c r="O14" s="60"/>
    </row>
    <row r="15" spans="1:15" x14ac:dyDescent="0.25">
      <c r="A15" s="21" t="s">
        <v>96</v>
      </c>
      <c r="D15" s="60"/>
      <c r="E15" s="65"/>
      <c r="F15" s="60"/>
      <c r="G15" s="65"/>
      <c r="H15" s="60"/>
      <c r="I15" s="65"/>
      <c r="J15" s="60"/>
      <c r="K15" s="62"/>
      <c r="L15" s="65"/>
      <c r="M15" s="60"/>
      <c r="N15" s="65"/>
      <c r="O15" s="60"/>
    </row>
    <row r="16" spans="1:15" x14ac:dyDescent="0.25">
      <c r="D16" s="60"/>
      <c r="E16" s="65"/>
      <c r="F16" s="60"/>
      <c r="G16" s="65"/>
      <c r="H16" s="60"/>
      <c r="I16" s="65"/>
      <c r="J16" s="60"/>
      <c r="K16" s="62"/>
      <c r="L16" s="65"/>
      <c r="M16" s="60"/>
      <c r="N16" s="65"/>
      <c r="O16" s="60"/>
    </row>
    <row r="17" spans="1:15" x14ac:dyDescent="0.25">
      <c r="A17" s="22" t="s">
        <v>97</v>
      </c>
      <c r="B17" s="23">
        <f>DATE(B7,B8,1)</f>
        <v>46296</v>
      </c>
      <c r="D17" s="60"/>
      <c r="E17" s="65"/>
      <c r="F17" s="60"/>
      <c r="G17" s="65"/>
      <c r="H17" s="60"/>
      <c r="I17" s="65"/>
      <c r="J17" s="60"/>
      <c r="K17" s="62"/>
      <c r="L17" s="65"/>
      <c r="M17" s="60"/>
      <c r="N17" s="65"/>
      <c r="O17" s="60"/>
    </row>
    <row r="18" spans="1:15" x14ac:dyDescent="0.25">
      <c r="A18" s="22" t="s">
        <v>98</v>
      </c>
      <c r="B18" s="24">
        <f>DATE(YEAR(B17),MONTH(B17)-1,1)</f>
        <v>46266</v>
      </c>
      <c r="D18" s="60"/>
      <c r="E18" s="65"/>
      <c r="F18" s="60"/>
      <c r="G18" s="65"/>
      <c r="H18" s="60"/>
      <c r="I18" s="65"/>
      <c r="J18" s="60"/>
      <c r="K18" s="62"/>
      <c r="L18" s="65"/>
      <c r="M18" s="60"/>
      <c r="N18" s="65"/>
      <c r="O18" s="60"/>
    </row>
    <row r="19" spans="1:15" x14ac:dyDescent="0.25">
      <c r="D19" s="60"/>
      <c r="E19" s="65"/>
      <c r="F19" s="60"/>
      <c r="G19" s="65"/>
      <c r="H19" s="60"/>
      <c r="I19" s="65"/>
      <c r="J19" s="60"/>
      <c r="K19" s="62"/>
      <c r="L19" s="65"/>
      <c r="M19" s="60"/>
      <c r="N19" s="65"/>
      <c r="O19" s="60"/>
    </row>
    <row r="20" spans="1:15" x14ac:dyDescent="0.25">
      <c r="D20" s="60"/>
      <c r="E20" s="65"/>
      <c r="F20" s="60"/>
      <c r="G20" s="65"/>
      <c r="H20" s="60"/>
      <c r="I20" s="65"/>
      <c r="J20" s="60"/>
      <c r="K20" s="62"/>
      <c r="L20" s="65"/>
      <c r="M20" s="60"/>
      <c r="N20" s="65"/>
      <c r="O20" s="60"/>
    </row>
  </sheetData>
  <dataValidations count="1">
    <dataValidation type="whole" error="Saisis un mois de 1 à 12" sqref="B8" xr:uid="{00000000-0002-0000-0100-000000000000}">
      <formula1>1</formula1>
      <formula2>12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2F6DB5"/>
  </sheetPr>
  <dimension ref="A1:V5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6" sqref="K6"/>
    </sheetView>
  </sheetViews>
  <sheetFormatPr baseColWidth="10" defaultColWidth="8.7109375" defaultRowHeight="15" x14ac:dyDescent="0.25"/>
  <cols>
    <col min="1" max="1" width="7" customWidth="1"/>
    <col min="2" max="2" width="26" customWidth="1"/>
    <col min="3" max="3" width="10" customWidth="1"/>
    <col min="4" max="4" width="14" customWidth="1"/>
    <col min="5" max="5" width="12" customWidth="1"/>
    <col min="6" max="6" width="11" customWidth="1"/>
    <col min="7" max="7" width="12" customWidth="1"/>
    <col min="8" max="8" width="10" customWidth="1"/>
    <col min="9" max="11" width="12" customWidth="1"/>
    <col min="12" max="13" width="9" customWidth="1"/>
    <col min="14" max="15" width="12" customWidth="1"/>
    <col min="16" max="16" width="18" customWidth="1"/>
    <col min="17" max="21" width="9" customWidth="1"/>
    <col min="22" max="22" width="16" customWidth="1"/>
  </cols>
  <sheetData>
    <row r="1" spans="1:22" ht="20.25" x14ac:dyDescent="0.3">
      <c r="A1" s="13" t="s">
        <v>99</v>
      </c>
    </row>
    <row r="2" spans="1:22" x14ac:dyDescent="0.25">
      <c r="A2" s="3" t="s">
        <v>100</v>
      </c>
    </row>
    <row r="3" spans="1:22" x14ac:dyDescent="0.25">
      <c r="A3" s="4" t="s">
        <v>2</v>
      </c>
    </row>
    <row r="5" spans="1:22" ht="43.5" customHeight="1" x14ac:dyDescent="0.25">
      <c r="A5" s="14" t="s">
        <v>101</v>
      </c>
      <c r="B5" s="14" t="s">
        <v>102</v>
      </c>
      <c r="C5" s="14" t="s">
        <v>103</v>
      </c>
      <c r="D5" s="14" t="s">
        <v>104</v>
      </c>
      <c r="E5" s="14" t="s">
        <v>105</v>
      </c>
      <c r="F5" s="14" t="s">
        <v>106</v>
      </c>
      <c r="G5" s="14" t="s">
        <v>107</v>
      </c>
      <c r="H5" s="14" t="s">
        <v>108</v>
      </c>
      <c r="I5" s="14" t="s">
        <v>109</v>
      </c>
      <c r="J5" s="14" t="s">
        <v>110</v>
      </c>
      <c r="K5" s="14" t="s">
        <v>111</v>
      </c>
      <c r="L5" s="14" t="s">
        <v>112</v>
      </c>
      <c r="M5" s="14" t="s">
        <v>113</v>
      </c>
      <c r="N5" s="14" t="s">
        <v>114</v>
      </c>
      <c r="O5" s="14" t="s">
        <v>115</v>
      </c>
      <c r="P5" s="14" t="s">
        <v>116</v>
      </c>
      <c r="Q5" s="14" t="s">
        <v>117</v>
      </c>
      <c r="R5" s="14" t="s">
        <v>118</v>
      </c>
      <c r="S5" s="14" t="s">
        <v>119</v>
      </c>
      <c r="T5" s="14" t="s">
        <v>120</v>
      </c>
      <c r="U5" s="14" t="s">
        <v>121</v>
      </c>
      <c r="V5" s="14" t="s">
        <v>122</v>
      </c>
    </row>
    <row r="6" spans="1:22" x14ac:dyDescent="0.25">
      <c r="A6" s="18" t="s">
        <v>123</v>
      </c>
      <c r="B6" s="18" t="s">
        <v>124</v>
      </c>
      <c r="C6" s="18" t="s">
        <v>60</v>
      </c>
      <c r="D6" s="18" t="s">
        <v>125</v>
      </c>
      <c r="E6" s="19">
        <v>4000</v>
      </c>
      <c r="F6" s="19">
        <v>200</v>
      </c>
      <c r="G6" s="19">
        <v>1500</v>
      </c>
      <c r="H6" s="19">
        <v>100</v>
      </c>
      <c r="I6" s="19">
        <v>10000</v>
      </c>
      <c r="J6" s="25">
        <f t="shared" ref="J6:J37" si="0">IF(I6="","",N(E6)+N(F6)+N(G6)+N(H6))</f>
        <v>5800</v>
      </c>
      <c r="K6" s="25">
        <f t="shared" ref="K6:K37" si="1">IF(I6="","",I6-J6)</f>
        <v>4200</v>
      </c>
      <c r="L6" s="26">
        <f t="shared" ref="L6:L37" si="2">IF(OR(I6="",N(I6)=0),"",K6/I6)</f>
        <v>0.42</v>
      </c>
      <c r="M6" s="27">
        <f t="shared" ref="M6:M37" si="3">IF(OR(I6="",N(E6)=0),"",I6/E6)</f>
        <v>2.5</v>
      </c>
      <c r="N6" s="25">
        <f t="shared" ref="N6:N37" si="4">IF(I6="","",MAX(0,K6))</f>
        <v>4200</v>
      </c>
      <c r="O6" s="25">
        <f>IF(I6="","",MAX(0,K6*Paramètres!$B$11))</f>
        <v>1399.9999999999986</v>
      </c>
      <c r="P6" s="28" t="str">
        <f t="shared" ref="P6:P37" si="5">IF(I6="","",IF(K6&lt;=0,"Vente à perte",IF(AND(M6&lt;&gt;"",M6&lt;2),"Marge faible (&lt; x2)","Marge saine")))</f>
        <v>Marge saine</v>
      </c>
      <c r="Q6" s="20">
        <v>30</v>
      </c>
      <c r="R6" s="20">
        <v>20</v>
      </c>
      <c r="S6" s="29">
        <f>IF(B6="","",SUMIFS(Ventes!$G$6:$G$505,Ventes!$F$6:$F$505,B6,Ventes!$M$6:$M$505,"Livrée et payée"))</f>
        <v>10</v>
      </c>
      <c r="T6" s="29">
        <f t="shared" ref="T6:T37" si="6">IF(OR(B6="",C6="Service"),"",N(Q6)+N(R6)-N(S6))</f>
        <v>40</v>
      </c>
      <c r="U6" s="20">
        <v>5</v>
      </c>
      <c r="V6" s="28" t="str">
        <f t="shared" ref="V6:V37" si="7">IF(OR(B6="",C6="Service",Q6=""),"",IF(T6&lt;=N(U6),"Réapprovisionner","OK"))</f>
        <v>OK</v>
      </c>
    </row>
    <row r="7" spans="1:22" x14ac:dyDescent="0.25">
      <c r="A7" s="18" t="s">
        <v>126</v>
      </c>
      <c r="B7" s="18" t="s">
        <v>127</v>
      </c>
      <c r="C7" s="18" t="s">
        <v>60</v>
      </c>
      <c r="D7" s="18" t="s">
        <v>128</v>
      </c>
      <c r="E7" s="19">
        <v>1200</v>
      </c>
      <c r="F7" s="19">
        <v>100</v>
      </c>
      <c r="G7" s="19">
        <v>0</v>
      </c>
      <c r="H7" s="19">
        <v>50</v>
      </c>
      <c r="I7" s="19">
        <v>3500</v>
      </c>
      <c r="J7" s="25">
        <f t="shared" si="0"/>
        <v>1350</v>
      </c>
      <c r="K7" s="25">
        <f t="shared" si="1"/>
        <v>2150</v>
      </c>
      <c r="L7" s="26">
        <f t="shared" si="2"/>
        <v>0.61428571428571432</v>
      </c>
      <c r="M7" s="27">
        <f t="shared" si="3"/>
        <v>2.9166666666666665</v>
      </c>
      <c r="N7" s="25">
        <f t="shared" si="4"/>
        <v>2150</v>
      </c>
      <c r="O7" s="25">
        <f>IF(I7="","",MAX(0,K7*Paramètres!$B$11))</f>
        <v>716.66666666666595</v>
      </c>
      <c r="P7" s="28" t="str">
        <f t="shared" si="5"/>
        <v>Marge saine</v>
      </c>
      <c r="Q7" s="20">
        <v>40</v>
      </c>
      <c r="R7" s="20">
        <v>0</v>
      </c>
      <c r="S7" s="29">
        <f>IF(B7="","",SUMIFS(Ventes!$G$6:$G$505,Ventes!$F$6:$F$505,B7,Ventes!$M$6:$M$505,"Livrée et payée"))</f>
        <v>6</v>
      </c>
      <c r="T7" s="29">
        <f t="shared" si="6"/>
        <v>34</v>
      </c>
      <c r="U7" s="20">
        <v>10</v>
      </c>
      <c r="V7" s="28" t="str">
        <f t="shared" si="7"/>
        <v>OK</v>
      </c>
    </row>
    <row r="8" spans="1:22" x14ac:dyDescent="0.25">
      <c r="A8" s="18" t="s">
        <v>129</v>
      </c>
      <c r="B8" s="18" t="s">
        <v>130</v>
      </c>
      <c r="C8" s="18" t="s">
        <v>60</v>
      </c>
      <c r="D8" s="18" t="s">
        <v>125</v>
      </c>
      <c r="E8" s="19">
        <v>12000</v>
      </c>
      <c r="F8" s="19">
        <v>300</v>
      </c>
      <c r="G8" s="19">
        <v>1500</v>
      </c>
      <c r="H8" s="19">
        <v>100</v>
      </c>
      <c r="I8" s="19">
        <v>27000</v>
      </c>
      <c r="J8" s="25">
        <f t="shared" si="0"/>
        <v>13900</v>
      </c>
      <c r="K8" s="25">
        <f t="shared" si="1"/>
        <v>13100</v>
      </c>
      <c r="L8" s="26">
        <f t="shared" si="2"/>
        <v>0.48518518518518516</v>
      </c>
      <c r="M8" s="27">
        <f t="shared" si="3"/>
        <v>2.25</v>
      </c>
      <c r="N8" s="25">
        <f t="shared" si="4"/>
        <v>13100</v>
      </c>
      <c r="O8" s="25">
        <f>IF(I8="","",MAX(0,K8*Paramètres!$B$11))</f>
        <v>4366.6666666666624</v>
      </c>
      <c r="P8" s="28" t="str">
        <f t="shared" si="5"/>
        <v>Marge saine</v>
      </c>
      <c r="Q8" s="20">
        <v>10</v>
      </c>
      <c r="R8" s="20">
        <v>0</v>
      </c>
      <c r="S8" s="29">
        <f>IF(B8="","",SUMIFS(Ventes!$G$6:$G$505,Ventes!$F$6:$F$505,B8,Ventes!$M$6:$M$505,"Livrée et payée"))</f>
        <v>3</v>
      </c>
      <c r="T8" s="29">
        <f t="shared" si="6"/>
        <v>7</v>
      </c>
      <c r="U8" s="20">
        <v>3</v>
      </c>
      <c r="V8" s="28" t="str">
        <f t="shared" si="7"/>
        <v>OK</v>
      </c>
    </row>
    <row r="9" spans="1:22" x14ac:dyDescent="0.25">
      <c r="A9" s="18" t="s">
        <v>131</v>
      </c>
      <c r="B9" s="18" t="s">
        <v>132</v>
      </c>
      <c r="C9" s="18" t="s">
        <v>67</v>
      </c>
      <c r="D9" s="18" t="s">
        <v>133</v>
      </c>
      <c r="E9" s="19">
        <v>2000</v>
      </c>
      <c r="F9" s="19">
        <v>0</v>
      </c>
      <c r="G9" s="19">
        <v>0</v>
      </c>
      <c r="H9" s="19">
        <v>0</v>
      </c>
      <c r="I9" s="19">
        <v>7500</v>
      </c>
      <c r="J9" s="25">
        <f t="shared" si="0"/>
        <v>2000</v>
      </c>
      <c r="K9" s="25">
        <f t="shared" si="1"/>
        <v>5500</v>
      </c>
      <c r="L9" s="26">
        <f t="shared" si="2"/>
        <v>0.73333333333333328</v>
      </c>
      <c r="M9" s="27">
        <f t="shared" si="3"/>
        <v>3.75</v>
      </c>
      <c r="N9" s="25">
        <f t="shared" si="4"/>
        <v>5500</v>
      </c>
      <c r="O9" s="25">
        <f>IF(I9="","",MAX(0,K9*Paramètres!$B$11))</f>
        <v>1833.3333333333314</v>
      </c>
      <c r="P9" s="28" t="str">
        <f t="shared" si="5"/>
        <v>Marge saine</v>
      </c>
      <c r="Q9" s="20"/>
      <c r="R9" s="20"/>
      <c r="S9" s="29">
        <f>IF(B9="","",SUMIFS(Ventes!$G$6:$G$505,Ventes!$F$6:$F$505,B9,Ventes!$M$6:$M$505,"Livrée et payée"))</f>
        <v>2</v>
      </c>
      <c r="T9" s="29" t="str">
        <f t="shared" si="6"/>
        <v/>
      </c>
      <c r="U9" s="20"/>
      <c r="V9" s="28" t="str">
        <f t="shared" si="7"/>
        <v/>
      </c>
    </row>
    <row r="10" spans="1:22" x14ac:dyDescent="0.25">
      <c r="A10" s="18"/>
      <c r="B10" s="18"/>
      <c r="C10" s="18"/>
      <c r="D10" s="18"/>
      <c r="E10" s="19"/>
      <c r="F10" s="19"/>
      <c r="G10" s="19"/>
      <c r="H10" s="19"/>
      <c r="I10" s="19"/>
      <c r="J10" s="25" t="str">
        <f t="shared" si="0"/>
        <v/>
      </c>
      <c r="K10" s="25" t="str">
        <f t="shared" si="1"/>
        <v/>
      </c>
      <c r="L10" s="26" t="str">
        <f t="shared" si="2"/>
        <v/>
      </c>
      <c r="M10" s="27" t="str">
        <f t="shared" si="3"/>
        <v/>
      </c>
      <c r="N10" s="25" t="str">
        <f t="shared" si="4"/>
        <v/>
      </c>
      <c r="O10" s="25" t="str">
        <f>IF(I10="","",MAX(0,K10*Paramètres!$B$11))</f>
        <v/>
      </c>
      <c r="P10" s="28" t="str">
        <f t="shared" si="5"/>
        <v/>
      </c>
      <c r="Q10" s="20"/>
      <c r="R10" s="20"/>
      <c r="S10" s="29" t="str">
        <f>IF(B10="","",SUMIFS(Ventes!$G$6:$G$505,Ventes!$F$6:$F$505,B10,Ventes!$M$6:$M$505,"Livrée et payée"))</f>
        <v/>
      </c>
      <c r="T10" s="29" t="str">
        <f t="shared" si="6"/>
        <v/>
      </c>
      <c r="U10" s="20"/>
      <c r="V10" s="28" t="str">
        <f t="shared" si="7"/>
        <v/>
      </c>
    </row>
    <row r="11" spans="1:22" x14ac:dyDescent="0.25">
      <c r="A11" s="18"/>
      <c r="B11" s="18"/>
      <c r="C11" s="18"/>
      <c r="D11" s="18"/>
      <c r="E11" s="19"/>
      <c r="F11" s="19"/>
      <c r="G11" s="19"/>
      <c r="H11" s="19"/>
      <c r="I11" s="19"/>
      <c r="J11" s="25" t="str">
        <f t="shared" si="0"/>
        <v/>
      </c>
      <c r="K11" s="25" t="str">
        <f t="shared" si="1"/>
        <v/>
      </c>
      <c r="L11" s="26" t="str">
        <f t="shared" si="2"/>
        <v/>
      </c>
      <c r="M11" s="27" t="str">
        <f t="shared" si="3"/>
        <v/>
      </c>
      <c r="N11" s="25" t="str">
        <f t="shared" si="4"/>
        <v/>
      </c>
      <c r="O11" s="25" t="str">
        <f>IF(I11="","",MAX(0,K11*Paramètres!$B$11))</f>
        <v/>
      </c>
      <c r="P11" s="28" t="str">
        <f t="shared" si="5"/>
        <v/>
      </c>
      <c r="Q11" s="20"/>
      <c r="R11" s="20"/>
      <c r="S11" s="29" t="str">
        <f>IF(B11="","",SUMIFS(Ventes!$G$6:$G$505,Ventes!$F$6:$F$505,B11,Ventes!$M$6:$M$505,"Livrée et payée"))</f>
        <v/>
      </c>
      <c r="T11" s="29" t="str">
        <f t="shared" si="6"/>
        <v/>
      </c>
      <c r="U11" s="20"/>
      <c r="V11" s="28" t="str">
        <f t="shared" si="7"/>
        <v/>
      </c>
    </row>
    <row r="12" spans="1:22" x14ac:dyDescent="0.25">
      <c r="A12" s="18"/>
      <c r="B12" s="18"/>
      <c r="C12" s="18"/>
      <c r="D12" s="18"/>
      <c r="E12" s="19"/>
      <c r="F12" s="19"/>
      <c r="G12" s="19"/>
      <c r="H12" s="19"/>
      <c r="I12" s="19"/>
      <c r="J12" s="25" t="str">
        <f t="shared" si="0"/>
        <v/>
      </c>
      <c r="K12" s="25" t="str">
        <f t="shared" si="1"/>
        <v/>
      </c>
      <c r="L12" s="26" t="str">
        <f t="shared" si="2"/>
        <v/>
      </c>
      <c r="M12" s="27" t="str">
        <f t="shared" si="3"/>
        <v/>
      </c>
      <c r="N12" s="25" t="str">
        <f t="shared" si="4"/>
        <v/>
      </c>
      <c r="O12" s="25" t="str">
        <f>IF(I12="","",MAX(0,K12*Paramètres!$B$11))</f>
        <v/>
      </c>
      <c r="P12" s="28" t="str">
        <f t="shared" si="5"/>
        <v/>
      </c>
      <c r="Q12" s="20"/>
      <c r="R12" s="20"/>
      <c r="S12" s="29" t="str">
        <f>IF(B12="","",SUMIFS(Ventes!$G$6:$G$505,Ventes!$F$6:$F$505,B12,Ventes!$M$6:$M$505,"Livrée et payée"))</f>
        <v/>
      </c>
      <c r="T12" s="29" t="str">
        <f t="shared" si="6"/>
        <v/>
      </c>
      <c r="U12" s="20"/>
      <c r="V12" s="28" t="str">
        <f t="shared" si="7"/>
        <v/>
      </c>
    </row>
    <row r="13" spans="1:22" x14ac:dyDescent="0.25">
      <c r="A13" s="18"/>
      <c r="B13" s="18"/>
      <c r="C13" s="18"/>
      <c r="D13" s="18"/>
      <c r="E13" s="19"/>
      <c r="F13" s="19"/>
      <c r="G13" s="19"/>
      <c r="H13" s="19"/>
      <c r="I13" s="19"/>
      <c r="J13" s="25" t="str">
        <f t="shared" si="0"/>
        <v/>
      </c>
      <c r="K13" s="25" t="str">
        <f t="shared" si="1"/>
        <v/>
      </c>
      <c r="L13" s="26" t="str">
        <f t="shared" si="2"/>
        <v/>
      </c>
      <c r="M13" s="27" t="str">
        <f t="shared" si="3"/>
        <v/>
      </c>
      <c r="N13" s="25" t="str">
        <f t="shared" si="4"/>
        <v/>
      </c>
      <c r="O13" s="25" t="str">
        <f>IF(I13="","",MAX(0,K13*Paramètres!$B$11))</f>
        <v/>
      </c>
      <c r="P13" s="28" t="str">
        <f t="shared" si="5"/>
        <v/>
      </c>
      <c r="Q13" s="20"/>
      <c r="R13" s="20"/>
      <c r="S13" s="29" t="str">
        <f>IF(B13="","",SUMIFS(Ventes!$G$6:$G$505,Ventes!$F$6:$F$505,B13,Ventes!$M$6:$M$505,"Livrée et payée"))</f>
        <v/>
      </c>
      <c r="T13" s="29" t="str">
        <f t="shared" si="6"/>
        <v/>
      </c>
      <c r="U13" s="20"/>
      <c r="V13" s="28" t="str">
        <f t="shared" si="7"/>
        <v/>
      </c>
    </row>
    <row r="14" spans="1:22" x14ac:dyDescent="0.25">
      <c r="A14" s="18"/>
      <c r="B14" s="18"/>
      <c r="C14" s="18"/>
      <c r="D14" s="18"/>
      <c r="E14" s="19"/>
      <c r="F14" s="19"/>
      <c r="G14" s="19"/>
      <c r="H14" s="19"/>
      <c r="I14" s="19"/>
      <c r="J14" s="25" t="str">
        <f t="shared" si="0"/>
        <v/>
      </c>
      <c r="K14" s="25" t="str">
        <f t="shared" si="1"/>
        <v/>
      </c>
      <c r="L14" s="26" t="str">
        <f t="shared" si="2"/>
        <v/>
      </c>
      <c r="M14" s="27" t="str">
        <f t="shared" si="3"/>
        <v/>
      </c>
      <c r="N14" s="25" t="str">
        <f t="shared" si="4"/>
        <v/>
      </c>
      <c r="O14" s="25" t="str">
        <f>IF(I14="","",MAX(0,K14*Paramètres!$B$11))</f>
        <v/>
      </c>
      <c r="P14" s="28" t="str">
        <f t="shared" si="5"/>
        <v/>
      </c>
      <c r="Q14" s="20"/>
      <c r="R14" s="20"/>
      <c r="S14" s="29" t="str">
        <f>IF(B14="","",SUMIFS(Ventes!$G$6:$G$505,Ventes!$F$6:$F$505,B14,Ventes!$M$6:$M$505,"Livrée et payée"))</f>
        <v/>
      </c>
      <c r="T14" s="29" t="str">
        <f t="shared" si="6"/>
        <v/>
      </c>
      <c r="U14" s="20"/>
      <c r="V14" s="28" t="str">
        <f t="shared" si="7"/>
        <v/>
      </c>
    </row>
    <row r="15" spans="1:22" x14ac:dyDescent="0.25">
      <c r="A15" s="18"/>
      <c r="B15" s="18"/>
      <c r="C15" s="18"/>
      <c r="D15" s="18"/>
      <c r="E15" s="19"/>
      <c r="F15" s="19"/>
      <c r="G15" s="19"/>
      <c r="H15" s="19"/>
      <c r="I15" s="19"/>
      <c r="J15" s="25" t="str">
        <f t="shared" si="0"/>
        <v/>
      </c>
      <c r="K15" s="25" t="str">
        <f t="shared" si="1"/>
        <v/>
      </c>
      <c r="L15" s="26" t="str">
        <f t="shared" si="2"/>
        <v/>
      </c>
      <c r="M15" s="27" t="str">
        <f t="shared" si="3"/>
        <v/>
      </c>
      <c r="N15" s="25" t="str">
        <f t="shared" si="4"/>
        <v/>
      </c>
      <c r="O15" s="25" t="str">
        <f>IF(I15="","",MAX(0,K15*Paramètres!$B$11))</f>
        <v/>
      </c>
      <c r="P15" s="28" t="str">
        <f t="shared" si="5"/>
        <v/>
      </c>
      <c r="Q15" s="20"/>
      <c r="R15" s="20"/>
      <c r="S15" s="29" t="str">
        <f>IF(B15="","",SUMIFS(Ventes!$G$6:$G$505,Ventes!$F$6:$F$505,B15,Ventes!$M$6:$M$505,"Livrée et payée"))</f>
        <v/>
      </c>
      <c r="T15" s="29" t="str">
        <f t="shared" si="6"/>
        <v/>
      </c>
      <c r="U15" s="20"/>
      <c r="V15" s="28" t="str">
        <f t="shared" si="7"/>
        <v/>
      </c>
    </row>
    <row r="16" spans="1:22" x14ac:dyDescent="0.25">
      <c r="A16" s="18"/>
      <c r="B16" s="18"/>
      <c r="C16" s="18"/>
      <c r="D16" s="18"/>
      <c r="E16" s="19"/>
      <c r="F16" s="19"/>
      <c r="G16" s="19"/>
      <c r="H16" s="19"/>
      <c r="I16" s="19"/>
      <c r="J16" s="25" t="str">
        <f t="shared" si="0"/>
        <v/>
      </c>
      <c r="K16" s="25" t="str">
        <f t="shared" si="1"/>
        <v/>
      </c>
      <c r="L16" s="26" t="str">
        <f t="shared" si="2"/>
        <v/>
      </c>
      <c r="M16" s="27" t="str">
        <f t="shared" si="3"/>
        <v/>
      </c>
      <c r="N16" s="25" t="str">
        <f t="shared" si="4"/>
        <v/>
      </c>
      <c r="O16" s="25" t="str">
        <f>IF(I16="","",MAX(0,K16*Paramètres!$B$11))</f>
        <v/>
      </c>
      <c r="P16" s="28" t="str">
        <f t="shared" si="5"/>
        <v/>
      </c>
      <c r="Q16" s="20"/>
      <c r="R16" s="20"/>
      <c r="S16" s="29" t="str">
        <f>IF(B16="","",SUMIFS(Ventes!$G$6:$G$505,Ventes!$F$6:$F$505,B16,Ventes!$M$6:$M$505,"Livrée et payée"))</f>
        <v/>
      </c>
      <c r="T16" s="29" t="str">
        <f t="shared" si="6"/>
        <v/>
      </c>
      <c r="U16" s="20"/>
      <c r="V16" s="28" t="str">
        <f t="shared" si="7"/>
        <v/>
      </c>
    </row>
    <row r="17" spans="1:22" x14ac:dyDescent="0.25">
      <c r="A17" s="18"/>
      <c r="B17" s="18"/>
      <c r="C17" s="18"/>
      <c r="D17" s="18"/>
      <c r="E17" s="19"/>
      <c r="F17" s="19"/>
      <c r="G17" s="19"/>
      <c r="H17" s="19"/>
      <c r="I17" s="19"/>
      <c r="J17" s="25" t="str">
        <f t="shared" si="0"/>
        <v/>
      </c>
      <c r="K17" s="25" t="str">
        <f t="shared" si="1"/>
        <v/>
      </c>
      <c r="L17" s="26" t="str">
        <f t="shared" si="2"/>
        <v/>
      </c>
      <c r="M17" s="27" t="str">
        <f t="shared" si="3"/>
        <v/>
      </c>
      <c r="N17" s="25" t="str">
        <f t="shared" si="4"/>
        <v/>
      </c>
      <c r="O17" s="25" t="str">
        <f>IF(I17="","",MAX(0,K17*Paramètres!$B$11))</f>
        <v/>
      </c>
      <c r="P17" s="28" t="str">
        <f t="shared" si="5"/>
        <v/>
      </c>
      <c r="Q17" s="20"/>
      <c r="R17" s="20"/>
      <c r="S17" s="29" t="str">
        <f>IF(B17="","",SUMIFS(Ventes!$G$6:$G$505,Ventes!$F$6:$F$505,B17,Ventes!$M$6:$M$505,"Livrée et payée"))</f>
        <v/>
      </c>
      <c r="T17" s="29" t="str">
        <f t="shared" si="6"/>
        <v/>
      </c>
      <c r="U17" s="20"/>
      <c r="V17" s="28" t="str">
        <f t="shared" si="7"/>
        <v/>
      </c>
    </row>
    <row r="18" spans="1:22" x14ac:dyDescent="0.25">
      <c r="A18" s="18"/>
      <c r="B18" s="18"/>
      <c r="C18" s="18"/>
      <c r="D18" s="18"/>
      <c r="E18" s="19"/>
      <c r="F18" s="19"/>
      <c r="G18" s="19"/>
      <c r="H18" s="19"/>
      <c r="I18" s="19"/>
      <c r="J18" s="25" t="str">
        <f t="shared" si="0"/>
        <v/>
      </c>
      <c r="K18" s="25" t="str">
        <f t="shared" si="1"/>
        <v/>
      </c>
      <c r="L18" s="26" t="str">
        <f t="shared" si="2"/>
        <v/>
      </c>
      <c r="M18" s="27" t="str">
        <f t="shared" si="3"/>
        <v/>
      </c>
      <c r="N18" s="25" t="str">
        <f t="shared" si="4"/>
        <v/>
      </c>
      <c r="O18" s="25" t="str">
        <f>IF(I18="","",MAX(0,K18*Paramètres!$B$11))</f>
        <v/>
      </c>
      <c r="P18" s="28" t="str">
        <f t="shared" si="5"/>
        <v/>
      </c>
      <c r="Q18" s="20"/>
      <c r="R18" s="20"/>
      <c r="S18" s="29" t="str">
        <f>IF(B18="","",SUMIFS(Ventes!$G$6:$G$505,Ventes!$F$6:$F$505,B18,Ventes!$M$6:$M$505,"Livrée et payée"))</f>
        <v/>
      </c>
      <c r="T18" s="29" t="str">
        <f t="shared" si="6"/>
        <v/>
      </c>
      <c r="U18" s="20"/>
      <c r="V18" s="28" t="str">
        <f t="shared" si="7"/>
        <v/>
      </c>
    </row>
    <row r="19" spans="1:22" x14ac:dyDescent="0.25">
      <c r="A19" s="18"/>
      <c r="B19" s="18"/>
      <c r="C19" s="18"/>
      <c r="D19" s="18"/>
      <c r="E19" s="19"/>
      <c r="F19" s="19"/>
      <c r="G19" s="19"/>
      <c r="H19" s="19"/>
      <c r="I19" s="19"/>
      <c r="J19" s="25" t="str">
        <f t="shared" si="0"/>
        <v/>
      </c>
      <c r="K19" s="25" t="str">
        <f t="shared" si="1"/>
        <v/>
      </c>
      <c r="L19" s="26" t="str">
        <f t="shared" si="2"/>
        <v/>
      </c>
      <c r="M19" s="27" t="str">
        <f t="shared" si="3"/>
        <v/>
      </c>
      <c r="N19" s="25" t="str">
        <f t="shared" si="4"/>
        <v/>
      </c>
      <c r="O19" s="25" t="str">
        <f>IF(I19="","",MAX(0,K19*Paramètres!$B$11))</f>
        <v/>
      </c>
      <c r="P19" s="28" t="str">
        <f t="shared" si="5"/>
        <v/>
      </c>
      <c r="Q19" s="20"/>
      <c r="R19" s="20"/>
      <c r="S19" s="29" t="str">
        <f>IF(B19="","",SUMIFS(Ventes!$G$6:$G$505,Ventes!$F$6:$F$505,B19,Ventes!$M$6:$M$505,"Livrée et payée"))</f>
        <v/>
      </c>
      <c r="T19" s="29" t="str">
        <f t="shared" si="6"/>
        <v/>
      </c>
      <c r="U19" s="20"/>
      <c r="V19" s="28" t="str">
        <f t="shared" si="7"/>
        <v/>
      </c>
    </row>
    <row r="20" spans="1:22" x14ac:dyDescent="0.25">
      <c r="A20" s="18"/>
      <c r="B20" s="18"/>
      <c r="C20" s="18"/>
      <c r="D20" s="18"/>
      <c r="E20" s="19"/>
      <c r="F20" s="19"/>
      <c r="G20" s="19"/>
      <c r="H20" s="19"/>
      <c r="I20" s="19"/>
      <c r="J20" s="25" t="str">
        <f t="shared" si="0"/>
        <v/>
      </c>
      <c r="K20" s="25" t="str">
        <f t="shared" si="1"/>
        <v/>
      </c>
      <c r="L20" s="26" t="str">
        <f t="shared" si="2"/>
        <v/>
      </c>
      <c r="M20" s="27" t="str">
        <f t="shared" si="3"/>
        <v/>
      </c>
      <c r="N20" s="25" t="str">
        <f t="shared" si="4"/>
        <v/>
      </c>
      <c r="O20" s="25" t="str">
        <f>IF(I20="","",MAX(0,K20*Paramètres!$B$11))</f>
        <v/>
      </c>
      <c r="P20" s="28" t="str">
        <f t="shared" si="5"/>
        <v/>
      </c>
      <c r="Q20" s="20"/>
      <c r="R20" s="20"/>
      <c r="S20" s="29" t="str">
        <f>IF(B20="","",SUMIFS(Ventes!$G$6:$G$505,Ventes!$F$6:$F$505,B20,Ventes!$M$6:$M$505,"Livrée et payée"))</f>
        <v/>
      </c>
      <c r="T20" s="29" t="str">
        <f t="shared" si="6"/>
        <v/>
      </c>
      <c r="U20" s="20"/>
      <c r="V20" s="28" t="str">
        <f t="shared" si="7"/>
        <v/>
      </c>
    </row>
    <row r="21" spans="1:22" x14ac:dyDescent="0.25">
      <c r="A21" s="18"/>
      <c r="B21" s="18"/>
      <c r="C21" s="18"/>
      <c r="D21" s="18"/>
      <c r="E21" s="19"/>
      <c r="F21" s="19"/>
      <c r="G21" s="19"/>
      <c r="H21" s="19"/>
      <c r="I21" s="19"/>
      <c r="J21" s="25" t="str">
        <f t="shared" si="0"/>
        <v/>
      </c>
      <c r="K21" s="25" t="str">
        <f t="shared" si="1"/>
        <v/>
      </c>
      <c r="L21" s="26" t="str">
        <f t="shared" si="2"/>
        <v/>
      </c>
      <c r="M21" s="27" t="str">
        <f t="shared" si="3"/>
        <v/>
      </c>
      <c r="N21" s="25" t="str">
        <f t="shared" si="4"/>
        <v/>
      </c>
      <c r="O21" s="25" t="str">
        <f>IF(I21="","",MAX(0,K21*Paramètres!$B$11))</f>
        <v/>
      </c>
      <c r="P21" s="28" t="str">
        <f t="shared" si="5"/>
        <v/>
      </c>
      <c r="Q21" s="20"/>
      <c r="R21" s="20"/>
      <c r="S21" s="29" t="str">
        <f>IF(B21="","",SUMIFS(Ventes!$G$6:$G$505,Ventes!$F$6:$F$505,B21,Ventes!$M$6:$M$505,"Livrée et payée"))</f>
        <v/>
      </c>
      <c r="T21" s="29" t="str">
        <f t="shared" si="6"/>
        <v/>
      </c>
      <c r="U21" s="20"/>
      <c r="V21" s="28" t="str">
        <f t="shared" si="7"/>
        <v/>
      </c>
    </row>
    <row r="22" spans="1:22" x14ac:dyDescent="0.25">
      <c r="A22" s="18"/>
      <c r="B22" s="18"/>
      <c r="C22" s="18"/>
      <c r="D22" s="18"/>
      <c r="E22" s="19"/>
      <c r="F22" s="19"/>
      <c r="G22" s="19"/>
      <c r="H22" s="19"/>
      <c r="I22" s="19"/>
      <c r="J22" s="25" t="str">
        <f t="shared" si="0"/>
        <v/>
      </c>
      <c r="K22" s="25" t="str">
        <f t="shared" si="1"/>
        <v/>
      </c>
      <c r="L22" s="26" t="str">
        <f t="shared" si="2"/>
        <v/>
      </c>
      <c r="M22" s="27" t="str">
        <f t="shared" si="3"/>
        <v/>
      </c>
      <c r="N22" s="25" t="str">
        <f t="shared" si="4"/>
        <v/>
      </c>
      <c r="O22" s="25" t="str">
        <f>IF(I22="","",MAX(0,K22*Paramètres!$B$11))</f>
        <v/>
      </c>
      <c r="P22" s="28" t="str">
        <f t="shared" si="5"/>
        <v/>
      </c>
      <c r="Q22" s="20"/>
      <c r="R22" s="20"/>
      <c r="S22" s="29" t="str">
        <f>IF(B22="","",SUMIFS(Ventes!$G$6:$G$505,Ventes!$F$6:$F$505,B22,Ventes!$M$6:$M$505,"Livrée et payée"))</f>
        <v/>
      </c>
      <c r="T22" s="29" t="str">
        <f t="shared" si="6"/>
        <v/>
      </c>
      <c r="U22" s="20"/>
      <c r="V22" s="28" t="str">
        <f t="shared" si="7"/>
        <v/>
      </c>
    </row>
    <row r="23" spans="1:22" x14ac:dyDescent="0.25">
      <c r="A23" s="18"/>
      <c r="B23" s="18"/>
      <c r="C23" s="18"/>
      <c r="D23" s="18"/>
      <c r="E23" s="19"/>
      <c r="F23" s="19"/>
      <c r="G23" s="19"/>
      <c r="H23" s="19"/>
      <c r="I23" s="19"/>
      <c r="J23" s="25" t="str">
        <f t="shared" si="0"/>
        <v/>
      </c>
      <c r="K23" s="25" t="str">
        <f t="shared" si="1"/>
        <v/>
      </c>
      <c r="L23" s="26" t="str">
        <f t="shared" si="2"/>
        <v/>
      </c>
      <c r="M23" s="27" t="str">
        <f t="shared" si="3"/>
        <v/>
      </c>
      <c r="N23" s="25" t="str">
        <f t="shared" si="4"/>
        <v/>
      </c>
      <c r="O23" s="25" t="str">
        <f>IF(I23="","",MAX(0,K23*Paramètres!$B$11))</f>
        <v/>
      </c>
      <c r="P23" s="28" t="str">
        <f t="shared" si="5"/>
        <v/>
      </c>
      <c r="Q23" s="20"/>
      <c r="R23" s="20"/>
      <c r="S23" s="29" t="str">
        <f>IF(B23="","",SUMIFS(Ventes!$G$6:$G$505,Ventes!$F$6:$F$505,B23,Ventes!$M$6:$M$505,"Livrée et payée"))</f>
        <v/>
      </c>
      <c r="T23" s="29" t="str">
        <f t="shared" si="6"/>
        <v/>
      </c>
      <c r="U23" s="20"/>
      <c r="V23" s="28" t="str">
        <f t="shared" si="7"/>
        <v/>
      </c>
    </row>
    <row r="24" spans="1:22" x14ac:dyDescent="0.25">
      <c r="A24" s="18"/>
      <c r="B24" s="18"/>
      <c r="C24" s="18"/>
      <c r="D24" s="18"/>
      <c r="E24" s="19"/>
      <c r="F24" s="19"/>
      <c r="G24" s="19"/>
      <c r="H24" s="19"/>
      <c r="I24" s="19"/>
      <c r="J24" s="25" t="str">
        <f t="shared" si="0"/>
        <v/>
      </c>
      <c r="K24" s="25" t="str">
        <f t="shared" si="1"/>
        <v/>
      </c>
      <c r="L24" s="26" t="str">
        <f t="shared" si="2"/>
        <v/>
      </c>
      <c r="M24" s="27" t="str">
        <f t="shared" si="3"/>
        <v/>
      </c>
      <c r="N24" s="25" t="str">
        <f t="shared" si="4"/>
        <v/>
      </c>
      <c r="O24" s="25" t="str">
        <f>IF(I24="","",MAX(0,K24*Paramètres!$B$11))</f>
        <v/>
      </c>
      <c r="P24" s="28" t="str">
        <f t="shared" si="5"/>
        <v/>
      </c>
      <c r="Q24" s="20"/>
      <c r="R24" s="20"/>
      <c r="S24" s="29" t="str">
        <f>IF(B24="","",SUMIFS(Ventes!$G$6:$G$505,Ventes!$F$6:$F$505,B24,Ventes!$M$6:$M$505,"Livrée et payée"))</f>
        <v/>
      </c>
      <c r="T24" s="29" t="str">
        <f t="shared" si="6"/>
        <v/>
      </c>
      <c r="U24" s="20"/>
      <c r="V24" s="28" t="str">
        <f t="shared" si="7"/>
        <v/>
      </c>
    </row>
    <row r="25" spans="1:22" x14ac:dyDescent="0.25">
      <c r="A25" s="18"/>
      <c r="B25" s="18"/>
      <c r="C25" s="18"/>
      <c r="D25" s="18"/>
      <c r="E25" s="19"/>
      <c r="F25" s="19"/>
      <c r="G25" s="19"/>
      <c r="H25" s="19"/>
      <c r="I25" s="19"/>
      <c r="J25" s="25" t="str">
        <f t="shared" si="0"/>
        <v/>
      </c>
      <c r="K25" s="25" t="str">
        <f t="shared" si="1"/>
        <v/>
      </c>
      <c r="L25" s="26" t="str">
        <f t="shared" si="2"/>
        <v/>
      </c>
      <c r="M25" s="27" t="str">
        <f t="shared" si="3"/>
        <v/>
      </c>
      <c r="N25" s="25" t="str">
        <f t="shared" si="4"/>
        <v/>
      </c>
      <c r="O25" s="25" t="str">
        <f>IF(I25="","",MAX(0,K25*Paramètres!$B$11))</f>
        <v/>
      </c>
      <c r="P25" s="28" t="str">
        <f t="shared" si="5"/>
        <v/>
      </c>
      <c r="Q25" s="20"/>
      <c r="R25" s="20"/>
      <c r="S25" s="29" t="str">
        <f>IF(B25="","",SUMIFS(Ventes!$G$6:$G$505,Ventes!$F$6:$F$505,B25,Ventes!$M$6:$M$505,"Livrée et payée"))</f>
        <v/>
      </c>
      <c r="T25" s="29" t="str">
        <f t="shared" si="6"/>
        <v/>
      </c>
      <c r="U25" s="20"/>
      <c r="V25" s="28" t="str">
        <f t="shared" si="7"/>
        <v/>
      </c>
    </row>
    <row r="26" spans="1:22" x14ac:dyDescent="0.25">
      <c r="A26" s="18"/>
      <c r="B26" s="18"/>
      <c r="C26" s="18"/>
      <c r="D26" s="18"/>
      <c r="E26" s="19"/>
      <c r="F26" s="19"/>
      <c r="G26" s="19"/>
      <c r="H26" s="19"/>
      <c r="I26" s="19"/>
      <c r="J26" s="25" t="str">
        <f t="shared" si="0"/>
        <v/>
      </c>
      <c r="K26" s="25" t="str">
        <f t="shared" si="1"/>
        <v/>
      </c>
      <c r="L26" s="26" t="str">
        <f t="shared" si="2"/>
        <v/>
      </c>
      <c r="M26" s="27" t="str">
        <f t="shared" si="3"/>
        <v/>
      </c>
      <c r="N26" s="25" t="str">
        <f t="shared" si="4"/>
        <v/>
      </c>
      <c r="O26" s="25" t="str">
        <f>IF(I26="","",MAX(0,K26*Paramètres!$B$11))</f>
        <v/>
      </c>
      <c r="P26" s="28" t="str">
        <f t="shared" si="5"/>
        <v/>
      </c>
      <c r="Q26" s="20"/>
      <c r="R26" s="20"/>
      <c r="S26" s="29" t="str">
        <f>IF(B26="","",SUMIFS(Ventes!$G$6:$G$505,Ventes!$F$6:$F$505,B26,Ventes!$M$6:$M$505,"Livrée et payée"))</f>
        <v/>
      </c>
      <c r="T26" s="29" t="str">
        <f t="shared" si="6"/>
        <v/>
      </c>
      <c r="U26" s="20"/>
      <c r="V26" s="28" t="str">
        <f t="shared" si="7"/>
        <v/>
      </c>
    </row>
    <row r="27" spans="1:22" x14ac:dyDescent="0.25">
      <c r="A27" s="18"/>
      <c r="B27" s="18"/>
      <c r="C27" s="18"/>
      <c r="D27" s="18"/>
      <c r="E27" s="19"/>
      <c r="F27" s="19"/>
      <c r="G27" s="19"/>
      <c r="H27" s="19"/>
      <c r="I27" s="19"/>
      <c r="J27" s="25" t="str">
        <f t="shared" si="0"/>
        <v/>
      </c>
      <c r="K27" s="25" t="str">
        <f t="shared" si="1"/>
        <v/>
      </c>
      <c r="L27" s="26" t="str">
        <f t="shared" si="2"/>
        <v/>
      </c>
      <c r="M27" s="27" t="str">
        <f t="shared" si="3"/>
        <v/>
      </c>
      <c r="N27" s="25" t="str">
        <f t="shared" si="4"/>
        <v/>
      </c>
      <c r="O27" s="25" t="str">
        <f>IF(I27="","",MAX(0,K27*Paramètres!$B$11))</f>
        <v/>
      </c>
      <c r="P27" s="28" t="str">
        <f t="shared" si="5"/>
        <v/>
      </c>
      <c r="Q27" s="20"/>
      <c r="R27" s="20"/>
      <c r="S27" s="29" t="str">
        <f>IF(B27="","",SUMIFS(Ventes!$G$6:$G$505,Ventes!$F$6:$F$505,B27,Ventes!$M$6:$M$505,"Livrée et payée"))</f>
        <v/>
      </c>
      <c r="T27" s="29" t="str">
        <f t="shared" si="6"/>
        <v/>
      </c>
      <c r="U27" s="20"/>
      <c r="V27" s="28" t="str">
        <f t="shared" si="7"/>
        <v/>
      </c>
    </row>
    <row r="28" spans="1:22" x14ac:dyDescent="0.25">
      <c r="A28" s="18"/>
      <c r="B28" s="18"/>
      <c r="C28" s="18"/>
      <c r="D28" s="18"/>
      <c r="E28" s="19"/>
      <c r="F28" s="19"/>
      <c r="G28" s="19"/>
      <c r="H28" s="19"/>
      <c r="I28" s="19"/>
      <c r="J28" s="25" t="str">
        <f t="shared" si="0"/>
        <v/>
      </c>
      <c r="K28" s="25" t="str">
        <f t="shared" si="1"/>
        <v/>
      </c>
      <c r="L28" s="26" t="str">
        <f t="shared" si="2"/>
        <v/>
      </c>
      <c r="M28" s="27" t="str">
        <f t="shared" si="3"/>
        <v/>
      </c>
      <c r="N28" s="25" t="str">
        <f t="shared" si="4"/>
        <v/>
      </c>
      <c r="O28" s="25" t="str">
        <f>IF(I28="","",MAX(0,K28*Paramètres!$B$11))</f>
        <v/>
      </c>
      <c r="P28" s="28" t="str">
        <f t="shared" si="5"/>
        <v/>
      </c>
      <c r="Q28" s="20"/>
      <c r="R28" s="20"/>
      <c r="S28" s="29" t="str">
        <f>IF(B28="","",SUMIFS(Ventes!$G$6:$G$505,Ventes!$F$6:$F$505,B28,Ventes!$M$6:$M$505,"Livrée et payée"))</f>
        <v/>
      </c>
      <c r="T28" s="29" t="str">
        <f t="shared" si="6"/>
        <v/>
      </c>
      <c r="U28" s="20"/>
      <c r="V28" s="28" t="str">
        <f t="shared" si="7"/>
        <v/>
      </c>
    </row>
    <row r="29" spans="1:22" x14ac:dyDescent="0.25">
      <c r="A29" s="18"/>
      <c r="B29" s="18"/>
      <c r="C29" s="18"/>
      <c r="D29" s="18"/>
      <c r="E29" s="19"/>
      <c r="F29" s="19"/>
      <c r="G29" s="19"/>
      <c r="H29" s="19"/>
      <c r="I29" s="19"/>
      <c r="J29" s="25" t="str">
        <f t="shared" si="0"/>
        <v/>
      </c>
      <c r="K29" s="25" t="str">
        <f t="shared" si="1"/>
        <v/>
      </c>
      <c r="L29" s="26" t="str">
        <f t="shared" si="2"/>
        <v/>
      </c>
      <c r="M29" s="27" t="str">
        <f t="shared" si="3"/>
        <v/>
      </c>
      <c r="N29" s="25" t="str">
        <f t="shared" si="4"/>
        <v/>
      </c>
      <c r="O29" s="25" t="str">
        <f>IF(I29="","",MAX(0,K29*Paramètres!$B$11))</f>
        <v/>
      </c>
      <c r="P29" s="28" t="str">
        <f t="shared" si="5"/>
        <v/>
      </c>
      <c r="Q29" s="20"/>
      <c r="R29" s="20"/>
      <c r="S29" s="29" t="str">
        <f>IF(B29="","",SUMIFS(Ventes!$G$6:$G$505,Ventes!$F$6:$F$505,B29,Ventes!$M$6:$M$505,"Livrée et payée"))</f>
        <v/>
      </c>
      <c r="T29" s="29" t="str">
        <f t="shared" si="6"/>
        <v/>
      </c>
      <c r="U29" s="20"/>
      <c r="V29" s="28" t="str">
        <f t="shared" si="7"/>
        <v/>
      </c>
    </row>
    <row r="30" spans="1:22" x14ac:dyDescent="0.25">
      <c r="A30" s="18"/>
      <c r="B30" s="18"/>
      <c r="C30" s="18"/>
      <c r="D30" s="18"/>
      <c r="E30" s="19"/>
      <c r="F30" s="19"/>
      <c r="G30" s="19"/>
      <c r="H30" s="19"/>
      <c r="I30" s="19"/>
      <c r="J30" s="25" t="str">
        <f t="shared" si="0"/>
        <v/>
      </c>
      <c r="K30" s="25" t="str">
        <f t="shared" si="1"/>
        <v/>
      </c>
      <c r="L30" s="26" t="str">
        <f t="shared" si="2"/>
        <v/>
      </c>
      <c r="M30" s="27" t="str">
        <f t="shared" si="3"/>
        <v/>
      </c>
      <c r="N30" s="25" t="str">
        <f t="shared" si="4"/>
        <v/>
      </c>
      <c r="O30" s="25" t="str">
        <f>IF(I30="","",MAX(0,K30*Paramètres!$B$11))</f>
        <v/>
      </c>
      <c r="P30" s="28" t="str">
        <f t="shared" si="5"/>
        <v/>
      </c>
      <c r="Q30" s="20"/>
      <c r="R30" s="20"/>
      <c r="S30" s="29" t="str">
        <f>IF(B30="","",SUMIFS(Ventes!$G$6:$G$505,Ventes!$F$6:$F$505,B30,Ventes!$M$6:$M$505,"Livrée et payée"))</f>
        <v/>
      </c>
      <c r="T30" s="29" t="str">
        <f t="shared" si="6"/>
        <v/>
      </c>
      <c r="U30" s="20"/>
      <c r="V30" s="28" t="str">
        <f t="shared" si="7"/>
        <v/>
      </c>
    </row>
    <row r="31" spans="1:22" x14ac:dyDescent="0.25">
      <c r="A31" s="18"/>
      <c r="B31" s="18"/>
      <c r="C31" s="18"/>
      <c r="D31" s="18"/>
      <c r="E31" s="19"/>
      <c r="F31" s="19"/>
      <c r="G31" s="19"/>
      <c r="H31" s="19"/>
      <c r="I31" s="19"/>
      <c r="J31" s="25" t="str">
        <f t="shared" si="0"/>
        <v/>
      </c>
      <c r="K31" s="25" t="str">
        <f t="shared" si="1"/>
        <v/>
      </c>
      <c r="L31" s="26" t="str">
        <f t="shared" si="2"/>
        <v/>
      </c>
      <c r="M31" s="27" t="str">
        <f t="shared" si="3"/>
        <v/>
      </c>
      <c r="N31" s="25" t="str">
        <f t="shared" si="4"/>
        <v/>
      </c>
      <c r="O31" s="25" t="str">
        <f>IF(I31="","",MAX(0,K31*Paramètres!$B$11))</f>
        <v/>
      </c>
      <c r="P31" s="28" t="str">
        <f t="shared" si="5"/>
        <v/>
      </c>
      <c r="Q31" s="20"/>
      <c r="R31" s="20"/>
      <c r="S31" s="29" t="str">
        <f>IF(B31="","",SUMIFS(Ventes!$G$6:$G$505,Ventes!$F$6:$F$505,B31,Ventes!$M$6:$M$505,"Livrée et payée"))</f>
        <v/>
      </c>
      <c r="T31" s="29" t="str">
        <f t="shared" si="6"/>
        <v/>
      </c>
      <c r="U31" s="20"/>
      <c r="V31" s="28" t="str">
        <f t="shared" si="7"/>
        <v/>
      </c>
    </row>
    <row r="32" spans="1:22" x14ac:dyDescent="0.25">
      <c r="A32" s="18"/>
      <c r="B32" s="18"/>
      <c r="C32" s="18"/>
      <c r="D32" s="18"/>
      <c r="E32" s="19"/>
      <c r="F32" s="19"/>
      <c r="G32" s="19"/>
      <c r="H32" s="19"/>
      <c r="I32" s="19"/>
      <c r="J32" s="25" t="str">
        <f t="shared" si="0"/>
        <v/>
      </c>
      <c r="K32" s="25" t="str">
        <f t="shared" si="1"/>
        <v/>
      </c>
      <c r="L32" s="26" t="str">
        <f t="shared" si="2"/>
        <v/>
      </c>
      <c r="M32" s="27" t="str">
        <f t="shared" si="3"/>
        <v/>
      </c>
      <c r="N32" s="25" t="str">
        <f t="shared" si="4"/>
        <v/>
      </c>
      <c r="O32" s="25" t="str">
        <f>IF(I32="","",MAX(0,K32*Paramètres!$B$11))</f>
        <v/>
      </c>
      <c r="P32" s="28" t="str">
        <f t="shared" si="5"/>
        <v/>
      </c>
      <c r="Q32" s="20"/>
      <c r="R32" s="20"/>
      <c r="S32" s="29" t="str">
        <f>IF(B32="","",SUMIFS(Ventes!$G$6:$G$505,Ventes!$F$6:$F$505,B32,Ventes!$M$6:$M$505,"Livrée et payée"))</f>
        <v/>
      </c>
      <c r="T32" s="29" t="str">
        <f t="shared" si="6"/>
        <v/>
      </c>
      <c r="U32" s="20"/>
      <c r="V32" s="28" t="str">
        <f t="shared" si="7"/>
        <v/>
      </c>
    </row>
    <row r="33" spans="1:22" x14ac:dyDescent="0.25">
      <c r="A33" s="18"/>
      <c r="B33" s="18"/>
      <c r="C33" s="18"/>
      <c r="D33" s="18"/>
      <c r="E33" s="19"/>
      <c r="F33" s="19"/>
      <c r="G33" s="19"/>
      <c r="H33" s="19"/>
      <c r="I33" s="19"/>
      <c r="J33" s="25" t="str">
        <f t="shared" si="0"/>
        <v/>
      </c>
      <c r="K33" s="25" t="str">
        <f t="shared" si="1"/>
        <v/>
      </c>
      <c r="L33" s="26" t="str">
        <f t="shared" si="2"/>
        <v/>
      </c>
      <c r="M33" s="27" t="str">
        <f t="shared" si="3"/>
        <v/>
      </c>
      <c r="N33" s="25" t="str">
        <f t="shared" si="4"/>
        <v/>
      </c>
      <c r="O33" s="25" t="str">
        <f>IF(I33="","",MAX(0,K33*Paramètres!$B$11))</f>
        <v/>
      </c>
      <c r="P33" s="28" t="str">
        <f t="shared" si="5"/>
        <v/>
      </c>
      <c r="Q33" s="20"/>
      <c r="R33" s="20"/>
      <c r="S33" s="29" t="str">
        <f>IF(B33="","",SUMIFS(Ventes!$G$6:$G$505,Ventes!$F$6:$F$505,B33,Ventes!$M$6:$M$505,"Livrée et payée"))</f>
        <v/>
      </c>
      <c r="T33" s="29" t="str">
        <f t="shared" si="6"/>
        <v/>
      </c>
      <c r="U33" s="20"/>
      <c r="V33" s="28" t="str">
        <f t="shared" si="7"/>
        <v/>
      </c>
    </row>
    <row r="34" spans="1:22" x14ac:dyDescent="0.25">
      <c r="A34" s="18"/>
      <c r="B34" s="18"/>
      <c r="C34" s="18"/>
      <c r="D34" s="18"/>
      <c r="E34" s="19"/>
      <c r="F34" s="19"/>
      <c r="G34" s="19"/>
      <c r="H34" s="19"/>
      <c r="I34" s="19"/>
      <c r="J34" s="25" t="str">
        <f t="shared" si="0"/>
        <v/>
      </c>
      <c r="K34" s="25" t="str">
        <f t="shared" si="1"/>
        <v/>
      </c>
      <c r="L34" s="26" t="str">
        <f t="shared" si="2"/>
        <v/>
      </c>
      <c r="M34" s="27" t="str">
        <f t="shared" si="3"/>
        <v/>
      </c>
      <c r="N34" s="25" t="str">
        <f t="shared" si="4"/>
        <v/>
      </c>
      <c r="O34" s="25" t="str">
        <f>IF(I34="","",MAX(0,K34*Paramètres!$B$11))</f>
        <v/>
      </c>
      <c r="P34" s="28" t="str">
        <f t="shared" si="5"/>
        <v/>
      </c>
      <c r="Q34" s="20"/>
      <c r="R34" s="20"/>
      <c r="S34" s="29" t="str">
        <f>IF(B34="","",SUMIFS(Ventes!$G$6:$G$505,Ventes!$F$6:$F$505,B34,Ventes!$M$6:$M$505,"Livrée et payée"))</f>
        <v/>
      </c>
      <c r="T34" s="29" t="str">
        <f t="shared" si="6"/>
        <v/>
      </c>
      <c r="U34" s="20"/>
      <c r="V34" s="28" t="str">
        <f t="shared" si="7"/>
        <v/>
      </c>
    </row>
    <row r="35" spans="1:22" x14ac:dyDescent="0.25">
      <c r="A35" s="18"/>
      <c r="B35" s="18"/>
      <c r="C35" s="18"/>
      <c r="D35" s="18"/>
      <c r="E35" s="19"/>
      <c r="F35" s="19"/>
      <c r="G35" s="19"/>
      <c r="H35" s="19"/>
      <c r="I35" s="19"/>
      <c r="J35" s="25" t="str">
        <f t="shared" si="0"/>
        <v/>
      </c>
      <c r="K35" s="25" t="str">
        <f t="shared" si="1"/>
        <v/>
      </c>
      <c r="L35" s="26" t="str">
        <f t="shared" si="2"/>
        <v/>
      </c>
      <c r="M35" s="27" t="str">
        <f t="shared" si="3"/>
        <v/>
      </c>
      <c r="N35" s="25" t="str">
        <f t="shared" si="4"/>
        <v/>
      </c>
      <c r="O35" s="25" t="str">
        <f>IF(I35="","",MAX(0,K35*Paramètres!$B$11))</f>
        <v/>
      </c>
      <c r="P35" s="28" t="str">
        <f t="shared" si="5"/>
        <v/>
      </c>
      <c r="Q35" s="20"/>
      <c r="R35" s="20"/>
      <c r="S35" s="29" t="str">
        <f>IF(B35="","",SUMIFS(Ventes!$G$6:$G$505,Ventes!$F$6:$F$505,B35,Ventes!$M$6:$M$505,"Livrée et payée"))</f>
        <v/>
      </c>
      <c r="T35" s="29" t="str">
        <f t="shared" si="6"/>
        <v/>
      </c>
      <c r="U35" s="20"/>
      <c r="V35" s="28" t="str">
        <f t="shared" si="7"/>
        <v/>
      </c>
    </row>
    <row r="36" spans="1:22" x14ac:dyDescent="0.25">
      <c r="A36" s="18"/>
      <c r="B36" s="18"/>
      <c r="C36" s="18"/>
      <c r="D36" s="18"/>
      <c r="E36" s="19"/>
      <c r="F36" s="19"/>
      <c r="G36" s="19"/>
      <c r="H36" s="19"/>
      <c r="I36" s="19"/>
      <c r="J36" s="25" t="str">
        <f t="shared" si="0"/>
        <v/>
      </c>
      <c r="K36" s="25" t="str">
        <f t="shared" si="1"/>
        <v/>
      </c>
      <c r="L36" s="26" t="str">
        <f t="shared" si="2"/>
        <v/>
      </c>
      <c r="M36" s="27" t="str">
        <f t="shared" si="3"/>
        <v/>
      </c>
      <c r="N36" s="25" t="str">
        <f t="shared" si="4"/>
        <v/>
      </c>
      <c r="O36" s="25" t="str">
        <f>IF(I36="","",MAX(0,K36*Paramètres!$B$11))</f>
        <v/>
      </c>
      <c r="P36" s="28" t="str">
        <f t="shared" si="5"/>
        <v/>
      </c>
      <c r="Q36" s="20"/>
      <c r="R36" s="20"/>
      <c r="S36" s="29" t="str">
        <f>IF(B36="","",SUMIFS(Ventes!$G$6:$G$505,Ventes!$F$6:$F$505,B36,Ventes!$M$6:$M$505,"Livrée et payée"))</f>
        <v/>
      </c>
      <c r="T36" s="29" t="str">
        <f t="shared" si="6"/>
        <v/>
      </c>
      <c r="U36" s="20"/>
      <c r="V36" s="28" t="str">
        <f t="shared" si="7"/>
        <v/>
      </c>
    </row>
    <row r="37" spans="1:22" x14ac:dyDescent="0.25">
      <c r="A37" s="18"/>
      <c r="B37" s="18"/>
      <c r="C37" s="18"/>
      <c r="D37" s="18"/>
      <c r="E37" s="19"/>
      <c r="F37" s="19"/>
      <c r="G37" s="19"/>
      <c r="H37" s="19"/>
      <c r="I37" s="19"/>
      <c r="J37" s="25" t="str">
        <f t="shared" si="0"/>
        <v/>
      </c>
      <c r="K37" s="25" t="str">
        <f t="shared" si="1"/>
        <v/>
      </c>
      <c r="L37" s="26" t="str">
        <f t="shared" si="2"/>
        <v/>
      </c>
      <c r="M37" s="27" t="str">
        <f t="shared" si="3"/>
        <v/>
      </c>
      <c r="N37" s="25" t="str">
        <f t="shared" si="4"/>
        <v/>
      </c>
      <c r="O37" s="25" t="str">
        <f>IF(I37="","",MAX(0,K37*Paramètres!$B$11))</f>
        <v/>
      </c>
      <c r="P37" s="28" t="str">
        <f t="shared" si="5"/>
        <v/>
      </c>
      <c r="Q37" s="20"/>
      <c r="R37" s="20"/>
      <c r="S37" s="29" t="str">
        <f>IF(B37="","",SUMIFS(Ventes!$G$6:$G$505,Ventes!$F$6:$F$505,B37,Ventes!$M$6:$M$505,"Livrée et payée"))</f>
        <v/>
      </c>
      <c r="T37" s="29" t="str">
        <f t="shared" si="6"/>
        <v/>
      </c>
      <c r="U37" s="20"/>
      <c r="V37" s="28" t="str">
        <f t="shared" si="7"/>
        <v/>
      </c>
    </row>
    <row r="38" spans="1:22" x14ac:dyDescent="0.25">
      <c r="A38" s="18"/>
      <c r="B38" s="18"/>
      <c r="C38" s="18"/>
      <c r="D38" s="18"/>
      <c r="E38" s="19"/>
      <c r="F38" s="19"/>
      <c r="G38" s="19"/>
      <c r="H38" s="19"/>
      <c r="I38" s="19"/>
      <c r="J38" s="25" t="str">
        <f t="shared" ref="J38:J69" si="8">IF(I38="","",N(E38)+N(F38)+N(G38)+N(H38))</f>
        <v/>
      </c>
      <c r="K38" s="25" t="str">
        <f t="shared" ref="K38:K69" si="9">IF(I38="","",I38-J38)</f>
        <v/>
      </c>
      <c r="L38" s="26" t="str">
        <f t="shared" ref="L38:L69" si="10">IF(OR(I38="",N(I38)=0),"",K38/I38)</f>
        <v/>
      </c>
      <c r="M38" s="27" t="str">
        <f t="shared" ref="M38:M55" si="11">IF(OR(I38="",N(E38)=0),"",I38/E38)</f>
        <v/>
      </c>
      <c r="N38" s="25" t="str">
        <f t="shared" ref="N38:N55" si="12">IF(I38="","",MAX(0,K38))</f>
        <v/>
      </c>
      <c r="O38" s="25" t="str">
        <f>IF(I38="","",MAX(0,K38*Paramètres!$B$11))</f>
        <v/>
      </c>
      <c r="P38" s="28" t="str">
        <f t="shared" ref="P38:P55" si="13">IF(I38="","",IF(K38&lt;=0,"Vente à perte",IF(AND(M38&lt;&gt;"",M38&lt;2),"Marge faible (&lt; x2)","Marge saine")))</f>
        <v/>
      </c>
      <c r="Q38" s="20"/>
      <c r="R38" s="20"/>
      <c r="S38" s="29" t="str">
        <f>IF(B38="","",SUMIFS(Ventes!$G$6:$G$505,Ventes!$F$6:$F$505,B38,Ventes!$M$6:$M$505,"Livrée et payée"))</f>
        <v/>
      </c>
      <c r="T38" s="29" t="str">
        <f t="shared" ref="T38:T69" si="14">IF(OR(B38="",C38="Service"),"",N(Q38)+N(R38)-N(S38))</f>
        <v/>
      </c>
      <c r="U38" s="20"/>
      <c r="V38" s="28" t="str">
        <f t="shared" ref="V38:V69" si="15">IF(OR(B38="",C38="Service",Q38=""),"",IF(T38&lt;=N(U38),"Réapprovisionner","OK"))</f>
        <v/>
      </c>
    </row>
    <row r="39" spans="1:22" x14ac:dyDescent="0.25">
      <c r="A39" s="18"/>
      <c r="B39" s="18"/>
      <c r="C39" s="18"/>
      <c r="D39" s="18"/>
      <c r="E39" s="19"/>
      <c r="F39" s="19"/>
      <c r="G39" s="19"/>
      <c r="H39" s="19"/>
      <c r="I39" s="19"/>
      <c r="J39" s="25" t="str">
        <f t="shared" si="8"/>
        <v/>
      </c>
      <c r="K39" s="25" t="str">
        <f t="shared" si="9"/>
        <v/>
      </c>
      <c r="L39" s="26" t="str">
        <f t="shared" si="10"/>
        <v/>
      </c>
      <c r="M39" s="27" t="str">
        <f t="shared" si="11"/>
        <v/>
      </c>
      <c r="N39" s="25" t="str">
        <f t="shared" si="12"/>
        <v/>
      </c>
      <c r="O39" s="25" t="str">
        <f>IF(I39="","",MAX(0,K39*Paramètres!$B$11))</f>
        <v/>
      </c>
      <c r="P39" s="28" t="str">
        <f t="shared" si="13"/>
        <v/>
      </c>
      <c r="Q39" s="20"/>
      <c r="R39" s="20"/>
      <c r="S39" s="29" t="str">
        <f>IF(B39="","",SUMIFS(Ventes!$G$6:$G$505,Ventes!$F$6:$F$505,B39,Ventes!$M$6:$M$505,"Livrée et payée"))</f>
        <v/>
      </c>
      <c r="T39" s="29" t="str">
        <f t="shared" si="14"/>
        <v/>
      </c>
      <c r="U39" s="20"/>
      <c r="V39" s="28" t="str">
        <f t="shared" si="15"/>
        <v/>
      </c>
    </row>
    <row r="40" spans="1:22" x14ac:dyDescent="0.25">
      <c r="A40" s="18"/>
      <c r="B40" s="18"/>
      <c r="C40" s="18"/>
      <c r="D40" s="18"/>
      <c r="E40" s="19"/>
      <c r="F40" s="19"/>
      <c r="G40" s="19"/>
      <c r="H40" s="19"/>
      <c r="I40" s="19"/>
      <c r="J40" s="25" t="str">
        <f t="shared" si="8"/>
        <v/>
      </c>
      <c r="K40" s="25" t="str">
        <f t="shared" si="9"/>
        <v/>
      </c>
      <c r="L40" s="26" t="str">
        <f t="shared" si="10"/>
        <v/>
      </c>
      <c r="M40" s="27" t="str">
        <f t="shared" si="11"/>
        <v/>
      </c>
      <c r="N40" s="25" t="str">
        <f t="shared" si="12"/>
        <v/>
      </c>
      <c r="O40" s="25" t="str">
        <f>IF(I40="","",MAX(0,K40*Paramètres!$B$11))</f>
        <v/>
      </c>
      <c r="P40" s="28" t="str">
        <f t="shared" si="13"/>
        <v/>
      </c>
      <c r="Q40" s="20"/>
      <c r="R40" s="20"/>
      <c r="S40" s="29" t="str">
        <f>IF(B40="","",SUMIFS(Ventes!$G$6:$G$505,Ventes!$F$6:$F$505,B40,Ventes!$M$6:$M$505,"Livrée et payée"))</f>
        <v/>
      </c>
      <c r="T40" s="29" t="str">
        <f t="shared" si="14"/>
        <v/>
      </c>
      <c r="U40" s="20"/>
      <c r="V40" s="28" t="str">
        <f t="shared" si="15"/>
        <v/>
      </c>
    </row>
    <row r="41" spans="1:22" x14ac:dyDescent="0.25">
      <c r="A41" s="18"/>
      <c r="B41" s="18"/>
      <c r="C41" s="18"/>
      <c r="D41" s="18"/>
      <c r="E41" s="19"/>
      <c r="F41" s="19"/>
      <c r="G41" s="19"/>
      <c r="H41" s="19"/>
      <c r="I41" s="19"/>
      <c r="J41" s="25" t="str">
        <f t="shared" si="8"/>
        <v/>
      </c>
      <c r="K41" s="25" t="str">
        <f t="shared" si="9"/>
        <v/>
      </c>
      <c r="L41" s="26" t="str">
        <f t="shared" si="10"/>
        <v/>
      </c>
      <c r="M41" s="27" t="str">
        <f t="shared" si="11"/>
        <v/>
      </c>
      <c r="N41" s="25" t="str">
        <f t="shared" si="12"/>
        <v/>
      </c>
      <c r="O41" s="25" t="str">
        <f>IF(I41="","",MAX(0,K41*Paramètres!$B$11))</f>
        <v/>
      </c>
      <c r="P41" s="28" t="str">
        <f t="shared" si="13"/>
        <v/>
      </c>
      <c r="Q41" s="20"/>
      <c r="R41" s="20"/>
      <c r="S41" s="29" t="str">
        <f>IF(B41="","",SUMIFS(Ventes!$G$6:$G$505,Ventes!$F$6:$F$505,B41,Ventes!$M$6:$M$505,"Livrée et payée"))</f>
        <v/>
      </c>
      <c r="T41" s="29" t="str">
        <f t="shared" si="14"/>
        <v/>
      </c>
      <c r="U41" s="20"/>
      <c r="V41" s="28" t="str">
        <f t="shared" si="15"/>
        <v/>
      </c>
    </row>
    <row r="42" spans="1:22" x14ac:dyDescent="0.25">
      <c r="A42" s="18"/>
      <c r="B42" s="18"/>
      <c r="C42" s="18"/>
      <c r="D42" s="18"/>
      <c r="E42" s="19"/>
      <c r="F42" s="19"/>
      <c r="G42" s="19"/>
      <c r="H42" s="19"/>
      <c r="I42" s="19"/>
      <c r="J42" s="25" t="str">
        <f t="shared" si="8"/>
        <v/>
      </c>
      <c r="K42" s="25" t="str">
        <f t="shared" si="9"/>
        <v/>
      </c>
      <c r="L42" s="26" t="str">
        <f t="shared" si="10"/>
        <v/>
      </c>
      <c r="M42" s="27" t="str">
        <f t="shared" si="11"/>
        <v/>
      </c>
      <c r="N42" s="25" t="str">
        <f t="shared" si="12"/>
        <v/>
      </c>
      <c r="O42" s="25" t="str">
        <f>IF(I42="","",MAX(0,K42*Paramètres!$B$11))</f>
        <v/>
      </c>
      <c r="P42" s="28" t="str">
        <f t="shared" si="13"/>
        <v/>
      </c>
      <c r="Q42" s="20"/>
      <c r="R42" s="20"/>
      <c r="S42" s="29" t="str">
        <f>IF(B42="","",SUMIFS(Ventes!$G$6:$G$505,Ventes!$F$6:$F$505,B42,Ventes!$M$6:$M$505,"Livrée et payée"))</f>
        <v/>
      </c>
      <c r="T42" s="29" t="str">
        <f t="shared" si="14"/>
        <v/>
      </c>
      <c r="U42" s="20"/>
      <c r="V42" s="28" t="str">
        <f t="shared" si="15"/>
        <v/>
      </c>
    </row>
    <row r="43" spans="1:22" x14ac:dyDescent="0.25">
      <c r="A43" s="18"/>
      <c r="B43" s="18"/>
      <c r="C43" s="18"/>
      <c r="D43" s="18"/>
      <c r="E43" s="19"/>
      <c r="F43" s="19"/>
      <c r="G43" s="19"/>
      <c r="H43" s="19"/>
      <c r="I43" s="19"/>
      <c r="J43" s="25" t="str">
        <f t="shared" si="8"/>
        <v/>
      </c>
      <c r="K43" s="25" t="str">
        <f t="shared" si="9"/>
        <v/>
      </c>
      <c r="L43" s="26" t="str">
        <f t="shared" si="10"/>
        <v/>
      </c>
      <c r="M43" s="27" t="str">
        <f t="shared" si="11"/>
        <v/>
      </c>
      <c r="N43" s="25" t="str">
        <f t="shared" si="12"/>
        <v/>
      </c>
      <c r="O43" s="25" t="str">
        <f>IF(I43="","",MAX(0,K43*Paramètres!$B$11))</f>
        <v/>
      </c>
      <c r="P43" s="28" t="str">
        <f t="shared" si="13"/>
        <v/>
      </c>
      <c r="Q43" s="20"/>
      <c r="R43" s="20"/>
      <c r="S43" s="29" t="str">
        <f>IF(B43="","",SUMIFS(Ventes!$G$6:$G$505,Ventes!$F$6:$F$505,B43,Ventes!$M$6:$M$505,"Livrée et payée"))</f>
        <v/>
      </c>
      <c r="T43" s="29" t="str">
        <f t="shared" si="14"/>
        <v/>
      </c>
      <c r="U43" s="20"/>
      <c r="V43" s="28" t="str">
        <f t="shared" si="15"/>
        <v/>
      </c>
    </row>
    <row r="44" spans="1:22" x14ac:dyDescent="0.25">
      <c r="A44" s="18"/>
      <c r="B44" s="18"/>
      <c r="C44" s="18"/>
      <c r="D44" s="18"/>
      <c r="E44" s="19"/>
      <c r="F44" s="19"/>
      <c r="G44" s="19"/>
      <c r="H44" s="19"/>
      <c r="I44" s="19"/>
      <c r="J44" s="25" t="str">
        <f t="shared" si="8"/>
        <v/>
      </c>
      <c r="K44" s="25" t="str">
        <f t="shared" si="9"/>
        <v/>
      </c>
      <c r="L44" s="26" t="str">
        <f t="shared" si="10"/>
        <v/>
      </c>
      <c r="M44" s="27" t="str">
        <f t="shared" si="11"/>
        <v/>
      </c>
      <c r="N44" s="25" t="str">
        <f t="shared" si="12"/>
        <v/>
      </c>
      <c r="O44" s="25" t="str">
        <f>IF(I44="","",MAX(0,K44*Paramètres!$B$11))</f>
        <v/>
      </c>
      <c r="P44" s="28" t="str">
        <f t="shared" si="13"/>
        <v/>
      </c>
      <c r="Q44" s="20"/>
      <c r="R44" s="20"/>
      <c r="S44" s="29" t="str">
        <f>IF(B44="","",SUMIFS(Ventes!$G$6:$G$505,Ventes!$F$6:$F$505,B44,Ventes!$M$6:$M$505,"Livrée et payée"))</f>
        <v/>
      </c>
      <c r="T44" s="29" t="str">
        <f t="shared" si="14"/>
        <v/>
      </c>
      <c r="U44" s="20"/>
      <c r="V44" s="28" t="str">
        <f t="shared" si="15"/>
        <v/>
      </c>
    </row>
    <row r="45" spans="1:22" x14ac:dyDescent="0.25">
      <c r="A45" s="18"/>
      <c r="B45" s="18"/>
      <c r="C45" s="18"/>
      <c r="D45" s="18"/>
      <c r="E45" s="19"/>
      <c r="F45" s="19"/>
      <c r="G45" s="19"/>
      <c r="H45" s="19"/>
      <c r="I45" s="19"/>
      <c r="J45" s="25" t="str">
        <f t="shared" si="8"/>
        <v/>
      </c>
      <c r="K45" s="25" t="str">
        <f t="shared" si="9"/>
        <v/>
      </c>
      <c r="L45" s="26" t="str">
        <f t="shared" si="10"/>
        <v/>
      </c>
      <c r="M45" s="27" t="str">
        <f t="shared" si="11"/>
        <v/>
      </c>
      <c r="N45" s="25" t="str">
        <f t="shared" si="12"/>
        <v/>
      </c>
      <c r="O45" s="25" t="str">
        <f>IF(I45="","",MAX(0,K45*Paramètres!$B$11))</f>
        <v/>
      </c>
      <c r="P45" s="28" t="str">
        <f t="shared" si="13"/>
        <v/>
      </c>
      <c r="Q45" s="20"/>
      <c r="R45" s="20"/>
      <c r="S45" s="29" t="str">
        <f>IF(B45="","",SUMIFS(Ventes!$G$6:$G$505,Ventes!$F$6:$F$505,B45,Ventes!$M$6:$M$505,"Livrée et payée"))</f>
        <v/>
      </c>
      <c r="T45" s="29" t="str">
        <f t="shared" si="14"/>
        <v/>
      </c>
      <c r="U45" s="20"/>
      <c r="V45" s="28" t="str">
        <f t="shared" si="15"/>
        <v/>
      </c>
    </row>
    <row r="46" spans="1:22" x14ac:dyDescent="0.25">
      <c r="A46" s="18"/>
      <c r="B46" s="18"/>
      <c r="C46" s="18"/>
      <c r="D46" s="18"/>
      <c r="E46" s="19"/>
      <c r="F46" s="19"/>
      <c r="G46" s="19"/>
      <c r="H46" s="19"/>
      <c r="I46" s="19"/>
      <c r="J46" s="25" t="str">
        <f t="shared" si="8"/>
        <v/>
      </c>
      <c r="K46" s="25" t="str">
        <f t="shared" si="9"/>
        <v/>
      </c>
      <c r="L46" s="26" t="str">
        <f t="shared" si="10"/>
        <v/>
      </c>
      <c r="M46" s="27" t="str">
        <f t="shared" si="11"/>
        <v/>
      </c>
      <c r="N46" s="25" t="str">
        <f t="shared" si="12"/>
        <v/>
      </c>
      <c r="O46" s="25" t="str">
        <f>IF(I46="","",MAX(0,K46*Paramètres!$B$11))</f>
        <v/>
      </c>
      <c r="P46" s="28" t="str">
        <f t="shared" si="13"/>
        <v/>
      </c>
      <c r="Q46" s="20"/>
      <c r="R46" s="20"/>
      <c r="S46" s="29" t="str">
        <f>IF(B46="","",SUMIFS(Ventes!$G$6:$G$505,Ventes!$F$6:$F$505,B46,Ventes!$M$6:$M$505,"Livrée et payée"))</f>
        <v/>
      </c>
      <c r="T46" s="29" t="str">
        <f t="shared" si="14"/>
        <v/>
      </c>
      <c r="U46" s="20"/>
      <c r="V46" s="28" t="str">
        <f t="shared" si="15"/>
        <v/>
      </c>
    </row>
    <row r="47" spans="1:22" x14ac:dyDescent="0.25">
      <c r="A47" s="18"/>
      <c r="B47" s="18"/>
      <c r="C47" s="18"/>
      <c r="D47" s="18"/>
      <c r="E47" s="19"/>
      <c r="F47" s="19"/>
      <c r="G47" s="19"/>
      <c r="H47" s="19"/>
      <c r="I47" s="19"/>
      <c r="J47" s="25" t="str">
        <f t="shared" si="8"/>
        <v/>
      </c>
      <c r="K47" s="25" t="str">
        <f t="shared" si="9"/>
        <v/>
      </c>
      <c r="L47" s="26" t="str">
        <f t="shared" si="10"/>
        <v/>
      </c>
      <c r="M47" s="27" t="str">
        <f t="shared" si="11"/>
        <v/>
      </c>
      <c r="N47" s="25" t="str">
        <f t="shared" si="12"/>
        <v/>
      </c>
      <c r="O47" s="25" t="str">
        <f>IF(I47="","",MAX(0,K47*Paramètres!$B$11))</f>
        <v/>
      </c>
      <c r="P47" s="28" t="str">
        <f t="shared" si="13"/>
        <v/>
      </c>
      <c r="Q47" s="20"/>
      <c r="R47" s="20"/>
      <c r="S47" s="29" t="str">
        <f>IF(B47="","",SUMIFS(Ventes!$G$6:$G$505,Ventes!$F$6:$F$505,B47,Ventes!$M$6:$M$505,"Livrée et payée"))</f>
        <v/>
      </c>
      <c r="T47" s="29" t="str">
        <f t="shared" si="14"/>
        <v/>
      </c>
      <c r="U47" s="20"/>
      <c r="V47" s="28" t="str">
        <f t="shared" si="15"/>
        <v/>
      </c>
    </row>
    <row r="48" spans="1:22" x14ac:dyDescent="0.25">
      <c r="A48" s="18"/>
      <c r="B48" s="18"/>
      <c r="C48" s="18"/>
      <c r="D48" s="18"/>
      <c r="E48" s="19"/>
      <c r="F48" s="19"/>
      <c r="G48" s="19"/>
      <c r="H48" s="19"/>
      <c r="I48" s="19"/>
      <c r="J48" s="25" t="str">
        <f t="shared" si="8"/>
        <v/>
      </c>
      <c r="K48" s="25" t="str">
        <f t="shared" si="9"/>
        <v/>
      </c>
      <c r="L48" s="26" t="str">
        <f t="shared" si="10"/>
        <v/>
      </c>
      <c r="M48" s="27" t="str">
        <f t="shared" si="11"/>
        <v/>
      </c>
      <c r="N48" s="25" t="str">
        <f t="shared" si="12"/>
        <v/>
      </c>
      <c r="O48" s="25" t="str">
        <f>IF(I48="","",MAX(0,K48*Paramètres!$B$11))</f>
        <v/>
      </c>
      <c r="P48" s="28" t="str">
        <f t="shared" si="13"/>
        <v/>
      </c>
      <c r="Q48" s="20"/>
      <c r="R48" s="20"/>
      <c r="S48" s="29" t="str">
        <f>IF(B48="","",SUMIFS(Ventes!$G$6:$G$505,Ventes!$F$6:$F$505,B48,Ventes!$M$6:$M$505,"Livrée et payée"))</f>
        <v/>
      </c>
      <c r="T48" s="29" t="str">
        <f t="shared" si="14"/>
        <v/>
      </c>
      <c r="U48" s="20"/>
      <c r="V48" s="28" t="str">
        <f t="shared" si="15"/>
        <v/>
      </c>
    </row>
    <row r="49" spans="1:22" x14ac:dyDescent="0.25">
      <c r="A49" s="18"/>
      <c r="B49" s="18"/>
      <c r="C49" s="18"/>
      <c r="D49" s="18"/>
      <c r="E49" s="19"/>
      <c r="F49" s="19"/>
      <c r="G49" s="19"/>
      <c r="H49" s="19"/>
      <c r="I49" s="19"/>
      <c r="J49" s="25" t="str">
        <f t="shared" si="8"/>
        <v/>
      </c>
      <c r="K49" s="25" t="str">
        <f t="shared" si="9"/>
        <v/>
      </c>
      <c r="L49" s="26" t="str">
        <f t="shared" si="10"/>
        <v/>
      </c>
      <c r="M49" s="27" t="str">
        <f t="shared" si="11"/>
        <v/>
      </c>
      <c r="N49" s="25" t="str">
        <f t="shared" si="12"/>
        <v/>
      </c>
      <c r="O49" s="25" t="str">
        <f>IF(I49="","",MAX(0,K49*Paramètres!$B$11))</f>
        <v/>
      </c>
      <c r="P49" s="28" t="str">
        <f t="shared" si="13"/>
        <v/>
      </c>
      <c r="Q49" s="20"/>
      <c r="R49" s="20"/>
      <c r="S49" s="29" t="str">
        <f>IF(B49="","",SUMIFS(Ventes!$G$6:$G$505,Ventes!$F$6:$F$505,B49,Ventes!$M$6:$M$505,"Livrée et payée"))</f>
        <v/>
      </c>
      <c r="T49" s="29" t="str">
        <f t="shared" si="14"/>
        <v/>
      </c>
      <c r="U49" s="20"/>
      <c r="V49" s="28" t="str">
        <f t="shared" si="15"/>
        <v/>
      </c>
    </row>
    <row r="50" spans="1:22" x14ac:dyDescent="0.25">
      <c r="A50" s="18"/>
      <c r="B50" s="18"/>
      <c r="C50" s="18"/>
      <c r="D50" s="18"/>
      <c r="E50" s="19"/>
      <c r="F50" s="19"/>
      <c r="G50" s="19"/>
      <c r="H50" s="19"/>
      <c r="I50" s="19"/>
      <c r="J50" s="25" t="str">
        <f t="shared" si="8"/>
        <v/>
      </c>
      <c r="K50" s="25" t="str">
        <f t="shared" si="9"/>
        <v/>
      </c>
      <c r="L50" s="26" t="str">
        <f t="shared" si="10"/>
        <v/>
      </c>
      <c r="M50" s="27" t="str">
        <f t="shared" si="11"/>
        <v/>
      </c>
      <c r="N50" s="25" t="str">
        <f t="shared" si="12"/>
        <v/>
      </c>
      <c r="O50" s="25" t="str">
        <f>IF(I50="","",MAX(0,K50*Paramètres!$B$11))</f>
        <v/>
      </c>
      <c r="P50" s="28" t="str">
        <f t="shared" si="13"/>
        <v/>
      </c>
      <c r="Q50" s="20"/>
      <c r="R50" s="20"/>
      <c r="S50" s="29" t="str">
        <f>IF(B50="","",SUMIFS(Ventes!$G$6:$G$505,Ventes!$F$6:$F$505,B50,Ventes!$M$6:$M$505,"Livrée et payée"))</f>
        <v/>
      </c>
      <c r="T50" s="29" t="str">
        <f t="shared" si="14"/>
        <v/>
      </c>
      <c r="U50" s="20"/>
      <c r="V50" s="28" t="str">
        <f t="shared" si="15"/>
        <v/>
      </c>
    </row>
    <row r="51" spans="1:22" x14ac:dyDescent="0.25">
      <c r="A51" s="18"/>
      <c r="B51" s="18"/>
      <c r="C51" s="18"/>
      <c r="D51" s="18"/>
      <c r="E51" s="19"/>
      <c r="F51" s="19"/>
      <c r="G51" s="19"/>
      <c r="H51" s="19"/>
      <c r="I51" s="19"/>
      <c r="J51" s="25" t="str">
        <f t="shared" si="8"/>
        <v/>
      </c>
      <c r="K51" s="25" t="str">
        <f t="shared" si="9"/>
        <v/>
      </c>
      <c r="L51" s="26" t="str">
        <f t="shared" si="10"/>
        <v/>
      </c>
      <c r="M51" s="27" t="str">
        <f t="shared" si="11"/>
        <v/>
      </c>
      <c r="N51" s="25" t="str">
        <f t="shared" si="12"/>
        <v/>
      </c>
      <c r="O51" s="25" t="str">
        <f>IF(I51="","",MAX(0,K51*Paramètres!$B$11))</f>
        <v/>
      </c>
      <c r="P51" s="28" t="str">
        <f t="shared" si="13"/>
        <v/>
      </c>
      <c r="Q51" s="20"/>
      <c r="R51" s="20"/>
      <c r="S51" s="29" t="str">
        <f>IF(B51="","",SUMIFS(Ventes!$G$6:$G$505,Ventes!$F$6:$F$505,B51,Ventes!$M$6:$M$505,"Livrée et payée"))</f>
        <v/>
      </c>
      <c r="T51" s="29" t="str">
        <f t="shared" si="14"/>
        <v/>
      </c>
      <c r="U51" s="20"/>
      <c r="V51" s="28" t="str">
        <f t="shared" si="15"/>
        <v/>
      </c>
    </row>
    <row r="52" spans="1:22" x14ac:dyDescent="0.25">
      <c r="A52" s="18"/>
      <c r="B52" s="18"/>
      <c r="C52" s="18"/>
      <c r="D52" s="18"/>
      <c r="E52" s="19"/>
      <c r="F52" s="19"/>
      <c r="G52" s="19"/>
      <c r="H52" s="19"/>
      <c r="I52" s="19"/>
      <c r="J52" s="25" t="str">
        <f t="shared" si="8"/>
        <v/>
      </c>
      <c r="K52" s="25" t="str">
        <f t="shared" si="9"/>
        <v/>
      </c>
      <c r="L52" s="26" t="str">
        <f t="shared" si="10"/>
        <v/>
      </c>
      <c r="M52" s="27" t="str">
        <f t="shared" si="11"/>
        <v/>
      </c>
      <c r="N52" s="25" t="str">
        <f t="shared" si="12"/>
        <v/>
      </c>
      <c r="O52" s="25" t="str">
        <f>IF(I52="","",MAX(0,K52*Paramètres!$B$11))</f>
        <v/>
      </c>
      <c r="P52" s="28" t="str">
        <f t="shared" si="13"/>
        <v/>
      </c>
      <c r="Q52" s="20"/>
      <c r="R52" s="20"/>
      <c r="S52" s="29" t="str">
        <f>IF(B52="","",SUMIFS(Ventes!$G$6:$G$505,Ventes!$F$6:$F$505,B52,Ventes!$M$6:$M$505,"Livrée et payée"))</f>
        <v/>
      </c>
      <c r="T52" s="29" t="str">
        <f t="shared" si="14"/>
        <v/>
      </c>
      <c r="U52" s="20"/>
      <c r="V52" s="28" t="str">
        <f t="shared" si="15"/>
        <v/>
      </c>
    </row>
    <row r="53" spans="1:22" x14ac:dyDescent="0.25">
      <c r="A53" s="18"/>
      <c r="B53" s="18"/>
      <c r="C53" s="18"/>
      <c r="D53" s="18"/>
      <c r="E53" s="19"/>
      <c r="F53" s="19"/>
      <c r="G53" s="19"/>
      <c r="H53" s="19"/>
      <c r="I53" s="19"/>
      <c r="J53" s="25" t="str">
        <f t="shared" si="8"/>
        <v/>
      </c>
      <c r="K53" s="25" t="str">
        <f t="shared" si="9"/>
        <v/>
      </c>
      <c r="L53" s="26" t="str">
        <f t="shared" si="10"/>
        <v/>
      </c>
      <c r="M53" s="27" t="str">
        <f t="shared" si="11"/>
        <v/>
      </c>
      <c r="N53" s="25" t="str">
        <f t="shared" si="12"/>
        <v/>
      </c>
      <c r="O53" s="25" t="str">
        <f>IF(I53="","",MAX(0,K53*Paramètres!$B$11))</f>
        <v/>
      </c>
      <c r="P53" s="28" t="str">
        <f t="shared" si="13"/>
        <v/>
      </c>
      <c r="Q53" s="20"/>
      <c r="R53" s="20"/>
      <c r="S53" s="29" t="str">
        <f>IF(B53="","",SUMIFS(Ventes!$G$6:$G$505,Ventes!$F$6:$F$505,B53,Ventes!$M$6:$M$505,"Livrée et payée"))</f>
        <v/>
      </c>
      <c r="T53" s="29" t="str">
        <f t="shared" si="14"/>
        <v/>
      </c>
      <c r="U53" s="20"/>
      <c r="V53" s="28" t="str">
        <f t="shared" si="15"/>
        <v/>
      </c>
    </row>
    <row r="54" spans="1:22" x14ac:dyDescent="0.25">
      <c r="A54" s="18"/>
      <c r="B54" s="18"/>
      <c r="C54" s="18"/>
      <c r="D54" s="18"/>
      <c r="E54" s="19"/>
      <c r="F54" s="19"/>
      <c r="G54" s="19"/>
      <c r="H54" s="19"/>
      <c r="I54" s="19"/>
      <c r="J54" s="25" t="str">
        <f t="shared" si="8"/>
        <v/>
      </c>
      <c r="K54" s="25" t="str">
        <f t="shared" si="9"/>
        <v/>
      </c>
      <c r="L54" s="26" t="str">
        <f t="shared" si="10"/>
        <v/>
      </c>
      <c r="M54" s="27" t="str">
        <f t="shared" si="11"/>
        <v/>
      </c>
      <c r="N54" s="25" t="str">
        <f t="shared" si="12"/>
        <v/>
      </c>
      <c r="O54" s="25" t="str">
        <f>IF(I54="","",MAX(0,K54*Paramètres!$B$11))</f>
        <v/>
      </c>
      <c r="P54" s="28" t="str">
        <f t="shared" si="13"/>
        <v/>
      </c>
      <c r="Q54" s="20"/>
      <c r="R54" s="20"/>
      <c r="S54" s="29" t="str">
        <f>IF(B54="","",SUMIFS(Ventes!$G$6:$G$505,Ventes!$F$6:$F$505,B54,Ventes!$M$6:$M$505,"Livrée et payée"))</f>
        <v/>
      </c>
      <c r="T54" s="29" t="str">
        <f t="shared" si="14"/>
        <v/>
      </c>
      <c r="U54" s="20"/>
      <c r="V54" s="28" t="str">
        <f t="shared" si="15"/>
        <v/>
      </c>
    </row>
    <row r="55" spans="1:22" x14ac:dyDescent="0.25">
      <c r="A55" s="18"/>
      <c r="B55" s="18"/>
      <c r="C55" s="18"/>
      <c r="D55" s="18"/>
      <c r="E55" s="19"/>
      <c r="F55" s="19"/>
      <c r="G55" s="19"/>
      <c r="H55" s="19"/>
      <c r="I55" s="19"/>
      <c r="J55" s="25" t="str">
        <f t="shared" si="8"/>
        <v/>
      </c>
      <c r="K55" s="25" t="str">
        <f t="shared" si="9"/>
        <v/>
      </c>
      <c r="L55" s="26" t="str">
        <f t="shared" si="10"/>
        <v/>
      </c>
      <c r="M55" s="27" t="str">
        <f t="shared" si="11"/>
        <v/>
      </c>
      <c r="N55" s="25" t="str">
        <f t="shared" si="12"/>
        <v/>
      </c>
      <c r="O55" s="25" t="str">
        <f>IF(I55="","",MAX(0,K55*Paramètres!$B$11))</f>
        <v/>
      </c>
      <c r="P55" s="28" t="str">
        <f t="shared" si="13"/>
        <v/>
      </c>
      <c r="Q55" s="20"/>
      <c r="R55" s="20"/>
      <c r="S55" s="29" t="str">
        <f>IF(B55="","",SUMIFS(Ventes!$G$6:$G$505,Ventes!$F$6:$F$505,B55,Ventes!$M$6:$M$505,"Livrée et payée"))</f>
        <v/>
      </c>
      <c r="T55" s="29" t="str">
        <f t="shared" si="14"/>
        <v/>
      </c>
      <c r="U55" s="20"/>
      <c r="V55" s="28" t="str">
        <f t="shared" si="15"/>
        <v/>
      </c>
    </row>
  </sheetData>
  <conditionalFormatting sqref="P6:P55">
    <cfRule type="cellIs" dxfId="40" priority="2" operator="equal">
      <formula>"Marge saine"</formula>
    </cfRule>
    <cfRule type="cellIs" dxfId="39" priority="3" operator="equal">
      <formula>"Marge faible (&lt; x2)"</formula>
    </cfRule>
    <cfRule type="cellIs" dxfId="38" priority="4" operator="equal">
      <formula>"Vente à perte"</formula>
    </cfRule>
  </conditionalFormatting>
  <conditionalFormatting sqref="V6:V55">
    <cfRule type="cellIs" dxfId="37" priority="5" operator="equal">
      <formula>"Réapprovisionner"</formula>
    </cfRule>
    <cfRule type="cellIs" dxfId="36" priority="6" operator="equal">
      <formula>"OK"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200-000000000000}">
          <x14:formula1>
            <xm:f>Paramètres!$O$6:$O$20</xm:f>
          </x14:formula1>
          <x14:formula2>
            <xm:f>0</xm:f>
          </x14:formula2>
          <xm:sqref>C6:C55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F6DB5"/>
  </sheetPr>
  <dimension ref="A1:K22"/>
  <sheetViews>
    <sheetView showGridLines="0" zoomScaleNormal="100" workbookViewId="0">
      <selection activeCell="B7" sqref="B7"/>
    </sheetView>
  </sheetViews>
  <sheetFormatPr baseColWidth="10" defaultColWidth="8.7109375" defaultRowHeight="15" x14ac:dyDescent="0.25"/>
  <cols>
    <col min="1" max="1" width="26" customWidth="1"/>
    <col min="2" max="2" width="13" customWidth="1"/>
    <col min="3" max="4" width="11" customWidth="1"/>
    <col min="5" max="6" width="13" customWidth="1"/>
    <col min="7" max="7" width="12" customWidth="1"/>
    <col min="8" max="8" width="9" customWidth="1"/>
    <col min="9" max="9" width="16" customWidth="1"/>
    <col min="10" max="10" width="13" customWidth="1"/>
    <col min="11" max="11" width="26" customWidth="1"/>
  </cols>
  <sheetData>
    <row r="1" spans="1:11" ht="20.25" x14ac:dyDescent="0.3">
      <c r="A1" s="13" t="s">
        <v>134</v>
      </c>
    </row>
    <row r="2" spans="1:11" x14ac:dyDescent="0.25">
      <c r="A2" s="3" t="s">
        <v>135</v>
      </c>
    </row>
    <row r="3" spans="1:11" x14ac:dyDescent="0.25">
      <c r="A3" s="4" t="s">
        <v>2</v>
      </c>
    </row>
    <row r="5" spans="1:11" ht="57.75" customHeight="1" x14ac:dyDescent="0.25">
      <c r="A5" s="14" t="s">
        <v>136</v>
      </c>
      <c r="B5" s="14" t="s">
        <v>137</v>
      </c>
      <c r="C5" s="14" t="s">
        <v>138</v>
      </c>
      <c r="D5" s="14" t="s">
        <v>139</v>
      </c>
      <c r="E5" s="14" t="s">
        <v>140</v>
      </c>
      <c r="F5" s="14" t="s">
        <v>141</v>
      </c>
      <c r="G5" s="14" t="s">
        <v>142</v>
      </c>
      <c r="H5" s="14" t="s">
        <v>143</v>
      </c>
      <c r="I5" s="14" t="s">
        <v>144</v>
      </c>
      <c r="J5" s="14" t="s">
        <v>145</v>
      </c>
      <c r="K5" s="14" t="s">
        <v>146</v>
      </c>
    </row>
    <row r="6" spans="1:11" x14ac:dyDescent="0.25">
      <c r="A6" s="18" t="s">
        <v>124</v>
      </c>
      <c r="B6" s="30">
        <v>2</v>
      </c>
      <c r="C6" s="30">
        <v>2</v>
      </c>
      <c r="D6" s="30">
        <v>2</v>
      </c>
      <c r="E6" s="30">
        <v>2</v>
      </c>
      <c r="F6" s="30">
        <v>1</v>
      </c>
      <c r="G6" s="30">
        <v>2</v>
      </c>
      <c r="H6" s="31">
        <f t="shared" ref="H6:H20" si="0">IF(A6="","",SUM(B6:G6))</f>
        <v>11</v>
      </c>
      <c r="I6" s="28" t="str">
        <f t="shared" ref="I6:I20" si="1">IF(A6="","",IF(H6&gt;=9,"À tester",IF(H6&gt;=7,"À retravailler","Écarter")))</f>
        <v>À tester</v>
      </c>
      <c r="J6" s="30">
        <v>12</v>
      </c>
      <c r="K6" s="28" t="str">
        <f t="shared" ref="K6:K20" si="2">IF(OR(A6="",J6=""),"",IF(J6&gt;=10,"Commander un petit stock","Changer d’angle, de photo ou de produit"))</f>
        <v>Commander un petit stock</v>
      </c>
    </row>
    <row r="7" spans="1:11" x14ac:dyDescent="0.25">
      <c r="A7" s="18" t="s">
        <v>147</v>
      </c>
      <c r="B7" s="30">
        <v>1</v>
      </c>
      <c r="C7" s="30">
        <v>1</v>
      </c>
      <c r="D7" s="30">
        <v>2</v>
      </c>
      <c r="E7" s="30">
        <v>2</v>
      </c>
      <c r="F7" s="30">
        <v>0</v>
      </c>
      <c r="G7" s="30">
        <v>0</v>
      </c>
      <c r="H7" s="31">
        <f t="shared" si="0"/>
        <v>6</v>
      </c>
      <c r="I7" s="28" t="str">
        <f t="shared" si="1"/>
        <v>Écarter</v>
      </c>
      <c r="J7" s="30">
        <v>3</v>
      </c>
      <c r="K7" s="28" t="str">
        <f t="shared" si="2"/>
        <v>Changer d’angle, de photo ou de produit</v>
      </c>
    </row>
    <row r="8" spans="1:11" x14ac:dyDescent="0.25">
      <c r="A8" s="18"/>
      <c r="B8" s="30"/>
      <c r="C8" s="30"/>
      <c r="D8" s="30"/>
      <c r="E8" s="30"/>
      <c r="F8" s="30"/>
      <c r="G8" s="30"/>
      <c r="H8" s="31" t="str">
        <f t="shared" si="0"/>
        <v/>
      </c>
      <c r="I8" s="28" t="str">
        <f t="shared" si="1"/>
        <v/>
      </c>
      <c r="J8" s="30"/>
      <c r="K8" s="28" t="str">
        <f t="shared" si="2"/>
        <v/>
      </c>
    </row>
    <row r="9" spans="1:11" x14ac:dyDescent="0.25">
      <c r="A9" s="18"/>
      <c r="B9" s="30"/>
      <c r="C9" s="30"/>
      <c r="D9" s="30"/>
      <c r="E9" s="30"/>
      <c r="F9" s="30"/>
      <c r="G9" s="30"/>
      <c r="H9" s="31" t="str">
        <f t="shared" si="0"/>
        <v/>
      </c>
      <c r="I9" s="28" t="str">
        <f t="shared" si="1"/>
        <v/>
      </c>
      <c r="J9" s="30"/>
      <c r="K9" s="28" t="str">
        <f t="shared" si="2"/>
        <v/>
      </c>
    </row>
    <row r="10" spans="1:11" x14ac:dyDescent="0.25">
      <c r="A10" s="18"/>
      <c r="B10" s="30"/>
      <c r="C10" s="30"/>
      <c r="D10" s="30"/>
      <c r="E10" s="30"/>
      <c r="F10" s="30"/>
      <c r="G10" s="30"/>
      <c r="H10" s="31" t="str">
        <f t="shared" si="0"/>
        <v/>
      </c>
      <c r="I10" s="28" t="str">
        <f t="shared" si="1"/>
        <v/>
      </c>
      <c r="J10" s="30"/>
      <c r="K10" s="28" t="str">
        <f t="shared" si="2"/>
        <v/>
      </c>
    </row>
    <row r="11" spans="1:11" x14ac:dyDescent="0.25">
      <c r="A11" s="18"/>
      <c r="B11" s="30"/>
      <c r="C11" s="30"/>
      <c r="D11" s="30"/>
      <c r="E11" s="30"/>
      <c r="F11" s="30"/>
      <c r="G11" s="30"/>
      <c r="H11" s="31" t="str">
        <f t="shared" si="0"/>
        <v/>
      </c>
      <c r="I11" s="28" t="str">
        <f t="shared" si="1"/>
        <v/>
      </c>
      <c r="J11" s="30"/>
      <c r="K11" s="28" t="str">
        <f t="shared" si="2"/>
        <v/>
      </c>
    </row>
    <row r="12" spans="1:11" x14ac:dyDescent="0.25">
      <c r="A12" s="18"/>
      <c r="B12" s="30"/>
      <c r="C12" s="30"/>
      <c r="D12" s="30"/>
      <c r="E12" s="30"/>
      <c r="F12" s="30"/>
      <c r="G12" s="30"/>
      <c r="H12" s="31" t="str">
        <f t="shared" si="0"/>
        <v/>
      </c>
      <c r="I12" s="28" t="str">
        <f t="shared" si="1"/>
        <v/>
      </c>
      <c r="J12" s="30"/>
      <c r="K12" s="28" t="str">
        <f t="shared" si="2"/>
        <v/>
      </c>
    </row>
    <row r="13" spans="1:11" x14ac:dyDescent="0.25">
      <c r="A13" s="18"/>
      <c r="B13" s="30"/>
      <c r="C13" s="30"/>
      <c r="D13" s="30"/>
      <c r="E13" s="30"/>
      <c r="F13" s="30"/>
      <c r="G13" s="30"/>
      <c r="H13" s="31" t="str">
        <f t="shared" si="0"/>
        <v/>
      </c>
      <c r="I13" s="28" t="str">
        <f t="shared" si="1"/>
        <v/>
      </c>
      <c r="J13" s="30"/>
      <c r="K13" s="28" t="str">
        <f t="shared" si="2"/>
        <v/>
      </c>
    </row>
    <row r="14" spans="1:11" x14ac:dyDescent="0.25">
      <c r="A14" s="18"/>
      <c r="B14" s="30"/>
      <c r="C14" s="30"/>
      <c r="D14" s="30"/>
      <c r="E14" s="30"/>
      <c r="F14" s="30"/>
      <c r="G14" s="30"/>
      <c r="H14" s="31" t="str">
        <f t="shared" si="0"/>
        <v/>
      </c>
      <c r="I14" s="28" t="str">
        <f t="shared" si="1"/>
        <v/>
      </c>
      <c r="J14" s="30"/>
      <c r="K14" s="28" t="str">
        <f t="shared" si="2"/>
        <v/>
      </c>
    </row>
    <row r="15" spans="1:11" x14ac:dyDescent="0.25">
      <c r="A15" s="18"/>
      <c r="B15" s="30"/>
      <c r="C15" s="30"/>
      <c r="D15" s="30"/>
      <c r="E15" s="30"/>
      <c r="F15" s="30"/>
      <c r="G15" s="30"/>
      <c r="H15" s="31" t="str">
        <f t="shared" si="0"/>
        <v/>
      </c>
      <c r="I15" s="28" t="str">
        <f t="shared" si="1"/>
        <v/>
      </c>
      <c r="J15" s="30"/>
      <c r="K15" s="28" t="str">
        <f t="shared" si="2"/>
        <v/>
      </c>
    </row>
    <row r="16" spans="1:11" x14ac:dyDescent="0.25">
      <c r="A16" s="18"/>
      <c r="B16" s="30"/>
      <c r="C16" s="30"/>
      <c r="D16" s="30"/>
      <c r="E16" s="30"/>
      <c r="F16" s="30"/>
      <c r="G16" s="30"/>
      <c r="H16" s="31" t="str">
        <f t="shared" si="0"/>
        <v/>
      </c>
      <c r="I16" s="28" t="str">
        <f t="shared" si="1"/>
        <v/>
      </c>
      <c r="J16" s="30"/>
      <c r="K16" s="28" t="str">
        <f t="shared" si="2"/>
        <v/>
      </c>
    </row>
    <row r="17" spans="1:11" x14ac:dyDescent="0.25">
      <c r="A17" s="18"/>
      <c r="B17" s="30"/>
      <c r="C17" s="30"/>
      <c r="D17" s="30"/>
      <c r="E17" s="30"/>
      <c r="F17" s="30"/>
      <c r="G17" s="30"/>
      <c r="H17" s="31" t="str">
        <f t="shared" si="0"/>
        <v/>
      </c>
      <c r="I17" s="28" t="str">
        <f t="shared" si="1"/>
        <v/>
      </c>
      <c r="J17" s="30"/>
      <c r="K17" s="28" t="str">
        <f t="shared" si="2"/>
        <v/>
      </c>
    </row>
    <row r="18" spans="1:11" x14ac:dyDescent="0.25">
      <c r="A18" s="18"/>
      <c r="B18" s="30"/>
      <c r="C18" s="30"/>
      <c r="D18" s="30"/>
      <c r="E18" s="30"/>
      <c r="F18" s="30"/>
      <c r="G18" s="30"/>
      <c r="H18" s="31" t="str">
        <f t="shared" si="0"/>
        <v/>
      </c>
      <c r="I18" s="28" t="str">
        <f t="shared" si="1"/>
        <v/>
      </c>
      <c r="J18" s="30"/>
      <c r="K18" s="28" t="str">
        <f t="shared" si="2"/>
        <v/>
      </c>
    </row>
    <row r="19" spans="1:11" x14ac:dyDescent="0.25">
      <c r="A19" s="18"/>
      <c r="B19" s="30"/>
      <c r="C19" s="30"/>
      <c r="D19" s="30"/>
      <c r="E19" s="30"/>
      <c r="F19" s="30"/>
      <c r="G19" s="30"/>
      <c r="H19" s="31" t="str">
        <f t="shared" si="0"/>
        <v/>
      </c>
      <c r="I19" s="28" t="str">
        <f t="shared" si="1"/>
        <v/>
      </c>
      <c r="J19" s="30"/>
      <c r="K19" s="28" t="str">
        <f t="shared" si="2"/>
        <v/>
      </c>
    </row>
    <row r="20" spans="1:11" x14ac:dyDescent="0.25">
      <c r="A20" s="18"/>
      <c r="B20" s="30"/>
      <c r="C20" s="30"/>
      <c r="D20" s="30"/>
      <c r="E20" s="30"/>
      <c r="F20" s="30"/>
      <c r="G20" s="30"/>
      <c r="H20" s="31" t="str">
        <f t="shared" si="0"/>
        <v/>
      </c>
      <c r="I20" s="28" t="str">
        <f t="shared" si="1"/>
        <v/>
      </c>
      <c r="J20" s="30"/>
      <c r="K20" s="28" t="str">
        <f t="shared" si="2"/>
        <v/>
      </c>
    </row>
    <row r="22" spans="1:11" x14ac:dyDescent="0.25">
      <c r="A22" s="32" t="s">
        <v>148</v>
      </c>
    </row>
  </sheetData>
  <conditionalFormatting sqref="I6:I20">
    <cfRule type="cellIs" dxfId="35" priority="2" operator="equal">
      <formula>"À tester"</formula>
    </cfRule>
    <cfRule type="cellIs" dxfId="34" priority="3" operator="equal">
      <formula>"À retravailler"</formula>
    </cfRule>
    <cfRule type="cellIs" dxfId="33" priority="4" operator="equal">
      <formula>"Écarter"</formula>
    </cfRule>
  </conditionalFormatting>
  <dataValidations count="1">
    <dataValidation type="whole" allowBlank="1" error="Note de 0 à 2" sqref="B6:G20" xr:uid="{00000000-0002-0000-0300-000000000000}">
      <formula1>0</formula1>
      <formula2>2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2F6DB5"/>
  </sheetPr>
  <dimension ref="A1:E21"/>
  <sheetViews>
    <sheetView showGridLines="0" zoomScaleNormal="100" workbookViewId="0">
      <selection activeCell="D32" sqref="D32"/>
    </sheetView>
  </sheetViews>
  <sheetFormatPr baseColWidth="10" defaultColWidth="8.7109375" defaultRowHeight="15" x14ac:dyDescent="0.25"/>
  <cols>
    <col min="1" max="1" width="46" customWidth="1"/>
    <col min="2" max="2" width="16" customWidth="1"/>
    <col min="3" max="3" width="4" customWidth="1"/>
    <col min="4" max="4" width="46" customWidth="1"/>
    <col min="5" max="5" width="16" customWidth="1"/>
  </cols>
  <sheetData>
    <row r="1" spans="1:5" ht="20.25" x14ac:dyDescent="0.3">
      <c r="A1" s="13" t="s">
        <v>149</v>
      </c>
    </row>
    <row r="2" spans="1:5" x14ac:dyDescent="0.25">
      <c r="A2" s="3" t="s">
        <v>150</v>
      </c>
    </row>
    <row r="3" spans="1:5" x14ac:dyDescent="0.25">
      <c r="A3" s="4" t="s">
        <v>2</v>
      </c>
    </row>
    <row r="5" spans="1:5" x14ac:dyDescent="0.25">
      <c r="A5" s="5" t="s">
        <v>151</v>
      </c>
      <c r="D5" s="5" t="s">
        <v>152</v>
      </c>
    </row>
    <row r="6" spans="1:5" x14ac:dyDescent="0.25">
      <c r="A6" s="33" t="s">
        <v>153</v>
      </c>
      <c r="B6" s="19">
        <v>4000</v>
      </c>
      <c r="D6" s="33" t="s">
        <v>154</v>
      </c>
      <c r="E6" s="19">
        <v>9000</v>
      </c>
    </row>
    <row r="7" spans="1:5" x14ac:dyDescent="0.25">
      <c r="A7" s="33" t="s">
        <v>106</v>
      </c>
      <c r="B7" s="19">
        <v>200</v>
      </c>
      <c r="D7" s="33" t="s">
        <v>155</v>
      </c>
      <c r="E7" s="19">
        <v>36</v>
      </c>
    </row>
    <row r="8" spans="1:5" x14ac:dyDescent="0.25">
      <c r="A8" s="33" t="s">
        <v>156</v>
      </c>
      <c r="B8" s="19">
        <v>1500</v>
      </c>
      <c r="D8" s="33" t="s">
        <v>157</v>
      </c>
      <c r="E8" s="19">
        <v>9</v>
      </c>
    </row>
    <row r="9" spans="1:5" x14ac:dyDescent="0.25">
      <c r="A9" s="33" t="s">
        <v>158</v>
      </c>
      <c r="B9" s="19">
        <v>1000</v>
      </c>
      <c r="D9" s="33" t="s">
        <v>159</v>
      </c>
      <c r="E9" s="25">
        <f>B14</f>
        <v>4200</v>
      </c>
    </row>
    <row r="10" spans="1:5" x14ac:dyDescent="0.25">
      <c r="A10" s="33" t="s">
        <v>160</v>
      </c>
      <c r="B10" s="19">
        <v>100</v>
      </c>
      <c r="D10" s="17" t="s">
        <v>161</v>
      </c>
      <c r="E10" s="34">
        <f>IF(E7=0,0,E6/E7)</f>
        <v>250</v>
      </c>
    </row>
    <row r="11" spans="1:5" x14ac:dyDescent="0.25">
      <c r="A11" s="33" t="s">
        <v>109</v>
      </c>
      <c r="B11" s="19">
        <v>10000</v>
      </c>
      <c r="D11" s="17" t="s">
        <v>162</v>
      </c>
      <c r="E11" s="35">
        <f>IF(E7=0,0,E8/E7)</f>
        <v>0.25</v>
      </c>
    </row>
    <row r="12" spans="1:5" x14ac:dyDescent="0.25">
      <c r="A12" s="17" t="s">
        <v>163</v>
      </c>
      <c r="B12" s="34">
        <f>B6+B7+B8+B9+B10</f>
        <v>6800</v>
      </c>
      <c r="D12" s="17" t="s">
        <v>164</v>
      </c>
      <c r="E12" s="34">
        <f>IF(E8=0,0,E6/E8)</f>
        <v>1000</v>
      </c>
    </row>
    <row r="13" spans="1:5" x14ac:dyDescent="0.25">
      <c r="A13" s="17" t="s">
        <v>165</v>
      </c>
      <c r="B13" s="34">
        <f>B11-B12</f>
        <v>3200</v>
      </c>
      <c r="D13" s="17" t="s">
        <v>166</v>
      </c>
      <c r="E13" s="34">
        <f>IF(E8=0,0,E9-E12)</f>
        <v>3200</v>
      </c>
    </row>
    <row r="14" spans="1:5" x14ac:dyDescent="0.25">
      <c r="A14" s="17" t="s">
        <v>167</v>
      </c>
      <c r="B14" s="34">
        <f>B11-(B6+B7+B8+B10)</f>
        <v>4200</v>
      </c>
      <c r="D14" s="17" t="s">
        <v>168</v>
      </c>
      <c r="E14" s="34">
        <f>E8*E9-E6</f>
        <v>28800</v>
      </c>
    </row>
    <row r="15" spans="1:5" x14ac:dyDescent="0.25">
      <c r="A15" s="17" t="s">
        <v>169</v>
      </c>
      <c r="B15" s="34">
        <f>B14*Paramètres!$B$11</f>
        <v>1399.9999999999986</v>
      </c>
      <c r="D15" s="17" t="s">
        <v>144</v>
      </c>
      <c r="E15" s="36" t="str">
        <f>IF(E8=0,IF(E6&gt;=E9,"Couper","Attendre ou améliorer"),IF(E12&lt;E9*Paramètres!$B$11,"Augmenter le budget de 20 à 30 %",IF(E12&lt;=E9,"Améliorer : accroche, vidéo, réponses","Couper : change d’angle ou de produit")))</f>
        <v>Augmenter le budget de 20 à 30 %</v>
      </c>
    </row>
    <row r="16" spans="1:5" x14ac:dyDescent="0.25">
      <c r="A16" s="17" t="s">
        <v>170</v>
      </c>
      <c r="B16" s="37">
        <f>IF(B11=0,0,B13/B11)</f>
        <v>0.32</v>
      </c>
    </row>
    <row r="17" spans="1:5" x14ac:dyDescent="0.25">
      <c r="A17" s="17" t="s">
        <v>171</v>
      </c>
      <c r="B17" s="34">
        <f>2*B6</f>
        <v>8000</v>
      </c>
    </row>
    <row r="18" spans="1:5" x14ac:dyDescent="0.25">
      <c r="A18" s="17" t="s">
        <v>172</v>
      </c>
      <c r="B18" s="34">
        <f>3*B6</f>
        <v>12000</v>
      </c>
    </row>
    <row r="19" spans="1:5" x14ac:dyDescent="0.25">
      <c r="A19" s="17" t="s">
        <v>173</v>
      </c>
      <c r="B19" s="1" t="str">
        <f>IF(B13&lt;=0,"Tu perds de l’argent : revois prix ou coûts",IF(B11&lt;2*B6,"Marge faible : vise au moins x2","Prix sain"))</f>
        <v>Prix sain</v>
      </c>
      <c r="C19" s="1"/>
      <c r="D19" s="1"/>
      <c r="E19" s="1"/>
    </row>
    <row r="21" spans="1:5" x14ac:dyDescent="0.25">
      <c r="A21" s="32" t="s">
        <v>174</v>
      </c>
    </row>
  </sheetData>
  <mergeCells count="1">
    <mergeCell ref="B19:E19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2F6DB5"/>
  </sheetPr>
  <dimension ref="A1:N370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K9" sqref="K9"/>
    </sheetView>
  </sheetViews>
  <sheetFormatPr baseColWidth="10" defaultColWidth="8.7109375" defaultRowHeight="15" x14ac:dyDescent="0.25"/>
  <cols>
    <col min="1" max="1" width="12" customWidth="1"/>
    <col min="2" max="2" width="24" customWidth="1"/>
    <col min="3" max="3" width="22" customWidth="1"/>
    <col min="4" max="4" width="8" customWidth="1"/>
    <col min="5" max="5" width="12" customWidth="1"/>
    <col min="6" max="6" width="10" customWidth="1"/>
    <col min="7" max="7" width="9" customWidth="1"/>
    <col min="8" max="10" width="11" customWidth="1"/>
    <col min="11" max="11" width="12" customWidth="1"/>
    <col min="12" max="12" width="13" customWidth="1"/>
    <col min="13" max="13" width="26" customWidth="1"/>
    <col min="14" max="14" width="10" customWidth="1"/>
  </cols>
  <sheetData>
    <row r="1" spans="1:14" ht="20.25" x14ac:dyDescent="0.3">
      <c r="A1" s="13" t="s">
        <v>175</v>
      </c>
    </row>
    <row r="2" spans="1:14" x14ac:dyDescent="0.25">
      <c r="A2" s="3" t="s">
        <v>176</v>
      </c>
    </row>
    <row r="3" spans="1:14" x14ac:dyDescent="0.25">
      <c r="A3" s="4" t="s">
        <v>2</v>
      </c>
    </row>
    <row r="5" spans="1:14" ht="39.75" customHeight="1" x14ac:dyDescent="0.25">
      <c r="A5" s="14" t="s">
        <v>177</v>
      </c>
      <c r="B5" s="14" t="s">
        <v>178</v>
      </c>
      <c r="C5" s="14" t="s">
        <v>179</v>
      </c>
      <c r="D5" s="14" t="s">
        <v>180</v>
      </c>
      <c r="E5" s="14" t="s">
        <v>181</v>
      </c>
      <c r="F5" s="14" t="s">
        <v>182</v>
      </c>
      <c r="G5" s="14" t="s">
        <v>18</v>
      </c>
      <c r="H5" s="14" t="s">
        <v>161</v>
      </c>
      <c r="I5" s="14" t="s">
        <v>162</v>
      </c>
      <c r="J5" s="14" t="s">
        <v>164</v>
      </c>
      <c r="K5" s="14" t="s">
        <v>111</v>
      </c>
      <c r="L5" s="14" t="s">
        <v>183</v>
      </c>
      <c r="M5" s="14" t="s">
        <v>184</v>
      </c>
      <c r="N5" s="14" t="s">
        <v>185</v>
      </c>
    </row>
    <row r="6" spans="1:14" x14ac:dyDescent="0.25">
      <c r="A6" s="38">
        <v>46301</v>
      </c>
      <c r="B6" s="18" t="s">
        <v>186</v>
      </c>
      <c r="C6" s="18" t="s">
        <v>124</v>
      </c>
      <c r="D6" s="18" t="s">
        <v>187</v>
      </c>
      <c r="E6" s="19">
        <v>1500</v>
      </c>
      <c r="F6" s="20">
        <v>7</v>
      </c>
      <c r="G6" s="20">
        <v>1</v>
      </c>
      <c r="H6" s="25">
        <f t="shared" ref="H6:H69" si="0">IF(N(F6)&gt;0,E6/F6,"")</f>
        <v>214.28571428571428</v>
      </c>
      <c r="I6" s="39">
        <f t="shared" ref="I6:I69" si="1">IF(N(F6)&gt;0,G6/F6,"")</f>
        <v>0.14285714285714285</v>
      </c>
      <c r="J6" s="25">
        <f t="shared" ref="J6:J69" si="2">IF(N(G6)&gt;0,E6/G6,"")</f>
        <v>1500</v>
      </c>
      <c r="K6" s="25">
        <f>IF(C6="","",IFERROR(INDEX(Catalogue!$K$6:$K$55,MATCH(C6,Catalogue!$B$6:$B$55,0)),""))</f>
        <v>4200</v>
      </c>
      <c r="L6" s="25">
        <f t="shared" ref="L6:L69" si="3">IF(OR(E6="",K6=""),"",N(G6)*K6-E6)</f>
        <v>2700</v>
      </c>
      <c r="M6" s="28" t="str">
        <f>IF(OR(E6="",K6=""),"",IF(N(G6)=0,"Pas de vente aujourd’hui",IF(J6&lt;K6*Paramètres!$B$11,"Rentable",IF(J6&lt;=K6,"Juste rentable","Perte"))))</f>
        <v>Juste rentable</v>
      </c>
      <c r="N6" s="24">
        <f t="shared" ref="N6:N69" si="4">IF(A6="","",DATE(YEAR(A6),MONTH(A6),1))</f>
        <v>46296</v>
      </c>
    </row>
    <row r="7" spans="1:14" x14ac:dyDescent="0.25">
      <c r="A7" s="38">
        <v>46302</v>
      </c>
      <c r="B7" s="18" t="s">
        <v>186</v>
      </c>
      <c r="C7" s="18" t="s">
        <v>124</v>
      </c>
      <c r="D7" s="18" t="s">
        <v>187</v>
      </c>
      <c r="E7" s="19">
        <v>1500</v>
      </c>
      <c r="F7" s="20">
        <v>8</v>
      </c>
      <c r="G7" s="20">
        <v>1</v>
      </c>
      <c r="H7" s="25">
        <f t="shared" si="0"/>
        <v>187.5</v>
      </c>
      <c r="I7" s="39">
        <f t="shared" si="1"/>
        <v>0.125</v>
      </c>
      <c r="J7" s="25">
        <f t="shared" si="2"/>
        <v>1500</v>
      </c>
      <c r="K7" s="25">
        <f>IF(C7="","",IFERROR(INDEX(Catalogue!$K$6:$K$55,MATCH(C7,Catalogue!$B$6:$B$55,0)),""))</f>
        <v>4200</v>
      </c>
      <c r="L7" s="25">
        <f t="shared" si="3"/>
        <v>2700</v>
      </c>
      <c r="M7" s="28" t="str">
        <f>IF(OR(E7="",K7=""),"",IF(N(G7)=0,"Pas de vente aujourd’hui",IF(J7&lt;K7*Paramètres!$B$11,"Rentable",IF(J7&lt;=K7,"Juste rentable","Perte"))))</f>
        <v>Juste rentable</v>
      </c>
      <c r="N7" s="24">
        <f t="shared" si="4"/>
        <v>46296</v>
      </c>
    </row>
    <row r="8" spans="1:14" x14ac:dyDescent="0.25">
      <c r="A8" s="38">
        <v>46303</v>
      </c>
      <c r="B8" s="18" t="s">
        <v>186</v>
      </c>
      <c r="C8" s="18" t="s">
        <v>124</v>
      </c>
      <c r="D8" s="18" t="s">
        <v>187</v>
      </c>
      <c r="E8" s="19">
        <v>1500</v>
      </c>
      <c r="F8" s="20">
        <v>6</v>
      </c>
      <c r="G8" s="20">
        <v>1</v>
      </c>
      <c r="H8" s="25">
        <f t="shared" si="0"/>
        <v>250</v>
      </c>
      <c r="I8" s="39">
        <f t="shared" si="1"/>
        <v>0.16666666666666666</v>
      </c>
      <c r="J8" s="25">
        <f t="shared" si="2"/>
        <v>1500</v>
      </c>
      <c r="K8" s="25">
        <f>IF(C8="","",IFERROR(INDEX(Catalogue!$K$6:$K$55,MATCH(C8,Catalogue!$B$6:$B$55,0)),""))</f>
        <v>4200</v>
      </c>
      <c r="L8" s="25">
        <f t="shared" si="3"/>
        <v>2700</v>
      </c>
      <c r="M8" s="28" t="str">
        <f>IF(OR(E8="",K8=""),"",IF(N(G8)=0,"Pas de vente aujourd’hui",IF(J8&lt;K8*Paramètres!$B$11,"Rentable",IF(J8&lt;=K8,"Juste rentable","Perte"))))</f>
        <v>Juste rentable</v>
      </c>
      <c r="N8" s="24">
        <f t="shared" si="4"/>
        <v>46296</v>
      </c>
    </row>
    <row r="9" spans="1:14" x14ac:dyDescent="0.25">
      <c r="A9" s="38">
        <v>46304</v>
      </c>
      <c r="B9" s="18" t="s">
        <v>186</v>
      </c>
      <c r="C9" s="18" t="s">
        <v>124</v>
      </c>
      <c r="D9" s="18" t="s">
        <v>187</v>
      </c>
      <c r="E9" s="19">
        <v>1500</v>
      </c>
      <c r="F9" s="20">
        <v>9</v>
      </c>
      <c r="G9" s="20">
        <v>2</v>
      </c>
      <c r="H9" s="25">
        <f t="shared" si="0"/>
        <v>166.66666666666666</v>
      </c>
      <c r="I9" s="39">
        <f t="shared" si="1"/>
        <v>0.22222222222222221</v>
      </c>
      <c r="J9" s="25">
        <f t="shared" si="2"/>
        <v>750</v>
      </c>
      <c r="K9" s="25">
        <f>IF(C9="","",IFERROR(INDEX(Catalogue!$K$6:$K$55,MATCH(C9,Catalogue!$B$6:$B$55,0)),""))</f>
        <v>4200</v>
      </c>
      <c r="L9" s="25">
        <f t="shared" si="3"/>
        <v>6900</v>
      </c>
      <c r="M9" s="28" t="str">
        <f>IF(OR(E9="",K9=""),"",IF(N(G9)=0,"Pas de vente aujourd’hui",IF(J9&lt;K9*Paramètres!$B$11,"Rentable",IF(J9&lt;=K9,"Juste rentable","Perte"))))</f>
        <v>Rentable</v>
      </c>
      <c r="N9" s="24">
        <f t="shared" si="4"/>
        <v>46296</v>
      </c>
    </row>
    <row r="10" spans="1:14" x14ac:dyDescent="0.25">
      <c r="A10" s="38">
        <v>46305</v>
      </c>
      <c r="B10" s="18" t="s">
        <v>186</v>
      </c>
      <c r="C10" s="18" t="s">
        <v>124</v>
      </c>
      <c r="D10" s="18" t="s">
        <v>187</v>
      </c>
      <c r="E10" s="19">
        <v>1500</v>
      </c>
      <c r="F10" s="20">
        <v>7</v>
      </c>
      <c r="G10" s="20">
        <v>1</v>
      </c>
      <c r="H10" s="25">
        <f t="shared" si="0"/>
        <v>214.28571428571428</v>
      </c>
      <c r="I10" s="39">
        <f t="shared" si="1"/>
        <v>0.14285714285714285</v>
      </c>
      <c r="J10" s="25">
        <f t="shared" si="2"/>
        <v>1500</v>
      </c>
      <c r="K10" s="25">
        <f>IF(C10="","",IFERROR(INDEX(Catalogue!$K$6:$K$55,MATCH(C10,Catalogue!$B$6:$B$55,0)),""))</f>
        <v>4200</v>
      </c>
      <c r="L10" s="25">
        <f t="shared" si="3"/>
        <v>2700</v>
      </c>
      <c r="M10" s="28" t="str">
        <f>IF(OR(E10="",K10=""),"",IF(N(G10)=0,"Pas de vente aujourd’hui",IF(J10&lt;K10*Paramètres!$B$11,"Rentable",IF(J10&lt;=K10,"Juste rentable","Perte"))))</f>
        <v>Juste rentable</v>
      </c>
      <c r="N10" s="24">
        <f t="shared" si="4"/>
        <v>46296</v>
      </c>
    </row>
    <row r="11" spans="1:14" x14ac:dyDescent="0.25">
      <c r="A11" s="38">
        <v>46301</v>
      </c>
      <c r="B11" s="18" t="s">
        <v>188</v>
      </c>
      <c r="C11" s="18" t="s">
        <v>124</v>
      </c>
      <c r="D11" s="18" t="s">
        <v>189</v>
      </c>
      <c r="E11" s="19">
        <v>1500</v>
      </c>
      <c r="F11" s="20">
        <v>4</v>
      </c>
      <c r="G11" s="20">
        <v>0</v>
      </c>
      <c r="H11" s="25">
        <f t="shared" si="0"/>
        <v>375</v>
      </c>
      <c r="I11" s="39">
        <f t="shared" si="1"/>
        <v>0</v>
      </c>
      <c r="J11" s="25" t="str">
        <f t="shared" si="2"/>
        <v/>
      </c>
      <c r="K11" s="25">
        <f>IF(C11="","",IFERROR(INDEX(Catalogue!$K$6:$K$55,MATCH(C11,Catalogue!$B$6:$B$55,0)),""))</f>
        <v>4200</v>
      </c>
      <c r="L11" s="25">
        <f t="shared" si="3"/>
        <v>-1500</v>
      </c>
      <c r="M11" s="28" t="str">
        <f>IF(OR(E11="",K11=""),"",IF(N(G11)=0,"Pas de vente aujourd’hui",IF(J11&lt;K11*Paramètres!$B$11,"Rentable",IF(J11&lt;=K11,"Juste rentable","Perte"))))</f>
        <v>Pas de vente aujourd’hui</v>
      </c>
      <c r="N11" s="24">
        <f t="shared" si="4"/>
        <v>46296</v>
      </c>
    </row>
    <row r="12" spans="1:14" x14ac:dyDescent="0.25">
      <c r="A12" s="38">
        <v>46302</v>
      </c>
      <c r="B12" s="18" t="s">
        <v>188</v>
      </c>
      <c r="C12" s="18" t="s">
        <v>124</v>
      </c>
      <c r="D12" s="18" t="s">
        <v>189</v>
      </c>
      <c r="E12" s="19">
        <v>1500</v>
      </c>
      <c r="F12" s="20">
        <v>3</v>
      </c>
      <c r="G12" s="20">
        <v>1</v>
      </c>
      <c r="H12" s="25">
        <f t="shared" si="0"/>
        <v>500</v>
      </c>
      <c r="I12" s="39">
        <f t="shared" si="1"/>
        <v>0.33333333333333331</v>
      </c>
      <c r="J12" s="25">
        <f t="shared" si="2"/>
        <v>1500</v>
      </c>
      <c r="K12" s="25">
        <f>IF(C12="","",IFERROR(INDEX(Catalogue!$K$6:$K$55,MATCH(C12,Catalogue!$B$6:$B$55,0)),""))</f>
        <v>4200</v>
      </c>
      <c r="L12" s="25">
        <f t="shared" si="3"/>
        <v>2700</v>
      </c>
      <c r="M12" s="28" t="str">
        <f>IF(OR(E12="",K12=""),"",IF(N(G12)=0,"Pas de vente aujourd’hui",IF(J12&lt;K12*Paramètres!$B$11,"Rentable",IF(J12&lt;=K12,"Juste rentable","Perte"))))</f>
        <v>Juste rentable</v>
      </c>
      <c r="N12" s="24">
        <f t="shared" si="4"/>
        <v>46296</v>
      </c>
    </row>
    <row r="13" spans="1:14" x14ac:dyDescent="0.25">
      <c r="A13" s="38">
        <v>46303</v>
      </c>
      <c r="B13" s="18" t="s">
        <v>188</v>
      </c>
      <c r="C13" s="18" t="s">
        <v>124</v>
      </c>
      <c r="D13" s="18" t="s">
        <v>189</v>
      </c>
      <c r="E13" s="19">
        <v>1500</v>
      </c>
      <c r="F13" s="20">
        <v>5</v>
      </c>
      <c r="G13" s="20">
        <v>0</v>
      </c>
      <c r="H13" s="25">
        <f t="shared" si="0"/>
        <v>300</v>
      </c>
      <c r="I13" s="39">
        <f t="shared" si="1"/>
        <v>0</v>
      </c>
      <c r="J13" s="25" t="str">
        <f t="shared" si="2"/>
        <v/>
      </c>
      <c r="K13" s="25">
        <f>IF(C13="","",IFERROR(INDEX(Catalogue!$K$6:$K$55,MATCH(C13,Catalogue!$B$6:$B$55,0)),""))</f>
        <v>4200</v>
      </c>
      <c r="L13" s="25">
        <f t="shared" si="3"/>
        <v>-1500</v>
      </c>
      <c r="M13" s="28" t="str">
        <f>IF(OR(E13="",K13=""),"",IF(N(G13)=0,"Pas de vente aujourd’hui",IF(J13&lt;K13*Paramètres!$B$11,"Rentable",IF(J13&lt;=K13,"Juste rentable","Perte"))))</f>
        <v>Pas de vente aujourd’hui</v>
      </c>
      <c r="N13" s="24">
        <f t="shared" si="4"/>
        <v>46296</v>
      </c>
    </row>
    <row r="14" spans="1:14" x14ac:dyDescent="0.25">
      <c r="A14" s="38">
        <v>46285</v>
      </c>
      <c r="B14" s="18" t="s">
        <v>190</v>
      </c>
      <c r="C14" s="18" t="s">
        <v>127</v>
      </c>
      <c r="D14" s="18" t="s">
        <v>187</v>
      </c>
      <c r="E14" s="19">
        <v>2000</v>
      </c>
      <c r="F14" s="20">
        <v>4</v>
      </c>
      <c r="G14" s="20">
        <v>1</v>
      </c>
      <c r="H14" s="25">
        <f t="shared" si="0"/>
        <v>500</v>
      </c>
      <c r="I14" s="39">
        <f t="shared" si="1"/>
        <v>0.25</v>
      </c>
      <c r="J14" s="25">
        <f t="shared" si="2"/>
        <v>2000</v>
      </c>
      <c r="K14" s="25">
        <f>IF(C14="","",IFERROR(INDEX(Catalogue!$K$6:$K$55,MATCH(C14,Catalogue!$B$6:$B$55,0)),""))</f>
        <v>2150</v>
      </c>
      <c r="L14" s="25">
        <f t="shared" si="3"/>
        <v>150</v>
      </c>
      <c r="M14" s="28" t="str">
        <f>IF(OR(E14="",K14=""),"",IF(N(G14)=0,"Pas de vente aujourd’hui",IF(J14&lt;K14*Paramètres!$B$11,"Rentable",IF(J14&lt;=K14,"Juste rentable","Perte"))))</f>
        <v>Juste rentable</v>
      </c>
      <c r="N14" s="24">
        <f t="shared" si="4"/>
        <v>46266</v>
      </c>
    </row>
    <row r="15" spans="1:14" x14ac:dyDescent="0.25">
      <c r="A15" s="38">
        <v>46286</v>
      </c>
      <c r="B15" s="18" t="s">
        <v>190</v>
      </c>
      <c r="C15" s="18" t="s">
        <v>127</v>
      </c>
      <c r="D15" s="18" t="s">
        <v>187</v>
      </c>
      <c r="E15" s="19">
        <v>2000</v>
      </c>
      <c r="F15" s="20">
        <v>3</v>
      </c>
      <c r="G15" s="20">
        <v>0</v>
      </c>
      <c r="H15" s="25">
        <f t="shared" si="0"/>
        <v>666.66666666666663</v>
      </c>
      <c r="I15" s="39">
        <f t="shared" si="1"/>
        <v>0</v>
      </c>
      <c r="J15" s="25" t="str">
        <f t="shared" si="2"/>
        <v/>
      </c>
      <c r="K15" s="25">
        <f>IF(C15="","",IFERROR(INDEX(Catalogue!$K$6:$K$55,MATCH(C15,Catalogue!$B$6:$B$55,0)),""))</f>
        <v>2150</v>
      </c>
      <c r="L15" s="25">
        <f t="shared" si="3"/>
        <v>-2000</v>
      </c>
      <c r="M15" s="28" t="str">
        <f>IF(OR(E15="",K15=""),"",IF(N(G15)=0,"Pas de vente aujourd’hui",IF(J15&lt;K15*Paramètres!$B$11,"Rentable",IF(J15&lt;=K15,"Juste rentable","Perte"))))</f>
        <v>Pas de vente aujourd’hui</v>
      </c>
      <c r="N15" s="24">
        <f t="shared" si="4"/>
        <v>46266</v>
      </c>
    </row>
    <row r="16" spans="1:14" x14ac:dyDescent="0.25">
      <c r="A16" s="38">
        <v>46287</v>
      </c>
      <c r="B16" s="18" t="s">
        <v>190</v>
      </c>
      <c r="C16" s="18" t="s">
        <v>127</v>
      </c>
      <c r="D16" s="18" t="s">
        <v>187</v>
      </c>
      <c r="E16" s="19">
        <v>2000</v>
      </c>
      <c r="F16" s="20">
        <v>5</v>
      </c>
      <c r="G16" s="20">
        <v>0</v>
      </c>
      <c r="H16" s="25">
        <f t="shared" si="0"/>
        <v>400</v>
      </c>
      <c r="I16" s="39">
        <f t="shared" si="1"/>
        <v>0</v>
      </c>
      <c r="J16" s="25" t="str">
        <f t="shared" si="2"/>
        <v/>
      </c>
      <c r="K16" s="25">
        <f>IF(C16="","",IFERROR(INDEX(Catalogue!$K$6:$K$55,MATCH(C16,Catalogue!$B$6:$B$55,0)),""))</f>
        <v>2150</v>
      </c>
      <c r="L16" s="25">
        <f t="shared" si="3"/>
        <v>-2000</v>
      </c>
      <c r="M16" s="28" t="str">
        <f>IF(OR(E16="",K16=""),"",IF(N(G16)=0,"Pas de vente aujourd’hui",IF(J16&lt;K16*Paramètres!$B$11,"Rentable",IF(J16&lt;=K16,"Juste rentable","Perte"))))</f>
        <v>Pas de vente aujourd’hui</v>
      </c>
      <c r="N16" s="24">
        <f t="shared" si="4"/>
        <v>46266</v>
      </c>
    </row>
    <row r="17" spans="1:14" x14ac:dyDescent="0.25">
      <c r="A17" s="38"/>
      <c r="B17" s="18"/>
      <c r="C17" s="18"/>
      <c r="D17" s="18"/>
      <c r="E17" s="19"/>
      <c r="F17" s="20"/>
      <c r="G17" s="20"/>
      <c r="H17" s="25" t="str">
        <f t="shared" si="0"/>
        <v/>
      </c>
      <c r="I17" s="39" t="str">
        <f t="shared" si="1"/>
        <v/>
      </c>
      <c r="J17" s="25" t="str">
        <f t="shared" si="2"/>
        <v/>
      </c>
      <c r="K17" s="25" t="str">
        <f>IF(C17="","",IFERROR(INDEX(Catalogue!$K$6:$K$55,MATCH(C17,Catalogue!$B$6:$B$55,0)),""))</f>
        <v/>
      </c>
      <c r="L17" s="25" t="str">
        <f t="shared" si="3"/>
        <v/>
      </c>
      <c r="M17" s="28" t="str">
        <f>IF(OR(E17="",K17=""),"",IF(N(G17)=0,"Pas de vente aujourd’hui",IF(J17&lt;K17*Paramètres!$B$11,"Rentable",IF(J17&lt;=K17,"Juste rentable","Perte"))))</f>
        <v/>
      </c>
      <c r="N17" s="24" t="str">
        <f t="shared" si="4"/>
        <v/>
      </c>
    </row>
    <row r="18" spans="1:14" x14ac:dyDescent="0.25">
      <c r="A18" s="38"/>
      <c r="B18" s="18"/>
      <c r="C18" s="18"/>
      <c r="D18" s="18"/>
      <c r="E18" s="19"/>
      <c r="F18" s="20"/>
      <c r="G18" s="20"/>
      <c r="H18" s="25" t="str">
        <f t="shared" si="0"/>
        <v/>
      </c>
      <c r="I18" s="39" t="str">
        <f t="shared" si="1"/>
        <v/>
      </c>
      <c r="J18" s="25" t="str">
        <f t="shared" si="2"/>
        <v/>
      </c>
      <c r="K18" s="25" t="str">
        <f>IF(C18="","",IFERROR(INDEX(Catalogue!$K$6:$K$55,MATCH(C18,Catalogue!$B$6:$B$55,0)),""))</f>
        <v/>
      </c>
      <c r="L18" s="25" t="str">
        <f t="shared" si="3"/>
        <v/>
      </c>
      <c r="M18" s="28" t="str">
        <f>IF(OR(E18="",K18=""),"",IF(N(G18)=0,"Pas de vente aujourd’hui",IF(J18&lt;K18*Paramètres!$B$11,"Rentable",IF(J18&lt;=K18,"Juste rentable","Perte"))))</f>
        <v/>
      </c>
      <c r="N18" s="24" t="str">
        <f t="shared" si="4"/>
        <v/>
      </c>
    </row>
    <row r="19" spans="1:14" x14ac:dyDescent="0.25">
      <c r="A19" s="38"/>
      <c r="B19" s="18"/>
      <c r="C19" s="18"/>
      <c r="D19" s="18"/>
      <c r="E19" s="19"/>
      <c r="F19" s="20"/>
      <c r="G19" s="20"/>
      <c r="H19" s="25" t="str">
        <f t="shared" si="0"/>
        <v/>
      </c>
      <c r="I19" s="39" t="str">
        <f t="shared" si="1"/>
        <v/>
      </c>
      <c r="J19" s="25" t="str">
        <f t="shared" si="2"/>
        <v/>
      </c>
      <c r="K19" s="25" t="str">
        <f>IF(C19="","",IFERROR(INDEX(Catalogue!$K$6:$K$55,MATCH(C19,Catalogue!$B$6:$B$55,0)),""))</f>
        <v/>
      </c>
      <c r="L19" s="25" t="str">
        <f t="shared" si="3"/>
        <v/>
      </c>
      <c r="M19" s="28" t="str">
        <f>IF(OR(E19="",K19=""),"",IF(N(G19)=0,"Pas de vente aujourd’hui",IF(J19&lt;K19*Paramètres!$B$11,"Rentable",IF(J19&lt;=K19,"Juste rentable","Perte"))))</f>
        <v/>
      </c>
      <c r="N19" s="24" t="str">
        <f t="shared" si="4"/>
        <v/>
      </c>
    </row>
    <row r="20" spans="1:14" x14ac:dyDescent="0.25">
      <c r="A20" s="38"/>
      <c r="B20" s="18"/>
      <c r="C20" s="18"/>
      <c r="D20" s="18"/>
      <c r="E20" s="19"/>
      <c r="F20" s="20"/>
      <c r="G20" s="20"/>
      <c r="H20" s="25" t="str">
        <f t="shared" si="0"/>
        <v/>
      </c>
      <c r="I20" s="39" t="str">
        <f t="shared" si="1"/>
        <v/>
      </c>
      <c r="J20" s="25" t="str">
        <f t="shared" si="2"/>
        <v/>
      </c>
      <c r="K20" s="25" t="str">
        <f>IF(C20="","",IFERROR(INDEX(Catalogue!$K$6:$K$55,MATCH(C20,Catalogue!$B$6:$B$55,0)),""))</f>
        <v/>
      </c>
      <c r="L20" s="25" t="str">
        <f t="shared" si="3"/>
        <v/>
      </c>
      <c r="M20" s="28" t="str">
        <f>IF(OR(E20="",K20=""),"",IF(N(G20)=0,"Pas de vente aujourd’hui",IF(J20&lt;K20*Paramètres!$B$11,"Rentable",IF(J20&lt;=K20,"Juste rentable","Perte"))))</f>
        <v/>
      </c>
      <c r="N20" s="24" t="str">
        <f t="shared" si="4"/>
        <v/>
      </c>
    </row>
    <row r="21" spans="1:14" x14ac:dyDescent="0.25">
      <c r="A21" s="38"/>
      <c r="B21" s="18"/>
      <c r="C21" s="18"/>
      <c r="D21" s="18"/>
      <c r="E21" s="19"/>
      <c r="F21" s="20"/>
      <c r="G21" s="20"/>
      <c r="H21" s="25" t="str">
        <f t="shared" si="0"/>
        <v/>
      </c>
      <c r="I21" s="39" t="str">
        <f t="shared" si="1"/>
        <v/>
      </c>
      <c r="J21" s="25" t="str">
        <f t="shared" si="2"/>
        <v/>
      </c>
      <c r="K21" s="25" t="str">
        <f>IF(C21="","",IFERROR(INDEX(Catalogue!$K$6:$K$55,MATCH(C21,Catalogue!$B$6:$B$55,0)),""))</f>
        <v/>
      </c>
      <c r="L21" s="25" t="str">
        <f t="shared" si="3"/>
        <v/>
      </c>
      <c r="M21" s="28" t="str">
        <f>IF(OR(E21="",K21=""),"",IF(N(G21)=0,"Pas de vente aujourd’hui",IF(J21&lt;K21*Paramètres!$B$11,"Rentable",IF(J21&lt;=K21,"Juste rentable","Perte"))))</f>
        <v/>
      </c>
      <c r="N21" s="24" t="str">
        <f t="shared" si="4"/>
        <v/>
      </c>
    </row>
    <row r="22" spans="1:14" x14ac:dyDescent="0.25">
      <c r="A22" s="38"/>
      <c r="B22" s="18"/>
      <c r="C22" s="18"/>
      <c r="D22" s="18"/>
      <c r="E22" s="19"/>
      <c r="F22" s="20"/>
      <c r="G22" s="20"/>
      <c r="H22" s="25" t="str">
        <f t="shared" si="0"/>
        <v/>
      </c>
      <c r="I22" s="39" t="str">
        <f t="shared" si="1"/>
        <v/>
      </c>
      <c r="J22" s="25" t="str">
        <f t="shared" si="2"/>
        <v/>
      </c>
      <c r="K22" s="25" t="str">
        <f>IF(C22="","",IFERROR(INDEX(Catalogue!$K$6:$K$55,MATCH(C22,Catalogue!$B$6:$B$55,0)),""))</f>
        <v/>
      </c>
      <c r="L22" s="25" t="str">
        <f t="shared" si="3"/>
        <v/>
      </c>
      <c r="M22" s="28" t="str">
        <f>IF(OR(E22="",K22=""),"",IF(N(G22)=0,"Pas de vente aujourd’hui",IF(J22&lt;K22*Paramètres!$B$11,"Rentable",IF(J22&lt;=K22,"Juste rentable","Perte"))))</f>
        <v/>
      </c>
      <c r="N22" s="24" t="str">
        <f t="shared" si="4"/>
        <v/>
      </c>
    </row>
    <row r="23" spans="1:14" x14ac:dyDescent="0.25">
      <c r="A23" s="38"/>
      <c r="B23" s="18"/>
      <c r="C23" s="18"/>
      <c r="D23" s="18"/>
      <c r="E23" s="19"/>
      <c r="F23" s="20"/>
      <c r="G23" s="20"/>
      <c r="H23" s="25" t="str">
        <f t="shared" si="0"/>
        <v/>
      </c>
      <c r="I23" s="39" t="str">
        <f t="shared" si="1"/>
        <v/>
      </c>
      <c r="J23" s="25" t="str">
        <f t="shared" si="2"/>
        <v/>
      </c>
      <c r="K23" s="25" t="str">
        <f>IF(C23="","",IFERROR(INDEX(Catalogue!$K$6:$K$55,MATCH(C23,Catalogue!$B$6:$B$55,0)),""))</f>
        <v/>
      </c>
      <c r="L23" s="25" t="str">
        <f t="shared" si="3"/>
        <v/>
      </c>
      <c r="M23" s="28" t="str">
        <f>IF(OR(E23="",K23=""),"",IF(N(G23)=0,"Pas de vente aujourd’hui",IF(J23&lt;K23*Paramètres!$B$11,"Rentable",IF(J23&lt;=K23,"Juste rentable","Perte"))))</f>
        <v/>
      </c>
      <c r="N23" s="24" t="str">
        <f t="shared" si="4"/>
        <v/>
      </c>
    </row>
    <row r="24" spans="1:14" x14ac:dyDescent="0.25">
      <c r="A24" s="38"/>
      <c r="B24" s="18"/>
      <c r="C24" s="18"/>
      <c r="D24" s="18"/>
      <c r="E24" s="19"/>
      <c r="F24" s="20"/>
      <c r="G24" s="20"/>
      <c r="H24" s="25" t="str">
        <f t="shared" si="0"/>
        <v/>
      </c>
      <c r="I24" s="39" t="str">
        <f t="shared" si="1"/>
        <v/>
      </c>
      <c r="J24" s="25" t="str">
        <f t="shared" si="2"/>
        <v/>
      </c>
      <c r="K24" s="25" t="str">
        <f>IF(C24="","",IFERROR(INDEX(Catalogue!$K$6:$K$55,MATCH(C24,Catalogue!$B$6:$B$55,0)),""))</f>
        <v/>
      </c>
      <c r="L24" s="25" t="str">
        <f t="shared" si="3"/>
        <v/>
      </c>
      <c r="M24" s="28" t="str">
        <f>IF(OR(E24="",K24=""),"",IF(N(G24)=0,"Pas de vente aujourd’hui",IF(J24&lt;K24*Paramètres!$B$11,"Rentable",IF(J24&lt;=K24,"Juste rentable","Perte"))))</f>
        <v/>
      </c>
      <c r="N24" s="24" t="str">
        <f t="shared" si="4"/>
        <v/>
      </c>
    </row>
    <row r="25" spans="1:14" x14ac:dyDescent="0.25">
      <c r="A25" s="38"/>
      <c r="B25" s="18"/>
      <c r="C25" s="18"/>
      <c r="D25" s="18"/>
      <c r="E25" s="19"/>
      <c r="F25" s="20"/>
      <c r="G25" s="20"/>
      <c r="H25" s="25" t="str">
        <f t="shared" si="0"/>
        <v/>
      </c>
      <c r="I25" s="39" t="str">
        <f t="shared" si="1"/>
        <v/>
      </c>
      <c r="J25" s="25" t="str">
        <f t="shared" si="2"/>
        <v/>
      </c>
      <c r="K25" s="25" t="str">
        <f>IF(C25="","",IFERROR(INDEX(Catalogue!$K$6:$K$55,MATCH(C25,Catalogue!$B$6:$B$55,0)),""))</f>
        <v/>
      </c>
      <c r="L25" s="25" t="str">
        <f t="shared" si="3"/>
        <v/>
      </c>
      <c r="M25" s="28" t="str">
        <f>IF(OR(E25="",K25=""),"",IF(N(G25)=0,"Pas de vente aujourd’hui",IF(J25&lt;K25*Paramètres!$B$11,"Rentable",IF(J25&lt;=K25,"Juste rentable","Perte"))))</f>
        <v/>
      </c>
      <c r="N25" s="24" t="str">
        <f t="shared" si="4"/>
        <v/>
      </c>
    </row>
    <row r="26" spans="1:14" x14ac:dyDescent="0.25">
      <c r="A26" s="38"/>
      <c r="B26" s="18"/>
      <c r="C26" s="18"/>
      <c r="D26" s="18"/>
      <c r="E26" s="19"/>
      <c r="F26" s="20"/>
      <c r="G26" s="20"/>
      <c r="H26" s="25" t="str">
        <f t="shared" si="0"/>
        <v/>
      </c>
      <c r="I26" s="39" t="str">
        <f t="shared" si="1"/>
        <v/>
      </c>
      <c r="J26" s="25" t="str">
        <f t="shared" si="2"/>
        <v/>
      </c>
      <c r="K26" s="25" t="str">
        <f>IF(C26="","",IFERROR(INDEX(Catalogue!$K$6:$K$55,MATCH(C26,Catalogue!$B$6:$B$55,0)),""))</f>
        <v/>
      </c>
      <c r="L26" s="25" t="str">
        <f t="shared" si="3"/>
        <v/>
      </c>
      <c r="M26" s="28" t="str">
        <f>IF(OR(E26="",K26=""),"",IF(N(G26)=0,"Pas de vente aujourd’hui",IF(J26&lt;K26*Paramètres!$B$11,"Rentable",IF(J26&lt;=K26,"Juste rentable","Perte"))))</f>
        <v/>
      </c>
      <c r="N26" s="24" t="str">
        <f t="shared" si="4"/>
        <v/>
      </c>
    </row>
    <row r="27" spans="1:14" x14ac:dyDescent="0.25">
      <c r="A27" s="38"/>
      <c r="B27" s="18"/>
      <c r="C27" s="18"/>
      <c r="D27" s="18"/>
      <c r="E27" s="19"/>
      <c r="F27" s="20"/>
      <c r="G27" s="20"/>
      <c r="H27" s="25" t="str">
        <f t="shared" si="0"/>
        <v/>
      </c>
      <c r="I27" s="39" t="str">
        <f t="shared" si="1"/>
        <v/>
      </c>
      <c r="J27" s="25" t="str">
        <f t="shared" si="2"/>
        <v/>
      </c>
      <c r="K27" s="25" t="str">
        <f>IF(C27="","",IFERROR(INDEX(Catalogue!$K$6:$K$55,MATCH(C27,Catalogue!$B$6:$B$55,0)),""))</f>
        <v/>
      </c>
      <c r="L27" s="25" t="str">
        <f t="shared" si="3"/>
        <v/>
      </c>
      <c r="M27" s="28" t="str">
        <f>IF(OR(E27="",K27=""),"",IF(N(G27)=0,"Pas de vente aujourd’hui",IF(J27&lt;K27*Paramètres!$B$11,"Rentable",IF(J27&lt;=K27,"Juste rentable","Perte"))))</f>
        <v/>
      </c>
      <c r="N27" s="24" t="str">
        <f t="shared" si="4"/>
        <v/>
      </c>
    </row>
    <row r="28" spans="1:14" x14ac:dyDescent="0.25">
      <c r="A28" s="38"/>
      <c r="B28" s="18"/>
      <c r="C28" s="18"/>
      <c r="D28" s="18"/>
      <c r="E28" s="19"/>
      <c r="F28" s="20"/>
      <c r="G28" s="20"/>
      <c r="H28" s="25" t="str">
        <f t="shared" si="0"/>
        <v/>
      </c>
      <c r="I28" s="39" t="str">
        <f t="shared" si="1"/>
        <v/>
      </c>
      <c r="J28" s="25" t="str">
        <f t="shared" si="2"/>
        <v/>
      </c>
      <c r="K28" s="25" t="str">
        <f>IF(C28="","",IFERROR(INDEX(Catalogue!$K$6:$K$55,MATCH(C28,Catalogue!$B$6:$B$55,0)),""))</f>
        <v/>
      </c>
      <c r="L28" s="25" t="str">
        <f t="shared" si="3"/>
        <v/>
      </c>
      <c r="M28" s="28" t="str">
        <f>IF(OR(E28="",K28=""),"",IF(N(G28)=0,"Pas de vente aujourd’hui",IF(J28&lt;K28*Paramètres!$B$11,"Rentable",IF(J28&lt;=K28,"Juste rentable","Perte"))))</f>
        <v/>
      </c>
      <c r="N28" s="24" t="str">
        <f t="shared" si="4"/>
        <v/>
      </c>
    </row>
    <row r="29" spans="1:14" x14ac:dyDescent="0.25">
      <c r="A29" s="38"/>
      <c r="B29" s="18"/>
      <c r="C29" s="18"/>
      <c r="D29" s="18"/>
      <c r="E29" s="19"/>
      <c r="F29" s="20"/>
      <c r="G29" s="20"/>
      <c r="H29" s="25" t="str">
        <f t="shared" si="0"/>
        <v/>
      </c>
      <c r="I29" s="39" t="str">
        <f t="shared" si="1"/>
        <v/>
      </c>
      <c r="J29" s="25" t="str">
        <f t="shared" si="2"/>
        <v/>
      </c>
      <c r="K29" s="25" t="str">
        <f>IF(C29="","",IFERROR(INDEX(Catalogue!$K$6:$K$55,MATCH(C29,Catalogue!$B$6:$B$55,0)),""))</f>
        <v/>
      </c>
      <c r="L29" s="25" t="str">
        <f t="shared" si="3"/>
        <v/>
      </c>
      <c r="M29" s="28" t="str">
        <f>IF(OR(E29="",K29=""),"",IF(N(G29)=0,"Pas de vente aujourd’hui",IF(J29&lt;K29*Paramètres!$B$11,"Rentable",IF(J29&lt;=K29,"Juste rentable","Perte"))))</f>
        <v/>
      </c>
      <c r="N29" s="24" t="str">
        <f t="shared" si="4"/>
        <v/>
      </c>
    </row>
    <row r="30" spans="1:14" x14ac:dyDescent="0.25">
      <c r="A30" s="38"/>
      <c r="B30" s="18"/>
      <c r="C30" s="18"/>
      <c r="D30" s="18"/>
      <c r="E30" s="19"/>
      <c r="F30" s="20"/>
      <c r="G30" s="20"/>
      <c r="H30" s="25" t="str">
        <f t="shared" si="0"/>
        <v/>
      </c>
      <c r="I30" s="39" t="str">
        <f t="shared" si="1"/>
        <v/>
      </c>
      <c r="J30" s="25" t="str">
        <f t="shared" si="2"/>
        <v/>
      </c>
      <c r="K30" s="25" t="str">
        <f>IF(C30="","",IFERROR(INDEX(Catalogue!$K$6:$K$55,MATCH(C30,Catalogue!$B$6:$B$55,0)),""))</f>
        <v/>
      </c>
      <c r="L30" s="25" t="str">
        <f t="shared" si="3"/>
        <v/>
      </c>
      <c r="M30" s="28" t="str">
        <f>IF(OR(E30="",K30=""),"",IF(N(G30)=0,"Pas de vente aujourd’hui",IF(J30&lt;K30*Paramètres!$B$11,"Rentable",IF(J30&lt;=K30,"Juste rentable","Perte"))))</f>
        <v/>
      </c>
      <c r="N30" s="24" t="str">
        <f t="shared" si="4"/>
        <v/>
      </c>
    </row>
    <row r="31" spans="1:14" x14ac:dyDescent="0.25">
      <c r="A31" s="38"/>
      <c r="B31" s="18"/>
      <c r="C31" s="18"/>
      <c r="D31" s="18"/>
      <c r="E31" s="19"/>
      <c r="F31" s="20"/>
      <c r="G31" s="20"/>
      <c r="H31" s="25" t="str">
        <f t="shared" si="0"/>
        <v/>
      </c>
      <c r="I31" s="39" t="str">
        <f t="shared" si="1"/>
        <v/>
      </c>
      <c r="J31" s="25" t="str">
        <f t="shared" si="2"/>
        <v/>
      </c>
      <c r="K31" s="25" t="str">
        <f>IF(C31="","",IFERROR(INDEX(Catalogue!$K$6:$K$55,MATCH(C31,Catalogue!$B$6:$B$55,0)),""))</f>
        <v/>
      </c>
      <c r="L31" s="25" t="str">
        <f t="shared" si="3"/>
        <v/>
      </c>
      <c r="M31" s="28" t="str">
        <f>IF(OR(E31="",K31=""),"",IF(N(G31)=0,"Pas de vente aujourd’hui",IF(J31&lt;K31*Paramètres!$B$11,"Rentable",IF(J31&lt;=K31,"Juste rentable","Perte"))))</f>
        <v/>
      </c>
      <c r="N31" s="24" t="str">
        <f t="shared" si="4"/>
        <v/>
      </c>
    </row>
    <row r="32" spans="1:14" x14ac:dyDescent="0.25">
      <c r="A32" s="38"/>
      <c r="B32" s="18"/>
      <c r="C32" s="18"/>
      <c r="D32" s="18"/>
      <c r="E32" s="19"/>
      <c r="F32" s="20"/>
      <c r="G32" s="20"/>
      <c r="H32" s="25" t="str">
        <f t="shared" si="0"/>
        <v/>
      </c>
      <c r="I32" s="39" t="str">
        <f t="shared" si="1"/>
        <v/>
      </c>
      <c r="J32" s="25" t="str">
        <f t="shared" si="2"/>
        <v/>
      </c>
      <c r="K32" s="25" t="str">
        <f>IF(C32="","",IFERROR(INDEX(Catalogue!$K$6:$K$55,MATCH(C32,Catalogue!$B$6:$B$55,0)),""))</f>
        <v/>
      </c>
      <c r="L32" s="25" t="str">
        <f t="shared" si="3"/>
        <v/>
      </c>
      <c r="M32" s="28" t="str">
        <f>IF(OR(E32="",K32=""),"",IF(N(G32)=0,"Pas de vente aujourd’hui",IF(J32&lt;K32*Paramètres!$B$11,"Rentable",IF(J32&lt;=K32,"Juste rentable","Perte"))))</f>
        <v/>
      </c>
      <c r="N32" s="24" t="str">
        <f t="shared" si="4"/>
        <v/>
      </c>
    </row>
    <row r="33" spans="1:14" x14ac:dyDescent="0.25">
      <c r="A33" s="38"/>
      <c r="B33" s="18"/>
      <c r="C33" s="18"/>
      <c r="D33" s="18"/>
      <c r="E33" s="19"/>
      <c r="F33" s="20"/>
      <c r="G33" s="20"/>
      <c r="H33" s="25" t="str">
        <f t="shared" si="0"/>
        <v/>
      </c>
      <c r="I33" s="39" t="str">
        <f t="shared" si="1"/>
        <v/>
      </c>
      <c r="J33" s="25" t="str">
        <f t="shared" si="2"/>
        <v/>
      </c>
      <c r="K33" s="25" t="str">
        <f>IF(C33="","",IFERROR(INDEX(Catalogue!$K$6:$K$55,MATCH(C33,Catalogue!$B$6:$B$55,0)),""))</f>
        <v/>
      </c>
      <c r="L33" s="25" t="str">
        <f t="shared" si="3"/>
        <v/>
      </c>
      <c r="M33" s="28" t="str">
        <f>IF(OR(E33="",K33=""),"",IF(N(G33)=0,"Pas de vente aujourd’hui",IF(J33&lt;K33*Paramètres!$B$11,"Rentable",IF(J33&lt;=K33,"Juste rentable","Perte"))))</f>
        <v/>
      </c>
      <c r="N33" s="24" t="str">
        <f t="shared" si="4"/>
        <v/>
      </c>
    </row>
    <row r="34" spans="1:14" x14ac:dyDescent="0.25">
      <c r="A34" s="38"/>
      <c r="B34" s="18"/>
      <c r="C34" s="18"/>
      <c r="D34" s="18"/>
      <c r="E34" s="19"/>
      <c r="F34" s="20"/>
      <c r="G34" s="20"/>
      <c r="H34" s="25" t="str">
        <f t="shared" si="0"/>
        <v/>
      </c>
      <c r="I34" s="39" t="str">
        <f t="shared" si="1"/>
        <v/>
      </c>
      <c r="J34" s="25" t="str">
        <f t="shared" si="2"/>
        <v/>
      </c>
      <c r="K34" s="25" t="str">
        <f>IF(C34="","",IFERROR(INDEX(Catalogue!$K$6:$K$55,MATCH(C34,Catalogue!$B$6:$B$55,0)),""))</f>
        <v/>
      </c>
      <c r="L34" s="25" t="str">
        <f t="shared" si="3"/>
        <v/>
      </c>
      <c r="M34" s="28" t="str">
        <f>IF(OR(E34="",K34=""),"",IF(N(G34)=0,"Pas de vente aujourd’hui",IF(J34&lt;K34*Paramètres!$B$11,"Rentable",IF(J34&lt;=K34,"Juste rentable","Perte"))))</f>
        <v/>
      </c>
      <c r="N34" s="24" t="str">
        <f t="shared" si="4"/>
        <v/>
      </c>
    </row>
    <row r="35" spans="1:14" x14ac:dyDescent="0.25">
      <c r="A35" s="38"/>
      <c r="B35" s="18"/>
      <c r="C35" s="18"/>
      <c r="D35" s="18"/>
      <c r="E35" s="19"/>
      <c r="F35" s="20"/>
      <c r="G35" s="20"/>
      <c r="H35" s="25" t="str">
        <f t="shared" si="0"/>
        <v/>
      </c>
      <c r="I35" s="39" t="str">
        <f t="shared" si="1"/>
        <v/>
      </c>
      <c r="J35" s="25" t="str">
        <f t="shared" si="2"/>
        <v/>
      </c>
      <c r="K35" s="25" t="str">
        <f>IF(C35="","",IFERROR(INDEX(Catalogue!$K$6:$K$55,MATCH(C35,Catalogue!$B$6:$B$55,0)),""))</f>
        <v/>
      </c>
      <c r="L35" s="25" t="str">
        <f t="shared" si="3"/>
        <v/>
      </c>
      <c r="M35" s="28" t="str">
        <f>IF(OR(E35="",K35=""),"",IF(N(G35)=0,"Pas de vente aujourd’hui",IF(J35&lt;K35*Paramètres!$B$11,"Rentable",IF(J35&lt;=K35,"Juste rentable","Perte"))))</f>
        <v/>
      </c>
      <c r="N35" s="24" t="str">
        <f t="shared" si="4"/>
        <v/>
      </c>
    </row>
    <row r="36" spans="1:14" x14ac:dyDescent="0.25">
      <c r="A36" s="38"/>
      <c r="B36" s="18"/>
      <c r="C36" s="18"/>
      <c r="D36" s="18"/>
      <c r="E36" s="19"/>
      <c r="F36" s="20"/>
      <c r="G36" s="20"/>
      <c r="H36" s="25" t="str">
        <f t="shared" si="0"/>
        <v/>
      </c>
      <c r="I36" s="39" t="str">
        <f t="shared" si="1"/>
        <v/>
      </c>
      <c r="J36" s="25" t="str">
        <f t="shared" si="2"/>
        <v/>
      </c>
      <c r="K36" s="25" t="str">
        <f>IF(C36="","",IFERROR(INDEX(Catalogue!$K$6:$K$55,MATCH(C36,Catalogue!$B$6:$B$55,0)),""))</f>
        <v/>
      </c>
      <c r="L36" s="25" t="str">
        <f t="shared" si="3"/>
        <v/>
      </c>
      <c r="M36" s="28" t="str">
        <f>IF(OR(E36="",K36=""),"",IF(N(G36)=0,"Pas de vente aujourd’hui",IF(J36&lt;K36*Paramètres!$B$11,"Rentable",IF(J36&lt;=K36,"Juste rentable","Perte"))))</f>
        <v/>
      </c>
      <c r="N36" s="24" t="str">
        <f t="shared" si="4"/>
        <v/>
      </c>
    </row>
    <row r="37" spans="1:14" x14ac:dyDescent="0.25">
      <c r="A37" s="38"/>
      <c r="B37" s="18"/>
      <c r="C37" s="18"/>
      <c r="D37" s="18"/>
      <c r="E37" s="19"/>
      <c r="F37" s="20"/>
      <c r="G37" s="20"/>
      <c r="H37" s="25" t="str">
        <f t="shared" si="0"/>
        <v/>
      </c>
      <c r="I37" s="39" t="str">
        <f t="shared" si="1"/>
        <v/>
      </c>
      <c r="J37" s="25" t="str">
        <f t="shared" si="2"/>
        <v/>
      </c>
      <c r="K37" s="25" t="str">
        <f>IF(C37="","",IFERROR(INDEX(Catalogue!$K$6:$K$55,MATCH(C37,Catalogue!$B$6:$B$55,0)),""))</f>
        <v/>
      </c>
      <c r="L37" s="25" t="str">
        <f t="shared" si="3"/>
        <v/>
      </c>
      <c r="M37" s="28" t="str">
        <f>IF(OR(E37="",K37=""),"",IF(N(G37)=0,"Pas de vente aujourd’hui",IF(J37&lt;K37*Paramètres!$B$11,"Rentable",IF(J37&lt;=K37,"Juste rentable","Perte"))))</f>
        <v/>
      </c>
      <c r="N37" s="24" t="str">
        <f t="shared" si="4"/>
        <v/>
      </c>
    </row>
    <row r="38" spans="1:14" x14ac:dyDescent="0.25">
      <c r="A38" s="38"/>
      <c r="B38" s="18"/>
      <c r="C38" s="18"/>
      <c r="D38" s="18"/>
      <c r="E38" s="19"/>
      <c r="F38" s="20"/>
      <c r="G38" s="20"/>
      <c r="H38" s="25" t="str">
        <f t="shared" si="0"/>
        <v/>
      </c>
      <c r="I38" s="39" t="str">
        <f t="shared" si="1"/>
        <v/>
      </c>
      <c r="J38" s="25" t="str">
        <f t="shared" si="2"/>
        <v/>
      </c>
      <c r="K38" s="25" t="str">
        <f>IF(C38="","",IFERROR(INDEX(Catalogue!$K$6:$K$55,MATCH(C38,Catalogue!$B$6:$B$55,0)),""))</f>
        <v/>
      </c>
      <c r="L38" s="25" t="str">
        <f t="shared" si="3"/>
        <v/>
      </c>
      <c r="M38" s="28" t="str">
        <f>IF(OR(E38="",K38=""),"",IF(N(G38)=0,"Pas de vente aujourd’hui",IF(J38&lt;K38*Paramètres!$B$11,"Rentable",IF(J38&lt;=K38,"Juste rentable","Perte"))))</f>
        <v/>
      </c>
      <c r="N38" s="24" t="str">
        <f t="shared" si="4"/>
        <v/>
      </c>
    </row>
    <row r="39" spans="1:14" x14ac:dyDescent="0.25">
      <c r="A39" s="38"/>
      <c r="B39" s="18"/>
      <c r="C39" s="18"/>
      <c r="D39" s="18"/>
      <c r="E39" s="19"/>
      <c r="F39" s="20"/>
      <c r="G39" s="20"/>
      <c r="H39" s="25" t="str">
        <f t="shared" si="0"/>
        <v/>
      </c>
      <c r="I39" s="39" t="str">
        <f t="shared" si="1"/>
        <v/>
      </c>
      <c r="J39" s="25" t="str">
        <f t="shared" si="2"/>
        <v/>
      </c>
      <c r="K39" s="25" t="str">
        <f>IF(C39="","",IFERROR(INDEX(Catalogue!$K$6:$K$55,MATCH(C39,Catalogue!$B$6:$B$55,0)),""))</f>
        <v/>
      </c>
      <c r="L39" s="25" t="str">
        <f t="shared" si="3"/>
        <v/>
      </c>
      <c r="M39" s="28" t="str">
        <f>IF(OR(E39="",K39=""),"",IF(N(G39)=0,"Pas de vente aujourd’hui",IF(J39&lt;K39*Paramètres!$B$11,"Rentable",IF(J39&lt;=K39,"Juste rentable","Perte"))))</f>
        <v/>
      </c>
      <c r="N39" s="24" t="str">
        <f t="shared" si="4"/>
        <v/>
      </c>
    </row>
    <row r="40" spans="1:14" x14ac:dyDescent="0.25">
      <c r="A40" s="38"/>
      <c r="B40" s="18"/>
      <c r="C40" s="18"/>
      <c r="D40" s="18"/>
      <c r="E40" s="19"/>
      <c r="F40" s="20"/>
      <c r="G40" s="20"/>
      <c r="H40" s="25" t="str">
        <f t="shared" si="0"/>
        <v/>
      </c>
      <c r="I40" s="39" t="str">
        <f t="shared" si="1"/>
        <v/>
      </c>
      <c r="J40" s="25" t="str">
        <f t="shared" si="2"/>
        <v/>
      </c>
      <c r="K40" s="25" t="str">
        <f>IF(C40="","",IFERROR(INDEX(Catalogue!$K$6:$K$55,MATCH(C40,Catalogue!$B$6:$B$55,0)),""))</f>
        <v/>
      </c>
      <c r="L40" s="25" t="str">
        <f t="shared" si="3"/>
        <v/>
      </c>
      <c r="M40" s="28" t="str">
        <f>IF(OR(E40="",K40=""),"",IF(N(G40)=0,"Pas de vente aujourd’hui",IF(J40&lt;K40*Paramètres!$B$11,"Rentable",IF(J40&lt;=K40,"Juste rentable","Perte"))))</f>
        <v/>
      </c>
      <c r="N40" s="24" t="str">
        <f t="shared" si="4"/>
        <v/>
      </c>
    </row>
    <row r="41" spans="1:14" x14ac:dyDescent="0.25">
      <c r="A41" s="38"/>
      <c r="B41" s="18"/>
      <c r="C41" s="18"/>
      <c r="D41" s="18"/>
      <c r="E41" s="19"/>
      <c r="F41" s="20"/>
      <c r="G41" s="20"/>
      <c r="H41" s="25" t="str">
        <f t="shared" si="0"/>
        <v/>
      </c>
      <c r="I41" s="39" t="str">
        <f t="shared" si="1"/>
        <v/>
      </c>
      <c r="J41" s="25" t="str">
        <f t="shared" si="2"/>
        <v/>
      </c>
      <c r="K41" s="25" t="str">
        <f>IF(C41="","",IFERROR(INDEX(Catalogue!$K$6:$K$55,MATCH(C41,Catalogue!$B$6:$B$55,0)),""))</f>
        <v/>
      </c>
      <c r="L41" s="25" t="str">
        <f t="shared" si="3"/>
        <v/>
      </c>
      <c r="M41" s="28" t="str">
        <f>IF(OR(E41="",K41=""),"",IF(N(G41)=0,"Pas de vente aujourd’hui",IF(J41&lt;K41*Paramètres!$B$11,"Rentable",IF(J41&lt;=K41,"Juste rentable","Perte"))))</f>
        <v/>
      </c>
      <c r="N41" s="24" t="str">
        <f t="shared" si="4"/>
        <v/>
      </c>
    </row>
    <row r="42" spans="1:14" x14ac:dyDescent="0.25">
      <c r="A42" s="38"/>
      <c r="B42" s="18"/>
      <c r="C42" s="18"/>
      <c r="D42" s="18"/>
      <c r="E42" s="19"/>
      <c r="F42" s="20"/>
      <c r="G42" s="20"/>
      <c r="H42" s="25" t="str">
        <f t="shared" si="0"/>
        <v/>
      </c>
      <c r="I42" s="39" t="str">
        <f t="shared" si="1"/>
        <v/>
      </c>
      <c r="J42" s="25" t="str">
        <f t="shared" si="2"/>
        <v/>
      </c>
      <c r="K42" s="25" t="str">
        <f>IF(C42="","",IFERROR(INDEX(Catalogue!$K$6:$K$55,MATCH(C42,Catalogue!$B$6:$B$55,0)),""))</f>
        <v/>
      </c>
      <c r="L42" s="25" t="str">
        <f t="shared" si="3"/>
        <v/>
      </c>
      <c r="M42" s="28" t="str">
        <f>IF(OR(E42="",K42=""),"",IF(N(G42)=0,"Pas de vente aujourd’hui",IF(J42&lt;K42*Paramètres!$B$11,"Rentable",IF(J42&lt;=K42,"Juste rentable","Perte"))))</f>
        <v/>
      </c>
      <c r="N42" s="24" t="str">
        <f t="shared" si="4"/>
        <v/>
      </c>
    </row>
    <row r="43" spans="1:14" x14ac:dyDescent="0.25">
      <c r="A43" s="38"/>
      <c r="B43" s="18"/>
      <c r="C43" s="18"/>
      <c r="D43" s="18"/>
      <c r="E43" s="19"/>
      <c r="F43" s="20"/>
      <c r="G43" s="20"/>
      <c r="H43" s="25" t="str">
        <f t="shared" si="0"/>
        <v/>
      </c>
      <c r="I43" s="39" t="str">
        <f t="shared" si="1"/>
        <v/>
      </c>
      <c r="J43" s="25" t="str">
        <f t="shared" si="2"/>
        <v/>
      </c>
      <c r="K43" s="25" t="str">
        <f>IF(C43="","",IFERROR(INDEX(Catalogue!$K$6:$K$55,MATCH(C43,Catalogue!$B$6:$B$55,0)),""))</f>
        <v/>
      </c>
      <c r="L43" s="25" t="str">
        <f t="shared" si="3"/>
        <v/>
      </c>
      <c r="M43" s="28" t="str">
        <f>IF(OR(E43="",K43=""),"",IF(N(G43)=0,"Pas de vente aujourd’hui",IF(J43&lt;K43*Paramètres!$B$11,"Rentable",IF(J43&lt;=K43,"Juste rentable","Perte"))))</f>
        <v/>
      </c>
      <c r="N43" s="24" t="str">
        <f t="shared" si="4"/>
        <v/>
      </c>
    </row>
    <row r="44" spans="1:14" x14ac:dyDescent="0.25">
      <c r="A44" s="38"/>
      <c r="B44" s="18"/>
      <c r="C44" s="18"/>
      <c r="D44" s="18"/>
      <c r="E44" s="19"/>
      <c r="F44" s="20"/>
      <c r="G44" s="20"/>
      <c r="H44" s="25" t="str">
        <f t="shared" si="0"/>
        <v/>
      </c>
      <c r="I44" s="39" t="str">
        <f t="shared" si="1"/>
        <v/>
      </c>
      <c r="J44" s="25" t="str">
        <f t="shared" si="2"/>
        <v/>
      </c>
      <c r="K44" s="25" t="str">
        <f>IF(C44="","",IFERROR(INDEX(Catalogue!$K$6:$K$55,MATCH(C44,Catalogue!$B$6:$B$55,0)),""))</f>
        <v/>
      </c>
      <c r="L44" s="25" t="str">
        <f t="shared" si="3"/>
        <v/>
      </c>
      <c r="M44" s="28" t="str">
        <f>IF(OR(E44="",K44=""),"",IF(N(G44)=0,"Pas de vente aujourd’hui",IF(J44&lt;K44*Paramètres!$B$11,"Rentable",IF(J44&lt;=K44,"Juste rentable","Perte"))))</f>
        <v/>
      </c>
      <c r="N44" s="24" t="str">
        <f t="shared" si="4"/>
        <v/>
      </c>
    </row>
    <row r="45" spans="1:14" x14ac:dyDescent="0.25">
      <c r="A45" s="38"/>
      <c r="B45" s="18"/>
      <c r="C45" s="18"/>
      <c r="D45" s="18"/>
      <c r="E45" s="19"/>
      <c r="F45" s="20"/>
      <c r="G45" s="20"/>
      <c r="H45" s="25" t="str">
        <f t="shared" si="0"/>
        <v/>
      </c>
      <c r="I45" s="39" t="str">
        <f t="shared" si="1"/>
        <v/>
      </c>
      <c r="J45" s="25" t="str">
        <f t="shared" si="2"/>
        <v/>
      </c>
      <c r="K45" s="25" t="str">
        <f>IF(C45="","",IFERROR(INDEX(Catalogue!$K$6:$K$55,MATCH(C45,Catalogue!$B$6:$B$55,0)),""))</f>
        <v/>
      </c>
      <c r="L45" s="25" t="str">
        <f t="shared" si="3"/>
        <v/>
      </c>
      <c r="M45" s="28" t="str">
        <f>IF(OR(E45="",K45=""),"",IF(N(G45)=0,"Pas de vente aujourd’hui",IF(J45&lt;K45*Paramètres!$B$11,"Rentable",IF(J45&lt;=K45,"Juste rentable","Perte"))))</f>
        <v/>
      </c>
      <c r="N45" s="24" t="str">
        <f t="shared" si="4"/>
        <v/>
      </c>
    </row>
    <row r="46" spans="1:14" x14ac:dyDescent="0.25">
      <c r="A46" s="38"/>
      <c r="B46" s="18"/>
      <c r="C46" s="18"/>
      <c r="D46" s="18"/>
      <c r="E46" s="19"/>
      <c r="F46" s="20"/>
      <c r="G46" s="20"/>
      <c r="H46" s="25" t="str">
        <f t="shared" si="0"/>
        <v/>
      </c>
      <c r="I46" s="39" t="str">
        <f t="shared" si="1"/>
        <v/>
      </c>
      <c r="J46" s="25" t="str">
        <f t="shared" si="2"/>
        <v/>
      </c>
      <c r="K46" s="25" t="str">
        <f>IF(C46="","",IFERROR(INDEX(Catalogue!$K$6:$K$55,MATCH(C46,Catalogue!$B$6:$B$55,0)),""))</f>
        <v/>
      </c>
      <c r="L46" s="25" t="str">
        <f t="shared" si="3"/>
        <v/>
      </c>
      <c r="M46" s="28" t="str">
        <f>IF(OR(E46="",K46=""),"",IF(N(G46)=0,"Pas de vente aujourd’hui",IF(J46&lt;K46*Paramètres!$B$11,"Rentable",IF(J46&lt;=K46,"Juste rentable","Perte"))))</f>
        <v/>
      </c>
      <c r="N46" s="24" t="str">
        <f t="shared" si="4"/>
        <v/>
      </c>
    </row>
    <row r="47" spans="1:14" x14ac:dyDescent="0.25">
      <c r="A47" s="38"/>
      <c r="B47" s="18"/>
      <c r="C47" s="18"/>
      <c r="D47" s="18"/>
      <c r="E47" s="19"/>
      <c r="F47" s="20"/>
      <c r="G47" s="20"/>
      <c r="H47" s="25" t="str">
        <f t="shared" si="0"/>
        <v/>
      </c>
      <c r="I47" s="39" t="str">
        <f t="shared" si="1"/>
        <v/>
      </c>
      <c r="J47" s="25" t="str">
        <f t="shared" si="2"/>
        <v/>
      </c>
      <c r="K47" s="25" t="str">
        <f>IF(C47="","",IFERROR(INDEX(Catalogue!$K$6:$K$55,MATCH(C47,Catalogue!$B$6:$B$55,0)),""))</f>
        <v/>
      </c>
      <c r="L47" s="25" t="str">
        <f t="shared" si="3"/>
        <v/>
      </c>
      <c r="M47" s="28" t="str">
        <f>IF(OR(E47="",K47=""),"",IF(N(G47)=0,"Pas de vente aujourd’hui",IF(J47&lt;K47*Paramètres!$B$11,"Rentable",IF(J47&lt;=K47,"Juste rentable","Perte"))))</f>
        <v/>
      </c>
      <c r="N47" s="24" t="str">
        <f t="shared" si="4"/>
        <v/>
      </c>
    </row>
    <row r="48" spans="1:14" x14ac:dyDescent="0.25">
      <c r="A48" s="38"/>
      <c r="B48" s="18"/>
      <c r="C48" s="18"/>
      <c r="D48" s="18"/>
      <c r="E48" s="19"/>
      <c r="F48" s="20"/>
      <c r="G48" s="20"/>
      <c r="H48" s="25" t="str">
        <f t="shared" si="0"/>
        <v/>
      </c>
      <c r="I48" s="39" t="str">
        <f t="shared" si="1"/>
        <v/>
      </c>
      <c r="J48" s="25" t="str">
        <f t="shared" si="2"/>
        <v/>
      </c>
      <c r="K48" s="25" t="str">
        <f>IF(C48="","",IFERROR(INDEX(Catalogue!$K$6:$K$55,MATCH(C48,Catalogue!$B$6:$B$55,0)),""))</f>
        <v/>
      </c>
      <c r="L48" s="25" t="str">
        <f t="shared" si="3"/>
        <v/>
      </c>
      <c r="M48" s="28" t="str">
        <f>IF(OR(E48="",K48=""),"",IF(N(G48)=0,"Pas de vente aujourd’hui",IF(J48&lt;K48*Paramètres!$B$11,"Rentable",IF(J48&lt;=K48,"Juste rentable","Perte"))))</f>
        <v/>
      </c>
      <c r="N48" s="24" t="str">
        <f t="shared" si="4"/>
        <v/>
      </c>
    </row>
    <row r="49" spans="1:14" x14ac:dyDescent="0.25">
      <c r="A49" s="38"/>
      <c r="B49" s="18"/>
      <c r="C49" s="18"/>
      <c r="D49" s="18"/>
      <c r="E49" s="19"/>
      <c r="F49" s="20"/>
      <c r="G49" s="20"/>
      <c r="H49" s="25" t="str">
        <f t="shared" si="0"/>
        <v/>
      </c>
      <c r="I49" s="39" t="str">
        <f t="shared" si="1"/>
        <v/>
      </c>
      <c r="J49" s="25" t="str">
        <f t="shared" si="2"/>
        <v/>
      </c>
      <c r="K49" s="25" t="str">
        <f>IF(C49="","",IFERROR(INDEX(Catalogue!$K$6:$K$55,MATCH(C49,Catalogue!$B$6:$B$55,0)),""))</f>
        <v/>
      </c>
      <c r="L49" s="25" t="str">
        <f t="shared" si="3"/>
        <v/>
      </c>
      <c r="M49" s="28" t="str">
        <f>IF(OR(E49="",K49=""),"",IF(N(G49)=0,"Pas de vente aujourd’hui",IF(J49&lt;K49*Paramètres!$B$11,"Rentable",IF(J49&lt;=K49,"Juste rentable","Perte"))))</f>
        <v/>
      </c>
      <c r="N49" s="24" t="str">
        <f t="shared" si="4"/>
        <v/>
      </c>
    </row>
    <row r="50" spans="1:14" x14ac:dyDescent="0.25">
      <c r="A50" s="38"/>
      <c r="B50" s="18"/>
      <c r="C50" s="18"/>
      <c r="D50" s="18"/>
      <c r="E50" s="19"/>
      <c r="F50" s="20"/>
      <c r="G50" s="20"/>
      <c r="H50" s="25" t="str">
        <f t="shared" si="0"/>
        <v/>
      </c>
      <c r="I50" s="39" t="str">
        <f t="shared" si="1"/>
        <v/>
      </c>
      <c r="J50" s="25" t="str">
        <f t="shared" si="2"/>
        <v/>
      </c>
      <c r="K50" s="25" t="str">
        <f>IF(C50="","",IFERROR(INDEX(Catalogue!$K$6:$K$55,MATCH(C50,Catalogue!$B$6:$B$55,0)),""))</f>
        <v/>
      </c>
      <c r="L50" s="25" t="str">
        <f t="shared" si="3"/>
        <v/>
      </c>
      <c r="M50" s="28" t="str">
        <f>IF(OR(E50="",K50=""),"",IF(N(G50)=0,"Pas de vente aujourd’hui",IF(J50&lt;K50*Paramètres!$B$11,"Rentable",IF(J50&lt;=K50,"Juste rentable","Perte"))))</f>
        <v/>
      </c>
      <c r="N50" s="24" t="str">
        <f t="shared" si="4"/>
        <v/>
      </c>
    </row>
    <row r="51" spans="1:14" x14ac:dyDescent="0.25">
      <c r="A51" s="38"/>
      <c r="B51" s="18"/>
      <c r="C51" s="18"/>
      <c r="D51" s="18"/>
      <c r="E51" s="19"/>
      <c r="F51" s="20"/>
      <c r="G51" s="20"/>
      <c r="H51" s="25" t="str">
        <f t="shared" si="0"/>
        <v/>
      </c>
      <c r="I51" s="39" t="str">
        <f t="shared" si="1"/>
        <v/>
      </c>
      <c r="J51" s="25" t="str">
        <f t="shared" si="2"/>
        <v/>
      </c>
      <c r="K51" s="25" t="str">
        <f>IF(C51="","",IFERROR(INDEX(Catalogue!$K$6:$K$55,MATCH(C51,Catalogue!$B$6:$B$55,0)),""))</f>
        <v/>
      </c>
      <c r="L51" s="25" t="str">
        <f t="shared" si="3"/>
        <v/>
      </c>
      <c r="M51" s="28" t="str">
        <f>IF(OR(E51="",K51=""),"",IF(N(G51)=0,"Pas de vente aujourd’hui",IF(J51&lt;K51*Paramètres!$B$11,"Rentable",IF(J51&lt;=K51,"Juste rentable","Perte"))))</f>
        <v/>
      </c>
      <c r="N51" s="24" t="str">
        <f t="shared" si="4"/>
        <v/>
      </c>
    </row>
    <row r="52" spans="1:14" x14ac:dyDescent="0.25">
      <c r="A52" s="38"/>
      <c r="B52" s="18"/>
      <c r="C52" s="18"/>
      <c r="D52" s="18"/>
      <c r="E52" s="19"/>
      <c r="F52" s="20"/>
      <c r="G52" s="20"/>
      <c r="H52" s="25" t="str">
        <f t="shared" si="0"/>
        <v/>
      </c>
      <c r="I52" s="39" t="str">
        <f t="shared" si="1"/>
        <v/>
      </c>
      <c r="J52" s="25" t="str">
        <f t="shared" si="2"/>
        <v/>
      </c>
      <c r="K52" s="25" t="str">
        <f>IF(C52="","",IFERROR(INDEX(Catalogue!$K$6:$K$55,MATCH(C52,Catalogue!$B$6:$B$55,0)),""))</f>
        <v/>
      </c>
      <c r="L52" s="25" t="str">
        <f t="shared" si="3"/>
        <v/>
      </c>
      <c r="M52" s="28" t="str">
        <f>IF(OR(E52="",K52=""),"",IF(N(G52)=0,"Pas de vente aujourd’hui",IF(J52&lt;K52*Paramètres!$B$11,"Rentable",IF(J52&lt;=K52,"Juste rentable","Perte"))))</f>
        <v/>
      </c>
      <c r="N52" s="24" t="str">
        <f t="shared" si="4"/>
        <v/>
      </c>
    </row>
    <row r="53" spans="1:14" x14ac:dyDescent="0.25">
      <c r="A53" s="38"/>
      <c r="B53" s="18"/>
      <c r="C53" s="18"/>
      <c r="D53" s="18"/>
      <c r="E53" s="19"/>
      <c r="F53" s="20"/>
      <c r="G53" s="20"/>
      <c r="H53" s="25" t="str">
        <f t="shared" si="0"/>
        <v/>
      </c>
      <c r="I53" s="39" t="str">
        <f t="shared" si="1"/>
        <v/>
      </c>
      <c r="J53" s="25" t="str">
        <f t="shared" si="2"/>
        <v/>
      </c>
      <c r="K53" s="25" t="str">
        <f>IF(C53="","",IFERROR(INDEX(Catalogue!$K$6:$K$55,MATCH(C53,Catalogue!$B$6:$B$55,0)),""))</f>
        <v/>
      </c>
      <c r="L53" s="25" t="str">
        <f t="shared" si="3"/>
        <v/>
      </c>
      <c r="M53" s="28" t="str">
        <f>IF(OR(E53="",K53=""),"",IF(N(G53)=0,"Pas de vente aujourd’hui",IF(J53&lt;K53*Paramètres!$B$11,"Rentable",IF(J53&lt;=K53,"Juste rentable","Perte"))))</f>
        <v/>
      </c>
      <c r="N53" s="24" t="str">
        <f t="shared" si="4"/>
        <v/>
      </c>
    </row>
    <row r="54" spans="1:14" x14ac:dyDescent="0.25">
      <c r="A54" s="38"/>
      <c r="B54" s="18"/>
      <c r="C54" s="18"/>
      <c r="D54" s="18"/>
      <c r="E54" s="19"/>
      <c r="F54" s="20"/>
      <c r="G54" s="20"/>
      <c r="H54" s="25" t="str">
        <f t="shared" si="0"/>
        <v/>
      </c>
      <c r="I54" s="39" t="str">
        <f t="shared" si="1"/>
        <v/>
      </c>
      <c r="J54" s="25" t="str">
        <f t="shared" si="2"/>
        <v/>
      </c>
      <c r="K54" s="25" t="str">
        <f>IF(C54="","",IFERROR(INDEX(Catalogue!$K$6:$K$55,MATCH(C54,Catalogue!$B$6:$B$55,0)),""))</f>
        <v/>
      </c>
      <c r="L54" s="25" t="str">
        <f t="shared" si="3"/>
        <v/>
      </c>
      <c r="M54" s="28" t="str">
        <f>IF(OR(E54="",K54=""),"",IF(N(G54)=0,"Pas de vente aujourd’hui",IF(J54&lt;K54*Paramètres!$B$11,"Rentable",IF(J54&lt;=K54,"Juste rentable","Perte"))))</f>
        <v/>
      </c>
      <c r="N54" s="24" t="str">
        <f t="shared" si="4"/>
        <v/>
      </c>
    </row>
    <row r="55" spans="1:14" x14ac:dyDescent="0.25">
      <c r="A55" s="38"/>
      <c r="B55" s="18"/>
      <c r="C55" s="18"/>
      <c r="D55" s="18"/>
      <c r="E55" s="19"/>
      <c r="F55" s="20"/>
      <c r="G55" s="20"/>
      <c r="H55" s="25" t="str">
        <f t="shared" si="0"/>
        <v/>
      </c>
      <c r="I55" s="39" t="str">
        <f t="shared" si="1"/>
        <v/>
      </c>
      <c r="J55" s="25" t="str">
        <f t="shared" si="2"/>
        <v/>
      </c>
      <c r="K55" s="25" t="str">
        <f>IF(C55="","",IFERROR(INDEX(Catalogue!$K$6:$K$55,MATCH(C55,Catalogue!$B$6:$B$55,0)),""))</f>
        <v/>
      </c>
      <c r="L55" s="25" t="str">
        <f t="shared" si="3"/>
        <v/>
      </c>
      <c r="M55" s="28" t="str">
        <f>IF(OR(E55="",K55=""),"",IF(N(G55)=0,"Pas de vente aujourd’hui",IF(J55&lt;K55*Paramètres!$B$11,"Rentable",IF(J55&lt;=K55,"Juste rentable","Perte"))))</f>
        <v/>
      </c>
      <c r="N55" s="24" t="str">
        <f t="shared" si="4"/>
        <v/>
      </c>
    </row>
    <row r="56" spans="1:14" x14ac:dyDescent="0.25">
      <c r="A56" s="38"/>
      <c r="B56" s="18"/>
      <c r="C56" s="18"/>
      <c r="D56" s="18"/>
      <c r="E56" s="19"/>
      <c r="F56" s="20"/>
      <c r="G56" s="20"/>
      <c r="H56" s="25" t="str">
        <f t="shared" si="0"/>
        <v/>
      </c>
      <c r="I56" s="39" t="str">
        <f t="shared" si="1"/>
        <v/>
      </c>
      <c r="J56" s="25" t="str">
        <f t="shared" si="2"/>
        <v/>
      </c>
      <c r="K56" s="25" t="str">
        <f>IF(C56="","",IFERROR(INDEX(Catalogue!$K$6:$K$55,MATCH(C56,Catalogue!$B$6:$B$55,0)),""))</f>
        <v/>
      </c>
      <c r="L56" s="25" t="str">
        <f t="shared" si="3"/>
        <v/>
      </c>
      <c r="M56" s="28" t="str">
        <f>IF(OR(E56="",K56=""),"",IF(N(G56)=0,"Pas de vente aujourd’hui",IF(J56&lt;K56*Paramètres!$B$11,"Rentable",IF(J56&lt;=K56,"Juste rentable","Perte"))))</f>
        <v/>
      </c>
      <c r="N56" s="24" t="str">
        <f t="shared" si="4"/>
        <v/>
      </c>
    </row>
    <row r="57" spans="1:14" x14ac:dyDescent="0.25">
      <c r="A57" s="38"/>
      <c r="B57" s="18"/>
      <c r="C57" s="18"/>
      <c r="D57" s="18"/>
      <c r="E57" s="19"/>
      <c r="F57" s="20"/>
      <c r="G57" s="20"/>
      <c r="H57" s="25" t="str">
        <f t="shared" si="0"/>
        <v/>
      </c>
      <c r="I57" s="39" t="str">
        <f t="shared" si="1"/>
        <v/>
      </c>
      <c r="J57" s="25" t="str">
        <f t="shared" si="2"/>
        <v/>
      </c>
      <c r="K57" s="25" t="str">
        <f>IF(C57="","",IFERROR(INDEX(Catalogue!$K$6:$K$55,MATCH(C57,Catalogue!$B$6:$B$55,0)),""))</f>
        <v/>
      </c>
      <c r="L57" s="25" t="str">
        <f t="shared" si="3"/>
        <v/>
      </c>
      <c r="M57" s="28" t="str">
        <f>IF(OR(E57="",K57=""),"",IF(N(G57)=0,"Pas de vente aujourd’hui",IF(J57&lt;K57*Paramètres!$B$11,"Rentable",IF(J57&lt;=K57,"Juste rentable","Perte"))))</f>
        <v/>
      </c>
      <c r="N57" s="24" t="str">
        <f t="shared" si="4"/>
        <v/>
      </c>
    </row>
    <row r="58" spans="1:14" x14ac:dyDescent="0.25">
      <c r="A58" s="38"/>
      <c r="B58" s="18"/>
      <c r="C58" s="18"/>
      <c r="D58" s="18"/>
      <c r="E58" s="19"/>
      <c r="F58" s="20"/>
      <c r="G58" s="20"/>
      <c r="H58" s="25" t="str">
        <f t="shared" si="0"/>
        <v/>
      </c>
      <c r="I58" s="39" t="str">
        <f t="shared" si="1"/>
        <v/>
      </c>
      <c r="J58" s="25" t="str">
        <f t="shared" si="2"/>
        <v/>
      </c>
      <c r="K58" s="25" t="str">
        <f>IF(C58="","",IFERROR(INDEX(Catalogue!$K$6:$K$55,MATCH(C58,Catalogue!$B$6:$B$55,0)),""))</f>
        <v/>
      </c>
      <c r="L58" s="25" t="str">
        <f t="shared" si="3"/>
        <v/>
      </c>
      <c r="M58" s="28" t="str">
        <f>IF(OR(E58="",K58=""),"",IF(N(G58)=0,"Pas de vente aujourd’hui",IF(J58&lt;K58*Paramètres!$B$11,"Rentable",IF(J58&lt;=K58,"Juste rentable","Perte"))))</f>
        <v/>
      </c>
      <c r="N58" s="24" t="str">
        <f t="shared" si="4"/>
        <v/>
      </c>
    </row>
    <row r="59" spans="1:14" x14ac:dyDescent="0.25">
      <c r="A59" s="38"/>
      <c r="B59" s="18"/>
      <c r="C59" s="18"/>
      <c r="D59" s="18"/>
      <c r="E59" s="19"/>
      <c r="F59" s="20"/>
      <c r="G59" s="20"/>
      <c r="H59" s="25" t="str">
        <f t="shared" si="0"/>
        <v/>
      </c>
      <c r="I59" s="39" t="str">
        <f t="shared" si="1"/>
        <v/>
      </c>
      <c r="J59" s="25" t="str">
        <f t="shared" si="2"/>
        <v/>
      </c>
      <c r="K59" s="25" t="str">
        <f>IF(C59="","",IFERROR(INDEX(Catalogue!$K$6:$K$55,MATCH(C59,Catalogue!$B$6:$B$55,0)),""))</f>
        <v/>
      </c>
      <c r="L59" s="25" t="str">
        <f t="shared" si="3"/>
        <v/>
      </c>
      <c r="M59" s="28" t="str">
        <f>IF(OR(E59="",K59=""),"",IF(N(G59)=0,"Pas de vente aujourd’hui",IF(J59&lt;K59*Paramètres!$B$11,"Rentable",IF(J59&lt;=K59,"Juste rentable","Perte"))))</f>
        <v/>
      </c>
      <c r="N59" s="24" t="str">
        <f t="shared" si="4"/>
        <v/>
      </c>
    </row>
    <row r="60" spans="1:14" x14ac:dyDescent="0.25">
      <c r="A60" s="38"/>
      <c r="B60" s="18"/>
      <c r="C60" s="18"/>
      <c r="D60" s="18"/>
      <c r="E60" s="19"/>
      <c r="F60" s="20"/>
      <c r="G60" s="20"/>
      <c r="H60" s="25" t="str">
        <f t="shared" si="0"/>
        <v/>
      </c>
      <c r="I60" s="39" t="str">
        <f t="shared" si="1"/>
        <v/>
      </c>
      <c r="J60" s="25" t="str">
        <f t="shared" si="2"/>
        <v/>
      </c>
      <c r="K60" s="25" t="str">
        <f>IF(C60="","",IFERROR(INDEX(Catalogue!$K$6:$K$55,MATCH(C60,Catalogue!$B$6:$B$55,0)),""))</f>
        <v/>
      </c>
      <c r="L60" s="25" t="str">
        <f t="shared" si="3"/>
        <v/>
      </c>
      <c r="M60" s="28" t="str">
        <f>IF(OR(E60="",K60=""),"",IF(N(G60)=0,"Pas de vente aujourd’hui",IF(J60&lt;K60*Paramètres!$B$11,"Rentable",IF(J60&lt;=K60,"Juste rentable","Perte"))))</f>
        <v/>
      </c>
      <c r="N60" s="24" t="str">
        <f t="shared" si="4"/>
        <v/>
      </c>
    </row>
    <row r="61" spans="1:14" x14ac:dyDescent="0.25">
      <c r="A61" s="38"/>
      <c r="B61" s="18"/>
      <c r="C61" s="18"/>
      <c r="D61" s="18"/>
      <c r="E61" s="19"/>
      <c r="F61" s="20"/>
      <c r="G61" s="20"/>
      <c r="H61" s="25" t="str">
        <f t="shared" si="0"/>
        <v/>
      </c>
      <c r="I61" s="39" t="str">
        <f t="shared" si="1"/>
        <v/>
      </c>
      <c r="J61" s="25" t="str">
        <f t="shared" si="2"/>
        <v/>
      </c>
      <c r="K61" s="25" t="str">
        <f>IF(C61="","",IFERROR(INDEX(Catalogue!$K$6:$K$55,MATCH(C61,Catalogue!$B$6:$B$55,0)),""))</f>
        <v/>
      </c>
      <c r="L61" s="25" t="str">
        <f t="shared" si="3"/>
        <v/>
      </c>
      <c r="M61" s="28" t="str">
        <f>IF(OR(E61="",K61=""),"",IF(N(G61)=0,"Pas de vente aujourd’hui",IF(J61&lt;K61*Paramètres!$B$11,"Rentable",IF(J61&lt;=K61,"Juste rentable","Perte"))))</f>
        <v/>
      </c>
      <c r="N61" s="24" t="str">
        <f t="shared" si="4"/>
        <v/>
      </c>
    </row>
    <row r="62" spans="1:14" x14ac:dyDescent="0.25">
      <c r="A62" s="38"/>
      <c r="B62" s="18"/>
      <c r="C62" s="18"/>
      <c r="D62" s="18"/>
      <c r="E62" s="19"/>
      <c r="F62" s="20"/>
      <c r="G62" s="20"/>
      <c r="H62" s="25" t="str">
        <f t="shared" si="0"/>
        <v/>
      </c>
      <c r="I62" s="39" t="str">
        <f t="shared" si="1"/>
        <v/>
      </c>
      <c r="J62" s="25" t="str">
        <f t="shared" si="2"/>
        <v/>
      </c>
      <c r="K62" s="25" t="str">
        <f>IF(C62="","",IFERROR(INDEX(Catalogue!$K$6:$K$55,MATCH(C62,Catalogue!$B$6:$B$55,0)),""))</f>
        <v/>
      </c>
      <c r="L62" s="25" t="str">
        <f t="shared" si="3"/>
        <v/>
      </c>
      <c r="M62" s="28" t="str">
        <f>IF(OR(E62="",K62=""),"",IF(N(G62)=0,"Pas de vente aujourd’hui",IF(J62&lt;K62*Paramètres!$B$11,"Rentable",IF(J62&lt;=K62,"Juste rentable","Perte"))))</f>
        <v/>
      </c>
      <c r="N62" s="24" t="str">
        <f t="shared" si="4"/>
        <v/>
      </c>
    </row>
    <row r="63" spans="1:14" x14ac:dyDescent="0.25">
      <c r="A63" s="38"/>
      <c r="B63" s="18"/>
      <c r="C63" s="18"/>
      <c r="D63" s="18"/>
      <c r="E63" s="19"/>
      <c r="F63" s="20"/>
      <c r="G63" s="20"/>
      <c r="H63" s="25" t="str">
        <f t="shared" si="0"/>
        <v/>
      </c>
      <c r="I63" s="39" t="str">
        <f t="shared" si="1"/>
        <v/>
      </c>
      <c r="J63" s="25" t="str">
        <f t="shared" si="2"/>
        <v/>
      </c>
      <c r="K63" s="25" t="str">
        <f>IF(C63="","",IFERROR(INDEX(Catalogue!$K$6:$K$55,MATCH(C63,Catalogue!$B$6:$B$55,0)),""))</f>
        <v/>
      </c>
      <c r="L63" s="25" t="str">
        <f t="shared" si="3"/>
        <v/>
      </c>
      <c r="M63" s="28" t="str">
        <f>IF(OR(E63="",K63=""),"",IF(N(G63)=0,"Pas de vente aujourd’hui",IF(J63&lt;K63*Paramètres!$B$11,"Rentable",IF(J63&lt;=K63,"Juste rentable","Perte"))))</f>
        <v/>
      </c>
      <c r="N63" s="24" t="str">
        <f t="shared" si="4"/>
        <v/>
      </c>
    </row>
    <row r="64" spans="1:14" x14ac:dyDescent="0.25">
      <c r="A64" s="38"/>
      <c r="B64" s="18"/>
      <c r="C64" s="18"/>
      <c r="D64" s="18"/>
      <c r="E64" s="19"/>
      <c r="F64" s="20"/>
      <c r="G64" s="20"/>
      <c r="H64" s="25" t="str">
        <f t="shared" si="0"/>
        <v/>
      </c>
      <c r="I64" s="39" t="str">
        <f t="shared" si="1"/>
        <v/>
      </c>
      <c r="J64" s="25" t="str">
        <f t="shared" si="2"/>
        <v/>
      </c>
      <c r="K64" s="25" t="str">
        <f>IF(C64="","",IFERROR(INDEX(Catalogue!$K$6:$K$55,MATCH(C64,Catalogue!$B$6:$B$55,0)),""))</f>
        <v/>
      </c>
      <c r="L64" s="25" t="str">
        <f t="shared" si="3"/>
        <v/>
      </c>
      <c r="M64" s="28" t="str">
        <f>IF(OR(E64="",K64=""),"",IF(N(G64)=0,"Pas de vente aujourd’hui",IF(J64&lt;K64*Paramètres!$B$11,"Rentable",IF(J64&lt;=K64,"Juste rentable","Perte"))))</f>
        <v/>
      </c>
      <c r="N64" s="24" t="str">
        <f t="shared" si="4"/>
        <v/>
      </c>
    </row>
    <row r="65" spans="1:14" x14ac:dyDescent="0.25">
      <c r="A65" s="38"/>
      <c r="B65" s="18"/>
      <c r="C65" s="18"/>
      <c r="D65" s="18"/>
      <c r="E65" s="19"/>
      <c r="F65" s="20"/>
      <c r="G65" s="20"/>
      <c r="H65" s="25" t="str">
        <f t="shared" si="0"/>
        <v/>
      </c>
      <c r="I65" s="39" t="str">
        <f t="shared" si="1"/>
        <v/>
      </c>
      <c r="J65" s="25" t="str">
        <f t="shared" si="2"/>
        <v/>
      </c>
      <c r="K65" s="25" t="str">
        <f>IF(C65="","",IFERROR(INDEX(Catalogue!$K$6:$K$55,MATCH(C65,Catalogue!$B$6:$B$55,0)),""))</f>
        <v/>
      </c>
      <c r="L65" s="25" t="str">
        <f t="shared" si="3"/>
        <v/>
      </c>
      <c r="M65" s="28" t="str">
        <f>IF(OR(E65="",K65=""),"",IF(N(G65)=0,"Pas de vente aujourd’hui",IF(J65&lt;K65*Paramètres!$B$11,"Rentable",IF(J65&lt;=K65,"Juste rentable","Perte"))))</f>
        <v/>
      </c>
      <c r="N65" s="24" t="str">
        <f t="shared" si="4"/>
        <v/>
      </c>
    </row>
    <row r="66" spans="1:14" x14ac:dyDescent="0.25">
      <c r="A66" s="38"/>
      <c r="B66" s="18"/>
      <c r="C66" s="18"/>
      <c r="D66" s="18"/>
      <c r="E66" s="19"/>
      <c r="F66" s="20"/>
      <c r="G66" s="20"/>
      <c r="H66" s="25" t="str">
        <f t="shared" si="0"/>
        <v/>
      </c>
      <c r="I66" s="39" t="str">
        <f t="shared" si="1"/>
        <v/>
      </c>
      <c r="J66" s="25" t="str">
        <f t="shared" si="2"/>
        <v/>
      </c>
      <c r="K66" s="25" t="str">
        <f>IF(C66="","",IFERROR(INDEX(Catalogue!$K$6:$K$55,MATCH(C66,Catalogue!$B$6:$B$55,0)),""))</f>
        <v/>
      </c>
      <c r="L66" s="25" t="str">
        <f t="shared" si="3"/>
        <v/>
      </c>
      <c r="M66" s="28" t="str">
        <f>IF(OR(E66="",K66=""),"",IF(N(G66)=0,"Pas de vente aujourd’hui",IF(J66&lt;K66*Paramètres!$B$11,"Rentable",IF(J66&lt;=K66,"Juste rentable","Perte"))))</f>
        <v/>
      </c>
      <c r="N66" s="24" t="str">
        <f t="shared" si="4"/>
        <v/>
      </c>
    </row>
    <row r="67" spans="1:14" x14ac:dyDescent="0.25">
      <c r="A67" s="38"/>
      <c r="B67" s="18"/>
      <c r="C67" s="18"/>
      <c r="D67" s="18"/>
      <c r="E67" s="19"/>
      <c r="F67" s="20"/>
      <c r="G67" s="20"/>
      <c r="H67" s="25" t="str">
        <f t="shared" si="0"/>
        <v/>
      </c>
      <c r="I67" s="39" t="str">
        <f t="shared" si="1"/>
        <v/>
      </c>
      <c r="J67" s="25" t="str">
        <f t="shared" si="2"/>
        <v/>
      </c>
      <c r="K67" s="25" t="str">
        <f>IF(C67="","",IFERROR(INDEX(Catalogue!$K$6:$K$55,MATCH(C67,Catalogue!$B$6:$B$55,0)),""))</f>
        <v/>
      </c>
      <c r="L67" s="25" t="str">
        <f t="shared" si="3"/>
        <v/>
      </c>
      <c r="M67" s="28" t="str">
        <f>IF(OR(E67="",K67=""),"",IF(N(G67)=0,"Pas de vente aujourd’hui",IF(J67&lt;K67*Paramètres!$B$11,"Rentable",IF(J67&lt;=K67,"Juste rentable","Perte"))))</f>
        <v/>
      </c>
      <c r="N67" s="24" t="str">
        <f t="shared" si="4"/>
        <v/>
      </c>
    </row>
    <row r="68" spans="1:14" x14ac:dyDescent="0.25">
      <c r="A68" s="38"/>
      <c r="B68" s="18"/>
      <c r="C68" s="18"/>
      <c r="D68" s="18"/>
      <c r="E68" s="19"/>
      <c r="F68" s="20"/>
      <c r="G68" s="20"/>
      <c r="H68" s="25" t="str">
        <f t="shared" si="0"/>
        <v/>
      </c>
      <c r="I68" s="39" t="str">
        <f t="shared" si="1"/>
        <v/>
      </c>
      <c r="J68" s="25" t="str">
        <f t="shared" si="2"/>
        <v/>
      </c>
      <c r="K68" s="25" t="str">
        <f>IF(C68="","",IFERROR(INDEX(Catalogue!$K$6:$K$55,MATCH(C68,Catalogue!$B$6:$B$55,0)),""))</f>
        <v/>
      </c>
      <c r="L68" s="25" t="str">
        <f t="shared" si="3"/>
        <v/>
      </c>
      <c r="M68" s="28" t="str">
        <f>IF(OR(E68="",K68=""),"",IF(N(G68)=0,"Pas de vente aujourd’hui",IF(J68&lt;K68*Paramètres!$B$11,"Rentable",IF(J68&lt;=K68,"Juste rentable","Perte"))))</f>
        <v/>
      </c>
      <c r="N68" s="24" t="str">
        <f t="shared" si="4"/>
        <v/>
      </c>
    </row>
    <row r="69" spans="1:14" x14ac:dyDescent="0.25">
      <c r="A69" s="38"/>
      <c r="B69" s="18"/>
      <c r="C69" s="18"/>
      <c r="D69" s="18"/>
      <c r="E69" s="19"/>
      <c r="F69" s="20"/>
      <c r="G69" s="20"/>
      <c r="H69" s="25" t="str">
        <f t="shared" si="0"/>
        <v/>
      </c>
      <c r="I69" s="39" t="str">
        <f t="shared" si="1"/>
        <v/>
      </c>
      <c r="J69" s="25" t="str">
        <f t="shared" si="2"/>
        <v/>
      </c>
      <c r="K69" s="25" t="str">
        <f>IF(C69="","",IFERROR(INDEX(Catalogue!$K$6:$K$55,MATCH(C69,Catalogue!$B$6:$B$55,0)),""))</f>
        <v/>
      </c>
      <c r="L69" s="25" t="str">
        <f t="shared" si="3"/>
        <v/>
      </c>
      <c r="M69" s="28" t="str">
        <f>IF(OR(E69="",K69=""),"",IF(N(G69)=0,"Pas de vente aujourd’hui",IF(J69&lt;K69*Paramètres!$B$11,"Rentable",IF(J69&lt;=K69,"Juste rentable","Perte"))))</f>
        <v/>
      </c>
      <c r="N69" s="24" t="str">
        <f t="shared" si="4"/>
        <v/>
      </c>
    </row>
    <row r="70" spans="1:14" x14ac:dyDescent="0.25">
      <c r="A70" s="38"/>
      <c r="B70" s="18"/>
      <c r="C70" s="18"/>
      <c r="D70" s="18"/>
      <c r="E70" s="19"/>
      <c r="F70" s="20"/>
      <c r="G70" s="20"/>
      <c r="H70" s="25" t="str">
        <f t="shared" ref="H70:H133" si="5">IF(N(F70)&gt;0,E70/F70,"")</f>
        <v/>
      </c>
      <c r="I70" s="39" t="str">
        <f t="shared" ref="I70:I133" si="6">IF(N(F70)&gt;0,G70/F70,"")</f>
        <v/>
      </c>
      <c r="J70" s="25" t="str">
        <f t="shared" ref="J70:J133" si="7">IF(N(G70)&gt;0,E70/G70,"")</f>
        <v/>
      </c>
      <c r="K70" s="25" t="str">
        <f>IF(C70="","",IFERROR(INDEX(Catalogue!$K$6:$K$55,MATCH(C70,Catalogue!$B$6:$B$55,0)),""))</f>
        <v/>
      </c>
      <c r="L70" s="25" t="str">
        <f t="shared" ref="L70:L133" si="8">IF(OR(E70="",K70=""),"",N(G70)*K70-E70)</f>
        <v/>
      </c>
      <c r="M70" s="28" t="str">
        <f>IF(OR(E70="",K70=""),"",IF(N(G70)=0,"Pas de vente aujourd’hui",IF(J70&lt;K70*Paramètres!$B$11,"Rentable",IF(J70&lt;=K70,"Juste rentable","Perte"))))</f>
        <v/>
      </c>
      <c r="N70" s="24" t="str">
        <f t="shared" ref="N70:N133" si="9">IF(A70="","",DATE(YEAR(A70),MONTH(A70),1))</f>
        <v/>
      </c>
    </row>
    <row r="71" spans="1:14" x14ac:dyDescent="0.25">
      <c r="A71" s="38"/>
      <c r="B71" s="18"/>
      <c r="C71" s="18"/>
      <c r="D71" s="18"/>
      <c r="E71" s="19"/>
      <c r="F71" s="20"/>
      <c r="G71" s="20"/>
      <c r="H71" s="25" t="str">
        <f t="shared" si="5"/>
        <v/>
      </c>
      <c r="I71" s="39" t="str">
        <f t="shared" si="6"/>
        <v/>
      </c>
      <c r="J71" s="25" t="str">
        <f t="shared" si="7"/>
        <v/>
      </c>
      <c r="K71" s="25" t="str">
        <f>IF(C71="","",IFERROR(INDEX(Catalogue!$K$6:$K$55,MATCH(C71,Catalogue!$B$6:$B$55,0)),""))</f>
        <v/>
      </c>
      <c r="L71" s="25" t="str">
        <f t="shared" si="8"/>
        <v/>
      </c>
      <c r="M71" s="28" t="str">
        <f>IF(OR(E71="",K71=""),"",IF(N(G71)=0,"Pas de vente aujourd’hui",IF(J71&lt;K71*Paramètres!$B$11,"Rentable",IF(J71&lt;=K71,"Juste rentable","Perte"))))</f>
        <v/>
      </c>
      <c r="N71" s="24" t="str">
        <f t="shared" si="9"/>
        <v/>
      </c>
    </row>
    <row r="72" spans="1:14" x14ac:dyDescent="0.25">
      <c r="A72" s="38"/>
      <c r="B72" s="18"/>
      <c r="C72" s="18"/>
      <c r="D72" s="18"/>
      <c r="E72" s="19"/>
      <c r="F72" s="20"/>
      <c r="G72" s="20"/>
      <c r="H72" s="25" t="str">
        <f t="shared" si="5"/>
        <v/>
      </c>
      <c r="I72" s="39" t="str">
        <f t="shared" si="6"/>
        <v/>
      </c>
      <c r="J72" s="25" t="str">
        <f t="shared" si="7"/>
        <v/>
      </c>
      <c r="K72" s="25" t="str">
        <f>IF(C72="","",IFERROR(INDEX(Catalogue!$K$6:$K$55,MATCH(C72,Catalogue!$B$6:$B$55,0)),""))</f>
        <v/>
      </c>
      <c r="L72" s="25" t="str">
        <f t="shared" si="8"/>
        <v/>
      </c>
      <c r="M72" s="28" t="str">
        <f>IF(OR(E72="",K72=""),"",IF(N(G72)=0,"Pas de vente aujourd’hui",IF(J72&lt;K72*Paramètres!$B$11,"Rentable",IF(J72&lt;=K72,"Juste rentable","Perte"))))</f>
        <v/>
      </c>
      <c r="N72" s="24" t="str">
        <f t="shared" si="9"/>
        <v/>
      </c>
    </row>
    <row r="73" spans="1:14" x14ac:dyDescent="0.25">
      <c r="A73" s="38"/>
      <c r="B73" s="18"/>
      <c r="C73" s="18"/>
      <c r="D73" s="18"/>
      <c r="E73" s="19"/>
      <c r="F73" s="20"/>
      <c r="G73" s="20"/>
      <c r="H73" s="25" t="str">
        <f t="shared" si="5"/>
        <v/>
      </c>
      <c r="I73" s="39" t="str">
        <f t="shared" si="6"/>
        <v/>
      </c>
      <c r="J73" s="25" t="str">
        <f t="shared" si="7"/>
        <v/>
      </c>
      <c r="K73" s="25" t="str">
        <f>IF(C73="","",IFERROR(INDEX(Catalogue!$K$6:$K$55,MATCH(C73,Catalogue!$B$6:$B$55,0)),""))</f>
        <v/>
      </c>
      <c r="L73" s="25" t="str">
        <f t="shared" si="8"/>
        <v/>
      </c>
      <c r="M73" s="28" t="str">
        <f>IF(OR(E73="",K73=""),"",IF(N(G73)=0,"Pas de vente aujourd’hui",IF(J73&lt;K73*Paramètres!$B$11,"Rentable",IF(J73&lt;=K73,"Juste rentable","Perte"))))</f>
        <v/>
      </c>
      <c r="N73" s="24" t="str">
        <f t="shared" si="9"/>
        <v/>
      </c>
    </row>
    <row r="74" spans="1:14" x14ac:dyDescent="0.25">
      <c r="A74" s="38"/>
      <c r="B74" s="18"/>
      <c r="C74" s="18"/>
      <c r="D74" s="18"/>
      <c r="E74" s="19"/>
      <c r="F74" s="20"/>
      <c r="G74" s="20"/>
      <c r="H74" s="25" t="str">
        <f t="shared" si="5"/>
        <v/>
      </c>
      <c r="I74" s="39" t="str">
        <f t="shared" si="6"/>
        <v/>
      </c>
      <c r="J74" s="25" t="str">
        <f t="shared" si="7"/>
        <v/>
      </c>
      <c r="K74" s="25" t="str">
        <f>IF(C74="","",IFERROR(INDEX(Catalogue!$K$6:$K$55,MATCH(C74,Catalogue!$B$6:$B$55,0)),""))</f>
        <v/>
      </c>
      <c r="L74" s="25" t="str">
        <f t="shared" si="8"/>
        <v/>
      </c>
      <c r="M74" s="28" t="str">
        <f>IF(OR(E74="",K74=""),"",IF(N(G74)=0,"Pas de vente aujourd’hui",IF(J74&lt;K74*Paramètres!$B$11,"Rentable",IF(J74&lt;=K74,"Juste rentable","Perte"))))</f>
        <v/>
      </c>
      <c r="N74" s="24" t="str">
        <f t="shared" si="9"/>
        <v/>
      </c>
    </row>
    <row r="75" spans="1:14" x14ac:dyDescent="0.25">
      <c r="A75" s="38"/>
      <c r="B75" s="18"/>
      <c r="C75" s="18"/>
      <c r="D75" s="18"/>
      <c r="E75" s="19"/>
      <c r="F75" s="20"/>
      <c r="G75" s="20"/>
      <c r="H75" s="25" t="str">
        <f t="shared" si="5"/>
        <v/>
      </c>
      <c r="I75" s="39" t="str">
        <f t="shared" si="6"/>
        <v/>
      </c>
      <c r="J75" s="25" t="str">
        <f t="shared" si="7"/>
        <v/>
      </c>
      <c r="K75" s="25" t="str">
        <f>IF(C75="","",IFERROR(INDEX(Catalogue!$K$6:$K$55,MATCH(C75,Catalogue!$B$6:$B$55,0)),""))</f>
        <v/>
      </c>
      <c r="L75" s="25" t="str">
        <f t="shared" si="8"/>
        <v/>
      </c>
      <c r="M75" s="28" t="str">
        <f>IF(OR(E75="",K75=""),"",IF(N(G75)=0,"Pas de vente aujourd’hui",IF(J75&lt;K75*Paramètres!$B$11,"Rentable",IF(J75&lt;=K75,"Juste rentable","Perte"))))</f>
        <v/>
      </c>
      <c r="N75" s="24" t="str">
        <f t="shared" si="9"/>
        <v/>
      </c>
    </row>
    <row r="76" spans="1:14" x14ac:dyDescent="0.25">
      <c r="A76" s="38"/>
      <c r="B76" s="18"/>
      <c r="C76" s="18"/>
      <c r="D76" s="18"/>
      <c r="E76" s="19"/>
      <c r="F76" s="20"/>
      <c r="G76" s="20"/>
      <c r="H76" s="25" t="str">
        <f t="shared" si="5"/>
        <v/>
      </c>
      <c r="I76" s="39" t="str">
        <f t="shared" si="6"/>
        <v/>
      </c>
      <c r="J76" s="25" t="str">
        <f t="shared" si="7"/>
        <v/>
      </c>
      <c r="K76" s="25" t="str">
        <f>IF(C76="","",IFERROR(INDEX(Catalogue!$K$6:$K$55,MATCH(C76,Catalogue!$B$6:$B$55,0)),""))</f>
        <v/>
      </c>
      <c r="L76" s="25" t="str">
        <f t="shared" si="8"/>
        <v/>
      </c>
      <c r="M76" s="28" t="str">
        <f>IF(OR(E76="",K76=""),"",IF(N(G76)=0,"Pas de vente aujourd’hui",IF(J76&lt;K76*Paramètres!$B$11,"Rentable",IF(J76&lt;=K76,"Juste rentable","Perte"))))</f>
        <v/>
      </c>
      <c r="N76" s="24" t="str">
        <f t="shared" si="9"/>
        <v/>
      </c>
    </row>
    <row r="77" spans="1:14" x14ac:dyDescent="0.25">
      <c r="A77" s="38"/>
      <c r="B77" s="18"/>
      <c r="C77" s="18"/>
      <c r="D77" s="18"/>
      <c r="E77" s="19"/>
      <c r="F77" s="20"/>
      <c r="G77" s="20"/>
      <c r="H77" s="25" t="str">
        <f t="shared" si="5"/>
        <v/>
      </c>
      <c r="I77" s="39" t="str">
        <f t="shared" si="6"/>
        <v/>
      </c>
      <c r="J77" s="25" t="str">
        <f t="shared" si="7"/>
        <v/>
      </c>
      <c r="K77" s="25" t="str">
        <f>IF(C77="","",IFERROR(INDEX(Catalogue!$K$6:$K$55,MATCH(C77,Catalogue!$B$6:$B$55,0)),""))</f>
        <v/>
      </c>
      <c r="L77" s="25" t="str">
        <f t="shared" si="8"/>
        <v/>
      </c>
      <c r="M77" s="28" t="str">
        <f>IF(OR(E77="",K77=""),"",IF(N(G77)=0,"Pas de vente aujourd’hui",IF(J77&lt;K77*Paramètres!$B$11,"Rentable",IF(J77&lt;=K77,"Juste rentable","Perte"))))</f>
        <v/>
      </c>
      <c r="N77" s="24" t="str">
        <f t="shared" si="9"/>
        <v/>
      </c>
    </row>
    <row r="78" spans="1:14" x14ac:dyDescent="0.25">
      <c r="A78" s="38"/>
      <c r="B78" s="18"/>
      <c r="C78" s="18"/>
      <c r="D78" s="18"/>
      <c r="E78" s="19"/>
      <c r="F78" s="20"/>
      <c r="G78" s="20"/>
      <c r="H78" s="25" t="str">
        <f t="shared" si="5"/>
        <v/>
      </c>
      <c r="I78" s="39" t="str">
        <f t="shared" si="6"/>
        <v/>
      </c>
      <c r="J78" s="25" t="str">
        <f t="shared" si="7"/>
        <v/>
      </c>
      <c r="K78" s="25" t="str">
        <f>IF(C78="","",IFERROR(INDEX(Catalogue!$K$6:$K$55,MATCH(C78,Catalogue!$B$6:$B$55,0)),""))</f>
        <v/>
      </c>
      <c r="L78" s="25" t="str">
        <f t="shared" si="8"/>
        <v/>
      </c>
      <c r="M78" s="28" t="str">
        <f>IF(OR(E78="",K78=""),"",IF(N(G78)=0,"Pas de vente aujourd’hui",IF(J78&lt;K78*Paramètres!$B$11,"Rentable",IF(J78&lt;=K78,"Juste rentable","Perte"))))</f>
        <v/>
      </c>
      <c r="N78" s="24" t="str">
        <f t="shared" si="9"/>
        <v/>
      </c>
    </row>
    <row r="79" spans="1:14" x14ac:dyDescent="0.25">
      <c r="A79" s="38"/>
      <c r="B79" s="18"/>
      <c r="C79" s="18"/>
      <c r="D79" s="18"/>
      <c r="E79" s="19"/>
      <c r="F79" s="20"/>
      <c r="G79" s="20"/>
      <c r="H79" s="25" t="str">
        <f t="shared" si="5"/>
        <v/>
      </c>
      <c r="I79" s="39" t="str">
        <f t="shared" si="6"/>
        <v/>
      </c>
      <c r="J79" s="25" t="str">
        <f t="shared" si="7"/>
        <v/>
      </c>
      <c r="K79" s="25" t="str">
        <f>IF(C79="","",IFERROR(INDEX(Catalogue!$K$6:$K$55,MATCH(C79,Catalogue!$B$6:$B$55,0)),""))</f>
        <v/>
      </c>
      <c r="L79" s="25" t="str">
        <f t="shared" si="8"/>
        <v/>
      </c>
      <c r="M79" s="28" t="str">
        <f>IF(OR(E79="",K79=""),"",IF(N(G79)=0,"Pas de vente aujourd’hui",IF(J79&lt;K79*Paramètres!$B$11,"Rentable",IF(J79&lt;=K79,"Juste rentable","Perte"))))</f>
        <v/>
      </c>
      <c r="N79" s="24" t="str">
        <f t="shared" si="9"/>
        <v/>
      </c>
    </row>
    <row r="80" spans="1:14" x14ac:dyDescent="0.25">
      <c r="A80" s="38"/>
      <c r="B80" s="18"/>
      <c r="C80" s="18"/>
      <c r="D80" s="18"/>
      <c r="E80" s="19"/>
      <c r="F80" s="20"/>
      <c r="G80" s="20"/>
      <c r="H80" s="25" t="str">
        <f t="shared" si="5"/>
        <v/>
      </c>
      <c r="I80" s="39" t="str">
        <f t="shared" si="6"/>
        <v/>
      </c>
      <c r="J80" s="25" t="str">
        <f t="shared" si="7"/>
        <v/>
      </c>
      <c r="K80" s="25" t="str">
        <f>IF(C80="","",IFERROR(INDEX(Catalogue!$K$6:$K$55,MATCH(C80,Catalogue!$B$6:$B$55,0)),""))</f>
        <v/>
      </c>
      <c r="L80" s="25" t="str">
        <f t="shared" si="8"/>
        <v/>
      </c>
      <c r="M80" s="28" t="str">
        <f>IF(OR(E80="",K80=""),"",IF(N(G80)=0,"Pas de vente aujourd’hui",IF(J80&lt;K80*Paramètres!$B$11,"Rentable",IF(J80&lt;=K80,"Juste rentable","Perte"))))</f>
        <v/>
      </c>
      <c r="N80" s="24" t="str">
        <f t="shared" si="9"/>
        <v/>
      </c>
    </row>
    <row r="81" spans="1:14" x14ac:dyDescent="0.25">
      <c r="A81" s="38"/>
      <c r="B81" s="18"/>
      <c r="C81" s="18"/>
      <c r="D81" s="18"/>
      <c r="E81" s="19"/>
      <c r="F81" s="20"/>
      <c r="G81" s="20"/>
      <c r="H81" s="25" t="str">
        <f t="shared" si="5"/>
        <v/>
      </c>
      <c r="I81" s="39" t="str">
        <f t="shared" si="6"/>
        <v/>
      </c>
      <c r="J81" s="25" t="str">
        <f t="shared" si="7"/>
        <v/>
      </c>
      <c r="K81" s="25" t="str">
        <f>IF(C81="","",IFERROR(INDEX(Catalogue!$K$6:$K$55,MATCH(C81,Catalogue!$B$6:$B$55,0)),""))</f>
        <v/>
      </c>
      <c r="L81" s="25" t="str">
        <f t="shared" si="8"/>
        <v/>
      </c>
      <c r="M81" s="28" t="str">
        <f>IF(OR(E81="",K81=""),"",IF(N(G81)=0,"Pas de vente aujourd’hui",IF(J81&lt;K81*Paramètres!$B$11,"Rentable",IF(J81&lt;=K81,"Juste rentable","Perte"))))</f>
        <v/>
      </c>
      <c r="N81" s="24" t="str">
        <f t="shared" si="9"/>
        <v/>
      </c>
    </row>
    <row r="82" spans="1:14" x14ac:dyDescent="0.25">
      <c r="A82" s="38"/>
      <c r="B82" s="18"/>
      <c r="C82" s="18"/>
      <c r="D82" s="18"/>
      <c r="E82" s="19"/>
      <c r="F82" s="20"/>
      <c r="G82" s="20"/>
      <c r="H82" s="25" t="str">
        <f t="shared" si="5"/>
        <v/>
      </c>
      <c r="I82" s="39" t="str">
        <f t="shared" si="6"/>
        <v/>
      </c>
      <c r="J82" s="25" t="str">
        <f t="shared" si="7"/>
        <v/>
      </c>
      <c r="K82" s="25" t="str">
        <f>IF(C82="","",IFERROR(INDEX(Catalogue!$K$6:$K$55,MATCH(C82,Catalogue!$B$6:$B$55,0)),""))</f>
        <v/>
      </c>
      <c r="L82" s="25" t="str">
        <f t="shared" si="8"/>
        <v/>
      </c>
      <c r="M82" s="28" t="str">
        <f>IF(OR(E82="",K82=""),"",IF(N(G82)=0,"Pas de vente aujourd’hui",IF(J82&lt;K82*Paramètres!$B$11,"Rentable",IF(J82&lt;=K82,"Juste rentable","Perte"))))</f>
        <v/>
      </c>
      <c r="N82" s="24" t="str">
        <f t="shared" si="9"/>
        <v/>
      </c>
    </row>
    <row r="83" spans="1:14" x14ac:dyDescent="0.25">
      <c r="A83" s="38"/>
      <c r="B83" s="18"/>
      <c r="C83" s="18"/>
      <c r="D83" s="18"/>
      <c r="E83" s="19"/>
      <c r="F83" s="20"/>
      <c r="G83" s="20"/>
      <c r="H83" s="25" t="str">
        <f t="shared" si="5"/>
        <v/>
      </c>
      <c r="I83" s="39" t="str">
        <f t="shared" si="6"/>
        <v/>
      </c>
      <c r="J83" s="25" t="str">
        <f t="shared" si="7"/>
        <v/>
      </c>
      <c r="K83" s="25" t="str">
        <f>IF(C83="","",IFERROR(INDEX(Catalogue!$K$6:$K$55,MATCH(C83,Catalogue!$B$6:$B$55,0)),""))</f>
        <v/>
      </c>
      <c r="L83" s="25" t="str">
        <f t="shared" si="8"/>
        <v/>
      </c>
      <c r="M83" s="28" t="str">
        <f>IF(OR(E83="",K83=""),"",IF(N(G83)=0,"Pas de vente aujourd’hui",IF(J83&lt;K83*Paramètres!$B$11,"Rentable",IF(J83&lt;=K83,"Juste rentable","Perte"))))</f>
        <v/>
      </c>
      <c r="N83" s="24" t="str">
        <f t="shared" si="9"/>
        <v/>
      </c>
    </row>
    <row r="84" spans="1:14" x14ac:dyDescent="0.25">
      <c r="A84" s="38"/>
      <c r="B84" s="18"/>
      <c r="C84" s="18"/>
      <c r="D84" s="18"/>
      <c r="E84" s="19"/>
      <c r="F84" s="20"/>
      <c r="G84" s="20"/>
      <c r="H84" s="25" t="str">
        <f t="shared" si="5"/>
        <v/>
      </c>
      <c r="I84" s="39" t="str">
        <f t="shared" si="6"/>
        <v/>
      </c>
      <c r="J84" s="25" t="str">
        <f t="shared" si="7"/>
        <v/>
      </c>
      <c r="K84" s="25" t="str">
        <f>IF(C84="","",IFERROR(INDEX(Catalogue!$K$6:$K$55,MATCH(C84,Catalogue!$B$6:$B$55,0)),""))</f>
        <v/>
      </c>
      <c r="L84" s="25" t="str">
        <f t="shared" si="8"/>
        <v/>
      </c>
      <c r="M84" s="28" t="str">
        <f>IF(OR(E84="",K84=""),"",IF(N(G84)=0,"Pas de vente aujourd’hui",IF(J84&lt;K84*Paramètres!$B$11,"Rentable",IF(J84&lt;=K84,"Juste rentable","Perte"))))</f>
        <v/>
      </c>
      <c r="N84" s="24" t="str">
        <f t="shared" si="9"/>
        <v/>
      </c>
    </row>
    <row r="85" spans="1:14" x14ac:dyDescent="0.25">
      <c r="A85" s="38"/>
      <c r="B85" s="18"/>
      <c r="C85" s="18"/>
      <c r="D85" s="18"/>
      <c r="E85" s="19"/>
      <c r="F85" s="20"/>
      <c r="G85" s="20"/>
      <c r="H85" s="25" t="str">
        <f t="shared" si="5"/>
        <v/>
      </c>
      <c r="I85" s="39" t="str">
        <f t="shared" si="6"/>
        <v/>
      </c>
      <c r="J85" s="25" t="str">
        <f t="shared" si="7"/>
        <v/>
      </c>
      <c r="K85" s="25" t="str">
        <f>IF(C85="","",IFERROR(INDEX(Catalogue!$K$6:$K$55,MATCH(C85,Catalogue!$B$6:$B$55,0)),""))</f>
        <v/>
      </c>
      <c r="L85" s="25" t="str">
        <f t="shared" si="8"/>
        <v/>
      </c>
      <c r="M85" s="28" t="str">
        <f>IF(OR(E85="",K85=""),"",IF(N(G85)=0,"Pas de vente aujourd’hui",IF(J85&lt;K85*Paramètres!$B$11,"Rentable",IF(J85&lt;=K85,"Juste rentable","Perte"))))</f>
        <v/>
      </c>
      <c r="N85" s="24" t="str">
        <f t="shared" si="9"/>
        <v/>
      </c>
    </row>
    <row r="86" spans="1:14" x14ac:dyDescent="0.25">
      <c r="A86" s="38"/>
      <c r="B86" s="18"/>
      <c r="C86" s="18"/>
      <c r="D86" s="18"/>
      <c r="E86" s="19"/>
      <c r="F86" s="20"/>
      <c r="G86" s="20"/>
      <c r="H86" s="25" t="str">
        <f t="shared" si="5"/>
        <v/>
      </c>
      <c r="I86" s="39" t="str">
        <f t="shared" si="6"/>
        <v/>
      </c>
      <c r="J86" s="25" t="str">
        <f t="shared" si="7"/>
        <v/>
      </c>
      <c r="K86" s="25" t="str">
        <f>IF(C86="","",IFERROR(INDEX(Catalogue!$K$6:$K$55,MATCH(C86,Catalogue!$B$6:$B$55,0)),""))</f>
        <v/>
      </c>
      <c r="L86" s="25" t="str">
        <f t="shared" si="8"/>
        <v/>
      </c>
      <c r="M86" s="28" t="str">
        <f>IF(OR(E86="",K86=""),"",IF(N(G86)=0,"Pas de vente aujourd’hui",IF(J86&lt;K86*Paramètres!$B$11,"Rentable",IF(J86&lt;=K86,"Juste rentable","Perte"))))</f>
        <v/>
      </c>
      <c r="N86" s="24" t="str">
        <f t="shared" si="9"/>
        <v/>
      </c>
    </row>
    <row r="87" spans="1:14" x14ac:dyDescent="0.25">
      <c r="A87" s="38"/>
      <c r="B87" s="18"/>
      <c r="C87" s="18"/>
      <c r="D87" s="18"/>
      <c r="E87" s="19"/>
      <c r="F87" s="20"/>
      <c r="G87" s="20"/>
      <c r="H87" s="25" t="str">
        <f t="shared" si="5"/>
        <v/>
      </c>
      <c r="I87" s="39" t="str">
        <f t="shared" si="6"/>
        <v/>
      </c>
      <c r="J87" s="25" t="str">
        <f t="shared" si="7"/>
        <v/>
      </c>
      <c r="K87" s="25" t="str">
        <f>IF(C87="","",IFERROR(INDEX(Catalogue!$K$6:$K$55,MATCH(C87,Catalogue!$B$6:$B$55,0)),""))</f>
        <v/>
      </c>
      <c r="L87" s="25" t="str">
        <f t="shared" si="8"/>
        <v/>
      </c>
      <c r="M87" s="28" t="str">
        <f>IF(OR(E87="",K87=""),"",IF(N(G87)=0,"Pas de vente aujourd’hui",IF(J87&lt;K87*Paramètres!$B$11,"Rentable",IF(J87&lt;=K87,"Juste rentable","Perte"))))</f>
        <v/>
      </c>
      <c r="N87" s="24" t="str">
        <f t="shared" si="9"/>
        <v/>
      </c>
    </row>
    <row r="88" spans="1:14" x14ac:dyDescent="0.25">
      <c r="A88" s="38"/>
      <c r="B88" s="18"/>
      <c r="C88" s="18"/>
      <c r="D88" s="18"/>
      <c r="E88" s="19"/>
      <c r="F88" s="20"/>
      <c r="G88" s="20"/>
      <c r="H88" s="25" t="str">
        <f t="shared" si="5"/>
        <v/>
      </c>
      <c r="I88" s="39" t="str">
        <f t="shared" si="6"/>
        <v/>
      </c>
      <c r="J88" s="25" t="str">
        <f t="shared" si="7"/>
        <v/>
      </c>
      <c r="K88" s="25" t="str">
        <f>IF(C88="","",IFERROR(INDEX(Catalogue!$K$6:$K$55,MATCH(C88,Catalogue!$B$6:$B$55,0)),""))</f>
        <v/>
      </c>
      <c r="L88" s="25" t="str">
        <f t="shared" si="8"/>
        <v/>
      </c>
      <c r="M88" s="28" t="str">
        <f>IF(OR(E88="",K88=""),"",IF(N(G88)=0,"Pas de vente aujourd’hui",IF(J88&lt;K88*Paramètres!$B$11,"Rentable",IF(J88&lt;=K88,"Juste rentable","Perte"))))</f>
        <v/>
      </c>
      <c r="N88" s="24" t="str">
        <f t="shared" si="9"/>
        <v/>
      </c>
    </row>
    <row r="89" spans="1:14" x14ac:dyDescent="0.25">
      <c r="A89" s="38"/>
      <c r="B89" s="18"/>
      <c r="C89" s="18"/>
      <c r="D89" s="18"/>
      <c r="E89" s="19"/>
      <c r="F89" s="20"/>
      <c r="G89" s="20"/>
      <c r="H89" s="25" t="str">
        <f t="shared" si="5"/>
        <v/>
      </c>
      <c r="I89" s="39" t="str">
        <f t="shared" si="6"/>
        <v/>
      </c>
      <c r="J89" s="25" t="str">
        <f t="shared" si="7"/>
        <v/>
      </c>
      <c r="K89" s="25" t="str">
        <f>IF(C89="","",IFERROR(INDEX(Catalogue!$K$6:$K$55,MATCH(C89,Catalogue!$B$6:$B$55,0)),""))</f>
        <v/>
      </c>
      <c r="L89" s="25" t="str">
        <f t="shared" si="8"/>
        <v/>
      </c>
      <c r="M89" s="28" t="str">
        <f>IF(OR(E89="",K89=""),"",IF(N(G89)=0,"Pas de vente aujourd’hui",IF(J89&lt;K89*Paramètres!$B$11,"Rentable",IF(J89&lt;=K89,"Juste rentable","Perte"))))</f>
        <v/>
      </c>
      <c r="N89" s="24" t="str">
        <f t="shared" si="9"/>
        <v/>
      </c>
    </row>
    <row r="90" spans="1:14" x14ac:dyDescent="0.25">
      <c r="A90" s="38"/>
      <c r="B90" s="18"/>
      <c r="C90" s="18"/>
      <c r="D90" s="18"/>
      <c r="E90" s="19"/>
      <c r="F90" s="20"/>
      <c r="G90" s="20"/>
      <c r="H90" s="25" t="str">
        <f t="shared" si="5"/>
        <v/>
      </c>
      <c r="I90" s="39" t="str">
        <f t="shared" si="6"/>
        <v/>
      </c>
      <c r="J90" s="25" t="str">
        <f t="shared" si="7"/>
        <v/>
      </c>
      <c r="K90" s="25" t="str">
        <f>IF(C90="","",IFERROR(INDEX(Catalogue!$K$6:$K$55,MATCH(C90,Catalogue!$B$6:$B$55,0)),""))</f>
        <v/>
      </c>
      <c r="L90" s="25" t="str">
        <f t="shared" si="8"/>
        <v/>
      </c>
      <c r="M90" s="28" t="str">
        <f>IF(OR(E90="",K90=""),"",IF(N(G90)=0,"Pas de vente aujourd’hui",IF(J90&lt;K90*Paramètres!$B$11,"Rentable",IF(J90&lt;=K90,"Juste rentable","Perte"))))</f>
        <v/>
      </c>
      <c r="N90" s="24" t="str">
        <f t="shared" si="9"/>
        <v/>
      </c>
    </row>
    <row r="91" spans="1:14" x14ac:dyDescent="0.25">
      <c r="A91" s="38"/>
      <c r="B91" s="18"/>
      <c r="C91" s="18"/>
      <c r="D91" s="18"/>
      <c r="E91" s="19"/>
      <c r="F91" s="20"/>
      <c r="G91" s="20"/>
      <c r="H91" s="25" t="str">
        <f t="shared" si="5"/>
        <v/>
      </c>
      <c r="I91" s="39" t="str">
        <f t="shared" si="6"/>
        <v/>
      </c>
      <c r="J91" s="25" t="str">
        <f t="shared" si="7"/>
        <v/>
      </c>
      <c r="K91" s="25" t="str">
        <f>IF(C91="","",IFERROR(INDEX(Catalogue!$K$6:$K$55,MATCH(C91,Catalogue!$B$6:$B$55,0)),""))</f>
        <v/>
      </c>
      <c r="L91" s="25" t="str">
        <f t="shared" si="8"/>
        <v/>
      </c>
      <c r="M91" s="28" t="str">
        <f>IF(OR(E91="",K91=""),"",IF(N(G91)=0,"Pas de vente aujourd’hui",IF(J91&lt;K91*Paramètres!$B$11,"Rentable",IF(J91&lt;=K91,"Juste rentable","Perte"))))</f>
        <v/>
      </c>
      <c r="N91" s="24" t="str">
        <f t="shared" si="9"/>
        <v/>
      </c>
    </row>
    <row r="92" spans="1:14" x14ac:dyDescent="0.25">
      <c r="A92" s="38"/>
      <c r="B92" s="18"/>
      <c r="C92" s="18"/>
      <c r="D92" s="18"/>
      <c r="E92" s="19"/>
      <c r="F92" s="20"/>
      <c r="G92" s="20"/>
      <c r="H92" s="25" t="str">
        <f t="shared" si="5"/>
        <v/>
      </c>
      <c r="I92" s="39" t="str">
        <f t="shared" si="6"/>
        <v/>
      </c>
      <c r="J92" s="25" t="str">
        <f t="shared" si="7"/>
        <v/>
      </c>
      <c r="K92" s="25" t="str">
        <f>IF(C92="","",IFERROR(INDEX(Catalogue!$K$6:$K$55,MATCH(C92,Catalogue!$B$6:$B$55,0)),""))</f>
        <v/>
      </c>
      <c r="L92" s="25" t="str">
        <f t="shared" si="8"/>
        <v/>
      </c>
      <c r="M92" s="28" t="str">
        <f>IF(OR(E92="",K92=""),"",IF(N(G92)=0,"Pas de vente aujourd’hui",IF(J92&lt;K92*Paramètres!$B$11,"Rentable",IF(J92&lt;=K92,"Juste rentable","Perte"))))</f>
        <v/>
      </c>
      <c r="N92" s="24" t="str">
        <f t="shared" si="9"/>
        <v/>
      </c>
    </row>
    <row r="93" spans="1:14" x14ac:dyDescent="0.25">
      <c r="A93" s="38"/>
      <c r="B93" s="18"/>
      <c r="C93" s="18"/>
      <c r="D93" s="18"/>
      <c r="E93" s="19"/>
      <c r="F93" s="20"/>
      <c r="G93" s="20"/>
      <c r="H93" s="25" t="str">
        <f t="shared" si="5"/>
        <v/>
      </c>
      <c r="I93" s="39" t="str">
        <f t="shared" si="6"/>
        <v/>
      </c>
      <c r="J93" s="25" t="str">
        <f t="shared" si="7"/>
        <v/>
      </c>
      <c r="K93" s="25" t="str">
        <f>IF(C93="","",IFERROR(INDEX(Catalogue!$K$6:$K$55,MATCH(C93,Catalogue!$B$6:$B$55,0)),""))</f>
        <v/>
      </c>
      <c r="L93" s="25" t="str">
        <f t="shared" si="8"/>
        <v/>
      </c>
      <c r="M93" s="28" t="str">
        <f>IF(OR(E93="",K93=""),"",IF(N(G93)=0,"Pas de vente aujourd’hui",IF(J93&lt;K93*Paramètres!$B$11,"Rentable",IF(J93&lt;=K93,"Juste rentable","Perte"))))</f>
        <v/>
      </c>
      <c r="N93" s="24" t="str">
        <f t="shared" si="9"/>
        <v/>
      </c>
    </row>
    <row r="94" spans="1:14" x14ac:dyDescent="0.25">
      <c r="A94" s="38"/>
      <c r="B94" s="18"/>
      <c r="C94" s="18"/>
      <c r="D94" s="18"/>
      <c r="E94" s="19"/>
      <c r="F94" s="20"/>
      <c r="G94" s="20"/>
      <c r="H94" s="25" t="str">
        <f t="shared" si="5"/>
        <v/>
      </c>
      <c r="I94" s="39" t="str">
        <f t="shared" si="6"/>
        <v/>
      </c>
      <c r="J94" s="25" t="str">
        <f t="shared" si="7"/>
        <v/>
      </c>
      <c r="K94" s="25" t="str">
        <f>IF(C94="","",IFERROR(INDEX(Catalogue!$K$6:$K$55,MATCH(C94,Catalogue!$B$6:$B$55,0)),""))</f>
        <v/>
      </c>
      <c r="L94" s="25" t="str">
        <f t="shared" si="8"/>
        <v/>
      </c>
      <c r="M94" s="28" t="str">
        <f>IF(OR(E94="",K94=""),"",IF(N(G94)=0,"Pas de vente aujourd’hui",IF(J94&lt;K94*Paramètres!$B$11,"Rentable",IF(J94&lt;=K94,"Juste rentable","Perte"))))</f>
        <v/>
      </c>
      <c r="N94" s="24" t="str">
        <f t="shared" si="9"/>
        <v/>
      </c>
    </row>
    <row r="95" spans="1:14" x14ac:dyDescent="0.25">
      <c r="A95" s="38"/>
      <c r="B95" s="18"/>
      <c r="C95" s="18"/>
      <c r="D95" s="18"/>
      <c r="E95" s="19"/>
      <c r="F95" s="20"/>
      <c r="G95" s="20"/>
      <c r="H95" s="25" t="str">
        <f t="shared" si="5"/>
        <v/>
      </c>
      <c r="I95" s="39" t="str">
        <f t="shared" si="6"/>
        <v/>
      </c>
      <c r="J95" s="25" t="str">
        <f t="shared" si="7"/>
        <v/>
      </c>
      <c r="K95" s="25" t="str">
        <f>IF(C95="","",IFERROR(INDEX(Catalogue!$K$6:$K$55,MATCH(C95,Catalogue!$B$6:$B$55,0)),""))</f>
        <v/>
      </c>
      <c r="L95" s="25" t="str">
        <f t="shared" si="8"/>
        <v/>
      </c>
      <c r="M95" s="28" t="str">
        <f>IF(OR(E95="",K95=""),"",IF(N(G95)=0,"Pas de vente aujourd’hui",IF(J95&lt;K95*Paramètres!$B$11,"Rentable",IF(J95&lt;=K95,"Juste rentable","Perte"))))</f>
        <v/>
      </c>
      <c r="N95" s="24" t="str">
        <f t="shared" si="9"/>
        <v/>
      </c>
    </row>
    <row r="96" spans="1:14" x14ac:dyDescent="0.25">
      <c r="A96" s="38"/>
      <c r="B96" s="18"/>
      <c r="C96" s="18"/>
      <c r="D96" s="18"/>
      <c r="E96" s="19"/>
      <c r="F96" s="20"/>
      <c r="G96" s="20"/>
      <c r="H96" s="25" t="str">
        <f t="shared" si="5"/>
        <v/>
      </c>
      <c r="I96" s="39" t="str">
        <f t="shared" si="6"/>
        <v/>
      </c>
      <c r="J96" s="25" t="str">
        <f t="shared" si="7"/>
        <v/>
      </c>
      <c r="K96" s="25" t="str">
        <f>IF(C96="","",IFERROR(INDEX(Catalogue!$K$6:$K$55,MATCH(C96,Catalogue!$B$6:$B$55,0)),""))</f>
        <v/>
      </c>
      <c r="L96" s="25" t="str">
        <f t="shared" si="8"/>
        <v/>
      </c>
      <c r="M96" s="28" t="str">
        <f>IF(OR(E96="",K96=""),"",IF(N(G96)=0,"Pas de vente aujourd’hui",IF(J96&lt;K96*Paramètres!$B$11,"Rentable",IF(J96&lt;=K96,"Juste rentable","Perte"))))</f>
        <v/>
      </c>
      <c r="N96" s="24" t="str">
        <f t="shared" si="9"/>
        <v/>
      </c>
    </row>
    <row r="97" spans="1:14" x14ac:dyDescent="0.25">
      <c r="A97" s="38"/>
      <c r="B97" s="18"/>
      <c r="C97" s="18"/>
      <c r="D97" s="18"/>
      <c r="E97" s="19"/>
      <c r="F97" s="20"/>
      <c r="G97" s="20"/>
      <c r="H97" s="25" t="str">
        <f t="shared" si="5"/>
        <v/>
      </c>
      <c r="I97" s="39" t="str">
        <f t="shared" si="6"/>
        <v/>
      </c>
      <c r="J97" s="25" t="str">
        <f t="shared" si="7"/>
        <v/>
      </c>
      <c r="K97" s="25" t="str">
        <f>IF(C97="","",IFERROR(INDEX(Catalogue!$K$6:$K$55,MATCH(C97,Catalogue!$B$6:$B$55,0)),""))</f>
        <v/>
      </c>
      <c r="L97" s="25" t="str">
        <f t="shared" si="8"/>
        <v/>
      </c>
      <c r="M97" s="28" t="str">
        <f>IF(OR(E97="",K97=""),"",IF(N(G97)=0,"Pas de vente aujourd’hui",IF(J97&lt;K97*Paramètres!$B$11,"Rentable",IF(J97&lt;=K97,"Juste rentable","Perte"))))</f>
        <v/>
      </c>
      <c r="N97" s="24" t="str">
        <f t="shared" si="9"/>
        <v/>
      </c>
    </row>
    <row r="98" spans="1:14" x14ac:dyDescent="0.25">
      <c r="A98" s="38"/>
      <c r="B98" s="18"/>
      <c r="C98" s="18"/>
      <c r="D98" s="18"/>
      <c r="E98" s="19"/>
      <c r="F98" s="20"/>
      <c r="G98" s="20"/>
      <c r="H98" s="25" t="str">
        <f t="shared" si="5"/>
        <v/>
      </c>
      <c r="I98" s="39" t="str">
        <f t="shared" si="6"/>
        <v/>
      </c>
      <c r="J98" s="25" t="str">
        <f t="shared" si="7"/>
        <v/>
      </c>
      <c r="K98" s="25" t="str">
        <f>IF(C98="","",IFERROR(INDEX(Catalogue!$K$6:$K$55,MATCH(C98,Catalogue!$B$6:$B$55,0)),""))</f>
        <v/>
      </c>
      <c r="L98" s="25" t="str">
        <f t="shared" si="8"/>
        <v/>
      </c>
      <c r="M98" s="28" t="str">
        <f>IF(OR(E98="",K98=""),"",IF(N(G98)=0,"Pas de vente aujourd’hui",IF(J98&lt;K98*Paramètres!$B$11,"Rentable",IF(J98&lt;=K98,"Juste rentable","Perte"))))</f>
        <v/>
      </c>
      <c r="N98" s="24" t="str">
        <f t="shared" si="9"/>
        <v/>
      </c>
    </row>
    <row r="99" spans="1:14" x14ac:dyDescent="0.25">
      <c r="A99" s="38"/>
      <c r="B99" s="18"/>
      <c r="C99" s="18"/>
      <c r="D99" s="18"/>
      <c r="E99" s="19"/>
      <c r="F99" s="20"/>
      <c r="G99" s="20"/>
      <c r="H99" s="25" t="str">
        <f t="shared" si="5"/>
        <v/>
      </c>
      <c r="I99" s="39" t="str">
        <f t="shared" si="6"/>
        <v/>
      </c>
      <c r="J99" s="25" t="str">
        <f t="shared" si="7"/>
        <v/>
      </c>
      <c r="K99" s="25" t="str">
        <f>IF(C99="","",IFERROR(INDEX(Catalogue!$K$6:$K$55,MATCH(C99,Catalogue!$B$6:$B$55,0)),""))</f>
        <v/>
      </c>
      <c r="L99" s="25" t="str">
        <f t="shared" si="8"/>
        <v/>
      </c>
      <c r="M99" s="28" t="str">
        <f>IF(OR(E99="",K99=""),"",IF(N(G99)=0,"Pas de vente aujourd’hui",IF(J99&lt;K99*Paramètres!$B$11,"Rentable",IF(J99&lt;=K99,"Juste rentable","Perte"))))</f>
        <v/>
      </c>
      <c r="N99" s="24" t="str">
        <f t="shared" si="9"/>
        <v/>
      </c>
    </row>
    <row r="100" spans="1:14" x14ac:dyDescent="0.25">
      <c r="A100" s="38"/>
      <c r="B100" s="18"/>
      <c r="C100" s="18"/>
      <c r="D100" s="18"/>
      <c r="E100" s="19"/>
      <c r="F100" s="20"/>
      <c r="G100" s="20"/>
      <c r="H100" s="25" t="str">
        <f t="shared" si="5"/>
        <v/>
      </c>
      <c r="I100" s="39" t="str">
        <f t="shared" si="6"/>
        <v/>
      </c>
      <c r="J100" s="25" t="str">
        <f t="shared" si="7"/>
        <v/>
      </c>
      <c r="K100" s="25" t="str">
        <f>IF(C100="","",IFERROR(INDEX(Catalogue!$K$6:$K$55,MATCH(C100,Catalogue!$B$6:$B$55,0)),""))</f>
        <v/>
      </c>
      <c r="L100" s="25" t="str">
        <f t="shared" si="8"/>
        <v/>
      </c>
      <c r="M100" s="28" t="str">
        <f>IF(OR(E100="",K100=""),"",IF(N(G100)=0,"Pas de vente aujourd’hui",IF(J100&lt;K100*Paramètres!$B$11,"Rentable",IF(J100&lt;=K100,"Juste rentable","Perte"))))</f>
        <v/>
      </c>
      <c r="N100" s="24" t="str">
        <f t="shared" si="9"/>
        <v/>
      </c>
    </row>
    <row r="101" spans="1:14" x14ac:dyDescent="0.25">
      <c r="A101" s="38"/>
      <c r="B101" s="18"/>
      <c r="C101" s="18"/>
      <c r="D101" s="18"/>
      <c r="E101" s="19"/>
      <c r="F101" s="20"/>
      <c r="G101" s="20"/>
      <c r="H101" s="25" t="str">
        <f t="shared" si="5"/>
        <v/>
      </c>
      <c r="I101" s="39" t="str">
        <f t="shared" si="6"/>
        <v/>
      </c>
      <c r="J101" s="25" t="str">
        <f t="shared" si="7"/>
        <v/>
      </c>
      <c r="K101" s="25" t="str">
        <f>IF(C101="","",IFERROR(INDEX(Catalogue!$K$6:$K$55,MATCH(C101,Catalogue!$B$6:$B$55,0)),""))</f>
        <v/>
      </c>
      <c r="L101" s="25" t="str">
        <f t="shared" si="8"/>
        <v/>
      </c>
      <c r="M101" s="28" t="str">
        <f>IF(OR(E101="",K101=""),"",IF(N(G101)=0,"Pas de vente aujourd’hui",IF(J101&lt;K101*Paramètres!$B$11,"Rentable",IF(J101&lt;=K101,"Juste rentable","Perte"))))</f>
        <v/>
      </c>
      <c r="N101" s="24" t="str">
        <f t="shared" si="9"/>
        <v/>
      </c>
    </row>
    <row r="102" spans="1:14" x14ac:dyDescent="0.25">
      <c r="A102" s="38"/>
      <c r="B102" s="18"/>
      <c r="C102" s="18"/>
      <c r="D102" s="18"/>
      <c r="E102" s="19"/>
      <c r="F102" s="20"/>
      <c r="G102" s="20"/>
      <c r="H102" s="25" t="str">
        <f t="shared" si="5"/>
        <v/>
      </c>
      <c r="I102" s="39" t="str">
        <f t="shared" si="6"/>
        <v/>
      </c>
      <c r="J102" s="25" t="str">
        <f t="shared" si="7"/>
        <v/>
      </c>
      <c r="K102" s="25" t="str">
        <f>IF(C102="","",IFERROR(INDEX(Catalogue!$K$6:$K$55,MATCH(C102,Catalogue!$B$6:$B$55,0)),""))</f>
        <v/>
      </c>
      <c r="L102" s="25" t="str">
        <f t="shared" si="8"/>
        <v/>
      </c>
      <c r="M102" s="28" t="str">
        <f>IF(OR(E102="",K102=""),"",IF(N(G102)=0,"Pas de vente aujourd’hui",IF(J102&lt;K102*Paramètres!$B$11,"Rentable",IF(J102&lt;=K102,"Juste rentable","Perte"))))</f>
        <v/>
      </c>
      <c r="N102" s="24" t="str">
        <f t="shared" si="9"/>
        <v/>
      </c>
    </row>
    <row r="103" spans="1:14" x14ac:dyDescent="0.25">
      <c r="A103" s="38"/>
      <c r="B103" s="18"/>
      <c r="C103" s="18"/>
      <c r="D103" s="18"/>
      <c r="E103" s="19"/>
      <c r="F103" s="20"/>
      <c r="G103" s="20"/>
      <c r="H103" s="25" t="str">
        <f t="shared" si="5"/>
        <v/>
      </c>
      <c r="I103" s="39" t="str">
        <f t="shared" si="6"/>
        <v/>
      </c>
      <c r="J103" s="25" t="str">
        <f t="shared" si="7"/>
        <v/>
      </c>
      <c r="K103" s="25" t="str">
        <f>IF(C103="","",IFERROR(INDEX(Catalogue!$K$6:$K$55,MATCH(C103,Catalogue!$B$6:$B$55,0)),""))</f>
        <v/>
      </c>
      <c r="L103" s="25" t="str">
        <f t="shared" si="8"/>
        <v/>
      </c>
      <c r="M103" s="28" t="str">
        <f>IF(OR(E103="",K103=""),"",IF(N(G103)=0,"Pas de vente aujourd’hui",IF(J103&lt;K103*Paramètres!$B$11,"Rentable",IF(J103&lt;=K103,"Juste rentable","Perte"))))</f>
        <v/>
      </c>
      <c r="N103" s="24" t="str">
        <f t="shared" si="9"/>
        <v/>
      </c>
    </row>
    <row r="104" spans="1:14" x14ac:dyDescent="0.25">
      <c r="A104" s="38"/>
      <c r="B104" s="18"/>
      <c r="C104" s="18"/>
      <c r="D104" s="18"/>
      <c r="E104" s="19"/>
      <c r="F104" s="20"/>
      <c r="G104" s="20"/>
      <c r="H104" s="25" t="str">
        <f t="shared" si="5"/>
        <v/>
      </c>
      <c r="I104" s="39" t="str">
        <f t="shared" si="6"/>
        <v/>
      </c>
      <c r="J104" s="25" t="str">
        <f t="shared" si="7"/>
        <v/>
      </c>
      <c r="K104" s="25" t="str">
        <f>IF(C104="","",IFERROR(INDEX(Catalogue!$K$6:$K$55,MATCH(C104,Catalogue!$B$6:$B$55,0)),""))</f>
        <v/>
      </c>
      <c r="L104" s="25" t="str">
        <f t="shared" si="8"/>
        <v/>
      </c>
      <c r="M104" s="28" t="str">
        <f>IF(OR(E104="",K104=""),"",IF(N(G104)=0,"Pas de vente aujourd’hui",IF(J104&lt;K104*Paramètres!$B$11,"Rentable",IF(J104&lt;=K104,"Juste rentable","Perte"))))</f>
        <v/>
      </c>
      <c r="N104" s="24" t="str">
        <f t="shared" si="9"/>
        <v/>
      </c>
    </row>
    <row r="105" spans="1:14" x14ac:dyDescent="0.25">
      <c r="A105" s="38"/>
      <c r="B105" s="18"/>
      <c r="C105" s="18"/>
      <c r="D105" s="18"/>
      <c r="E105" s="19"/>
      <c r="F105" s="20"/>
      <c r="G105" s="20"/>
      <c r="H105" s="25" t="str">
        <f t="shared" si="5"/>
        <v/>
      </c>
      <c r="I105" s="39" t="str">
        <f t="shared" si="6"/>
        <v/>
      </c>
      <c r="J105" s="25" t="str">
        <f t="shared" si="7"/>
        <v/>
      </c>
      <c r="K105" s="25" t="str">
        <f>IF(C105="","",IFERROR(INDEX(Catalogue!$K$6:$K$55,MATCH(C105,Catalogue!$B$6:$B$55,0)),""))</f>
        <v/>
      </c>
      <c r="L105" s="25" t="str">
        <f t="shared" si="8"/>
        <v/>
      </c>
      <c r="M105" s="28" t="str">
        <f>IF(OR(E105="",K105=""),"",IF(N(G105)=0,"Pas de vente aujourd’hui",IF(J105&lt;K105*Paramètres!$B$11,"Rentable",IF(J105&lt;=K105,"Juste rentable","Perte"))))</f>
        <v/>
      </c>
      <c r="N105" s="24" t="str">
        <f t="shared" si="9"/>
        <v/>
      </c>
    </row>
    <row r="106" spans="1:14" x14ac:dyDescent="0.25">
      <c r="A106" s="38"/>
      <c r="B106" s="18"/>
      <c r="C106" s="18"/>
      <c r="D106" s="18"/>
      <c r="E106" s="19"/>
      <c r="F106" s="20"/>
      <c r="G106" s="20"/>
      <c r="H106" s="25" t="str">
        <f t="shared" si="5"/>
        <v/>
      </c>
      <c r="I106" s="39" t="str">
        <f t="shared" si="6"/>
        <v/>
      </c>
      <c r="J106" s="25" t="str">
        <f t="shared" si="7"/>
        <v/>
      </c>
      <c r="K106" s="25" t="str">
        <f>IF(C106="","",IFERROR(INDEX(Catalogue!$K$6:$K$55,MATCH(C106,Catalogue!$B$6:$B$55,0)),""))</f>
        <v/>
      </c>
      <c r="L106" s="25" t="str">
        <f t="shared" si="8"/>
        <v/>
      </c>
      <c r="M106" s="28" t="str">
        <f>IF(OR(E106="",K106=""),"",IF(N(G106)=0,"Pas de vente aujourd’hui",IF(J106&lt;K106*Paramètres!$B$11,"Rentable",IF(J106&lt;=K106,"Juste rentable","Perte"))))</f>
        <v/>
      </c>
      <c r="N106" s="24" t="str">
        <f t="shared" si="9"/>
        <v/>
      </c>
    </row>
    <row r="107" spans="1:14" x14ac:dyDescent="0.25">
      <c r="A107" s="38"/>
      <c r="B107" s="18"/>
      <c r="C107" s="18"/>
      <c r="D107" s="18"/>
      <c r="E107" s="19"/>
      <c r="F107" s="20"/>
      <c r="G107" s="20"/>
      <c r="H107" s="25" t="str">
        <f t="shared" si="5"/>
        <v/>
      </c>
      <c r="I107" s="39" t="str">
        <f t="shared" si="6"/>
        <v/>
      </c>
      <c r="J107" s="25" t="str">
        <f t="shared" si="7"/>
        <v/>
      </c>
      <c r="K107" s="25" t="str">
        <f>IF(C107="","",IFERROR(INDEX(Catalogue!$K$6:$K$55,MATCH(C107,Catalogue!$B$6:$B$55,0)),""))</f>
        <v/>
      </c>
      <c r="L107" s="25" t="str">
        <f t="shared" si="8"/>
        <v/>
      </c>
      <c r="M107" s="28" t="str">
        <f>IF(OR(E107="",K107=""),"",IF(N(G107)=0,"Pas de vente aujourd’hui",IF(J107&lt;K107*Paramètres!$B$11,"Rentable",IF(J107&lt;=K107,"Juste rentable","Perte"))))</f>
        <v/>
      </c>
      <c r="N107" s="24" t="str">
        <f t="shared" si="9"/>
        <v/>
      </c>
    </row>
    <row r="108" spans="1:14" x14ac:dyDescent="0.25">
      <c r="A108" s="38"/>
      <c r="B108" s="18"/>
      <c r="C108" s="18"/>
      <c r="D108" s="18"/>
      <c r="E108" s="19"/>
      <c r="F108" s="20"/>
      <c r="G108" s="20"/>
      <c r="H108" s="25" t="str">
        <f t="shared" si="5"/>
        <v/>
      </c>
      <c r="I108" s="39" t="str">
        <f t="shared" si="6"/>
        <v/>
      </c>
      <c r="J108" s="25" t="str">
        <f t="shared" si="7"/>
        <v/>
      </c>
      <c r="K108" s="25" t="str">
        <f>IF(C108="","",IFERROR(INDEX(Catalogue!$K$6:$K$55,MATCH(C108,Catalogue!$B$6:$B$55,0)),""))</f>
        <v/>
      </c>
      <c r="L108" s="25" t="str">
        <f t="shared" si="8"/>
        <v/>
      </c>
      <c r="M108" s="28" t="str">
        <f>IF(OR(E108="",K108=""),"",IF(N(G108)=0,"Pas de vente aujourd’hui",IF(J108&lt;K108*Paramètres!$B$11,"Rentable",IF(J108&lt;=K108,"Juste rentable","Perte"))))</f>
        <v/>
      </c>
      <c r="N108" s="24" t="str">
        <f t="shared" si="9"/>
        <v/>
      </c>
    </row>
    <row r="109" spans="1:14" x14ac:dyDescent="0.25">
      <c r="A109" s="38"/>
      <c r="B109" s="18"/>
      <c r="C109" s="18"/>
      <c r="D109" s="18"/>
      <c r="E109" s="19"/>
      <c r="F109" s="20"/>
      <c r="G109" s="20"/>
      <c r="H109" s="25" t="str">
        <f t="shared" si="5"/>
        <v/>
      </c>
      <c r="I109" s="39" t="str">
        <f t="shared" si="6"/>
        <v/>
      </c>
      <c r="J109" s="25" t="str">
        <f t="shared" si="7"/>
        <v/>
      </c>
      <c r="K109" s="25" t="str">
        <f>IF(C109="","",IFERROR(INDEX(Catalogue!$K$6:$K$55,MATCH(C109,Catalogue!$B$6:$B$55,0)),""))</f>
        <v/>
      </c>
      <c r="L109" s="25" t="str">
        <f t="shared" si="8"/>
        <v/>
      </c>
      <c r="M109" s="28" t="str">
        <f>IF(OR(E109="",K109=""),"",IF(N(G109)=0,"Pas de vente aujourd’hui",IF(J109&lt;K109*Paramètres!$B$11,"Rentable",IF(J109&lt;=K109,"Juste rentable","Perte"))))</f>
        <v/>
      </c>
      <c r="N109" s="24" t="str">
        <f t="shared" si="9"/>
        <v/>
      </c>
    </row>
    <row r="110" spans="1:14" x14ac:dyDescent="0.25">
      <c r="A110" s="38"/>
      <c r="B110" s="18"/>
      <c r="C110" s="18"/>
      <c r="D110" s="18"/>
      <c r="E110" s="19"/>
      <c r="F110" s="20"/>
      <c r="G110" s="20"/>
      <c r="H110" s="25" t="str">
        <f t="shared" si="5"/>
        <v/>
      </c>
      <c r="I110" s="39" t="str">
        <f t="shared" si="6"/>
        <v/>
      </c>
      <c r="J110" s="25" t="str">
        <f t="shared" si="7"/>
        <v/>
      </c>
      <c r="K110" s="25" t="str">
        <f>IF(C110="","",IFERROR(INDEX(Catalogue!$K$6:$K$55,MATCH(C110,Catalogue!$B$6:$B$55,0)),""))</f>
        <v/>
      </c>
      <c r="L110" s="25" t="str">
        <f t="shared" si="8"/>
        <v/>
      </c>
      <c r="M110" s="28" t="str">
        <f>IF(OR(E110="",K110=""),"",IF(N(G110)=0,"Pas de vente aujourd’hui",IF(J110&lt;K110*Paramètres!$B$11,"Rentable",IF(J110&lt;=K110,"Juste rentable","Perte"))))</f>
        <v/>
      </c>
      <c r="N110" s="24" t="str">
        <f t="shared" si="9"/>
        <v/>
      </c>
    </row>
    <row r="111" spans="1:14" x14ac:dyDescent="0.25">
      <c r="A111" s="38"/>
      <c r="B111" s="18"/>
      <c r="C111" s="18"/>
      <c r="D111" s="18"/>
      <c r="E111" s="19"/>
      <c r="F111" s="20"/>
      <c r="G111" s="20"/>
      <c r="H111" s="25" t="str">
        <f t="shared" si="5"/>
        <v/>
      </c>
      <c r="I111" s="39" t="str">
        <f t="shared" si="6"/>
        <v/>
      </c>
      <c r="J111" s="25" t="str">
        <f t="shared" si="7"/>
        <v/>
      </c>
      <c r="K111" s="25" t="str">
        <f>IF(C111="","",IFERROR(INDEX(Catalogue!$K$6:$K$55,MATCH(C111,Catalogue!$B$6:$B$55,0)),""))</f>
        <v/>
      </c>
      <c r="L111" s="25" t="str">
        <f t="shared" si="8"/>
        <v/>
      </c>
      <c r="M111" s="28" t="str">
        <f>IF(OR(E111="",K111=""),"",IF(N(G111)=0,"Pas de vente aujourd’hui",IF(J111&lt;K111*Paramètres!$B$11,"Rentable",IF(J111&lt;=K111,"Juste rentable","Perte"))))</f>
        <v/>
      </c>
      <c r="N111" s="24" t="str">
        <f t="shared" si="9"/>
        <v/>
      </c>
    </row>
    <row r="112" spans="1:14" x14ac:dyDescent="0.25">
      <c r="A112" s="38"/>
      <c r="B112" s="18"/>
      <c r="C112" s="18"/>
      <c r="D112" s="18"/>
      <c r="E112" s="19"/>
      <c r="F112" s="20"/>
      <c r="G112" s="20"/>
      <c r="H112" s="25" t="str">
        <f t="shared" si="5"/>
        <v/>
      </c>
      <c r="I112" s="39" t="str">
        <f t="shared" si="6"/>
        <v/>
      </c>
      <c r="J112" s="25" t="str">
        <f t="shared" si="7"/>
        <v/>
      </c>
      <c r="K112" s="25" t="str">
        <f>IF(C112="","",IFERROR(INDEX(Catalogue!$K$6:$K$55,MATCH(C112,Catalogue!$B$6:$B$55,0)),""))</f>
        <v/>
      </c>
      <c r="L112" s="25" t="str">
        <f t="shared" si="8"/>
        <v/>
      </c>
      <c r="M112" s="28" t="str">
        <f>IF(OR(E112="",K112=""),"",IF(N(G112)=0,"Pas de vente aujourd’hui",IF(J112&lt;K112*Paramètres!$B$11,"Rentable",IF(J112&lt;=K112,"Juste rentable","Perte"))))</f>
        <v/>
      </c>
      <c r="N112" s="24" t="str">
        <f t="shared" si="9"/>
        <v/>
      </c>
    </row>
    <row r="113" spans="1:14" x14ac:dyDescent="0.25">
      <c r="A113" s="38"/>
      <c r="B113" s="18"/>
      <c r="C113" s="18"/>
      <c r="D113" s="18"/>
      <c r="E113" s="19"/>
      <c r="F113" s="20"/>
      <c r="G113" s="20"/>
      <c r="H113" s="25" t="str">
        <f t="shared" si="5"/>
        <v/>
      </c>
      <c r="I113" s="39" t="str">
        <f t="shared" si="6"/>
        <v/>
      </c>
      <c r="J113" s="25" t="str">
        <f t="shared" si="7"/>
        <v/>
      </c>
      <c r="K113" s="25" t="str">
        <f>IF(C113="","",IFERROR(INDEX(Catalogue!$K$6:$K$55,MATCH(C113,Catalogue!$B$6:$B$55,0)),""))</f>
        <v/>
      </c>
      <c r="L113" s="25" t="str">
        <f t="shared" si="8"/>
        <v/>
      </c>
      <c r="M113" s="28" t="str">
        <f>IF(OR(E113="",K113=""),"",IF(N(G113)=0,"Pas de vente aujourd’hui",IF(J113&lt;K113*Paramètres!$B$11,"Rentable",IF(J113&lt;=K113,"Juste rentable","Perte"))))</f>
        <v/>
      </c>
      <c r="N113" s="24" t="str">
        <f t="shared" si="9"/>
        <v/>
      </c>
    </row>
    <row r="114" spans="1:14" x14ac:dyDescent="0.25">
      <c r="A114" s="38"/>
      <c r="B114" s="18"/>
      <c r="C114" s="18"/>
      <c r="D114" s="18"/>
      <c r="E114" s="19"/>
      <c r="F114" s="20"/>
      <c r="G114" s="20"/>
      <c r="H114" s="25" t="str">
        <f t="shared" si="5"/>
        <v/>
      </c>
      <c r="I114" s="39" t="str">
        <f t="shared" si="6"/>
        <v/>
      </c>
      <c r="J114" s="25" t="str">
        <f t="shared" si="7"/>
        <v/>
      </c>
      <c r="K114" s="25" t="str">
        <f>IF(C114="","",IFERROR(INDEX(Catalogue!$K$6:$K$55,MATCH(C114,Catalogue!$B$6:$B$55,0)),""))</f>
        <v/>
      </c>
      <c r="L114" s="25" t="str">
        <f t="shared" si="8"/>
        <v/>
      </c>
      <c r="M114" s="28" t="str">
        <f>IF(OR(E114="",K114=""),"",IF(N(G114)=0,"Pas de vente aujourd’hui",IF(J114&lt;K114*Paramètres!$B$11,"Rentable",IF(J114&lt;=K114,"Juste rentable","Perte"))))</f>
        <v/>
      </c>
      <c r="N114" s="24" t="str">
        <f t="shared" si="9"/>
        <v/>
      </c>
    </row>
    <row r="115" spans="1:14" x14ac:dyDescent="0.25">
      <c r="A115" s="38"/>
      <c r="B115" s="18"/>
      <c r="C115" s="18"/>
      <c r="D115" s="18"/>
      <c r="E115" s="19"/>
      <c r="F115" s="20"/>
      <c r="G115" s="20"/>
      <c r="H115" s="25" t="str">
        <f t="shared" si="5"/>
        <v/>
      </c>
      <c r="I115" s="39" t="str">
        <f t="shared" si="6"/>
        <v/>
      </c>
      <c r="J115" s="25" t="str">
        <f t="shared" si="7"/>
        <v/>
      </c>
      <c r="K115" s="25" t="str">
        <f>IF(C115="","",IFERROR(INDEX(Catalogue!$K$6:$K$55,MATCH(C115,Catalogue!$B$6:$B$55,0)),""))</f>
        <v/>
      </c>
      <c r="L115" s="25" t="str">
        <f t="shared" si="8"/>
        <v/>
      </c>
      <c r="M115" s="28" t="str">
        <f>IF(OR(E115="",K115=""),"",IF(N(G115)=0,"Pas de vente aujourd’hui",IF(J115&lt;K115*Paramètres!$B$11,"Rentable",IF(J115&lt;=K115,"Juste rentable","Perte"))))</f>
        <v/>
      </c>
      <c r="N115" s="24" t="str">
        <f t="shared" si="9"/>
        <v/>
      </c>
    </row>
    <row r="116" spans="1:14" x14ac:dyDescent="0.25">
      <c r="A116" s="38"/>
      <c r="B116" s="18"/>
      <c r="C116" s="18"/>
      <c r="D116" s="18"/>
      <c r="E116" s="19"/>
      <c r="F116" s="20"/>
      <c r="G116" s="20"/>
      <c r="H116" s="25" t="str">
        <f t="shared" si="5"/>
        <v/>
      </c>
      <c r="I116" s="39" t="str">
        <f t="shared" si="6"/>
        <v/>
      </c>
      <c r="J116" s="25" t="str">
        <f t="shared" si="7"/>
        <v/>
      </c>
      <c r="K116" s="25" t="str">
        <f>IF(C116="","",IFERROR(INDEX(Catalogue!$K$6:$K$55,MATCH(C116,Catalogue!$B$6:$B$55,0)),""))</f>
        <v/>
      </c>
      <c r="L116" s="25" t="str">
        <f t="shared" si="8"/>
        <v/>
      </c>
      <c r="M116" s="28" t="str">
        <f>IF(OR(E116="",K116=""),"",IF(N(G116)=0,"Pas de vente aujourd’hui",IF(J116&lt;K116*Paramètres!$B$11,"Rentable",IF(J116&lt;=K116,"Juste rentable","Perte"))))</f>
        <v/>
      </c>
      <c r="N116" s="24" t="str">
        <f t="shared" si="9"/>
        <v/>
      </c>
    </row>
    <row r="117" spans="1:14" x14ac:dyDescent="0.25">
      <c r="A117" s="38"/>
      <c r="B117" s="18"/>
      <c r="C117" s="18"/>
      <c r="D117" s="18"/>
      <c r="E117" s="19"/>
      <c r="F117" s="20"/>
      <c r="G117" s="20"/>
      <c r="H117" s="25" t="str">
        <f t="shared" si="5"/>
        <v/>
      </c>
      <c r="I117" s="39" t="str">
        <f t="shared" si="6"/>
        <v/>
      </c>
      <c r="J117" s="25" t="str">
        <f t="shared" si="7"/>
        <v/>
      </c>
      <c r="K117" s="25" t="str">
        <f>IF(C117="","",IFERROR(INDEX(Catalogue!$K$6:$K$55,MATCH(C117,Catalogue!$B$6:$B$55,0)),""))</f>
        <v/>
      </c>
      <c r="L117" s="25" t="str">
        <f t="shared" si="8"/>
        <v/>
      </c>
      <c r="M117" s="28" t="str">
        <f>IF(OR(E117="",K117=""),"",IF(N(G117)=0,"Pas de vente aujourd’hui",IF(J117&lt;K117*Paramètres!$B$11,"Rentable",IF(J117&lt;=K117,"Juste rentable","Perte"))))</f>
        <v/>
      </c>
      <c r="N117" s="24" t="str">
        <f t="shared" si="9"/>
        <v/>
      </c>
    </row>
    <row r="118" spans="1:14" x14ac:dyDescent="0.25">
      <c r="A118" s="38"/>
      <c r="B118" s="18"/>
      <c r="C118" s="18"/>
      <c r="D118" s="18"/>
      <c r="E118" s="19"/>
      <c r="F118" s="20"/>
      <c r="G118" s="20"/>
      <c r="H118" s="25" t="str">
        <f t="shared" si="5"/>
        <v/>
      </c>
      <c r="I118" s="39" t="str">
        <f t="shared" si="6"/>
        <v/>
      </c>
      <c r="J118" s="25" t="str">
        <f t="shared" si="7"/>
        <v/>
      </c>
      <c r="K118" s="25" t="str">
        <f>IF(C118="","",IFERROR(INDEX(Catalogue!$K$6:$K$55,MATCH(C118,Catalogue!$B$6:$B$55,0)),""))</f>
        <v/>
      </c>
      <c r="L118" s="25" t="str">
        <f t="shared" si="8"/>
        <v/>
      </c>
      <c r="M118" s="28" t="str">
        <f>IF(OR(E118="",K118=""),"",IF(N(G118)=0,"Pas de vente aujourd’hui",IF(J118&lt;K118*Paramètres!$B$11,"Rentable",IF(J118&lt;=K118,"Juste rentable","Perte"))))</f>
        <v/>
      </c>
      <c r="N118" s="24" t="str">
        <f t="shared" si="9"/>
        <v/>
      </c>
    </row>
    <row r="119" spans="1:14" x14ac:dyDescent="0.25">
      <c r="A119" s="38"/>
      <c r="B119" s="18"/>
      <c r="C119" s="18"/>
      <c r="D119" s="18"/>
      <c r="E119" s="19"/>
      <c r="F119" s="20"/>
      <c r="G119" s="20"/>
      <c r="H119" s="25" t="str">
        <f t="shared" si="5"/>
        <v/>
      </c>
      <c r="I119" s="39" t="str">
        <f t="shared" si="6"/>
        <v/>
      </c>
      <c r="J119" s="25" t="str">
        <f t="shared" si="7"/>
        <v/>
      </c>
      <c r="K119" s="25" t="str">
        <f>IF(C119="","",IFERROR(INDEX(Catalogue!$K$6:$K$55,MATCH(C119,Catalogue!$B$6:$B$55,0)),""))</f>
        <v/>
      </c>
      <c r="L119" s="25" t="str">
        <f t="shared" si="8"/>
        <v/>
      </c>
      <c r="M119" s="28" t="str">
        <f>IF(OR(E119="",K119=""),"",IF(N(G119)=0,"Pas de vente aujourd’hui",IF(J119&lt;K119*Paramètres!$B$11,"Rentable",IF(J119&lt;=K119,"Juste rentable","Perte"))))</f>
        <v/>
      </c>
      <c r="N119" s="24" t="str">
        <f t="shared" si="9"/>
        <v/>
      </c>
    </row>
    <row r="120" spans="1:14" x14ac:dyDescent="0.25">
      <c r="A120" s="38"/>
      <c r="B120" s="18"/>
      <c r="C120" s="18"/>
      <c r="D120" s="18"/>
      <c r="E120" s="19"/>
      <c r="F120" s="20"/>
      <c r="G120" s="20"/>
      <c r="H120" s="25" t="str">
        <f t="shared" si="5"/>
        <v/>
      </c>
      <c r="I120" s="39" t="str">
        <f t="shared" si="6"/>
        <v/>
      </c>
      <c r="J120" s="25" t="str">
        <f t="shared" si="7"/>
        <v/>
      </c>
      <c r="K120" s="25" t="str">
        <f>IF(C120="","",IFERROR(INDEX(Catalogue!$K$6:$K$55,MATCH(C120,Catalogue!$B$6:$B$55,0)),""))</f>
        <v/>
      </c>
      <c r="L120" s="25" t="str">
        <f t="shared" si="8"/>
        <v/>
      </c>
      <c r="M120" s="28" t="str">
        <f>IF(OR(E120="",K120=""),"",IF(N(G120)=0,"Pas de vente aujourd’hui",IF(J120&lt;K120*Paramètres!$B$11,"Rentable",IF(J120&lt;=K120,"Juste rentable","Perte"))))</f>
        <v/>
      </c>
      <c r="N120" s="24" t="str">
        <f t="shared" si="9"/>
        <v/>
      </c>
    </row>
    <row r="121" spans="1:14" x14ac:dyDescent="0.25">
      <c r="A121" s="38"/>
      <c r="B121" s="18"/>
      <c r="C121" s="18"/>
      <c r="D121" s="18"/>
      <c r="E121" s="19"/>
      <c r="F121" s="20"/>
      <c r="G121" s="20"/>
      <c r="H121" s="25" t="str">
        <f t="shared" si="5"/>
        <v/>
      </c>
      <c r="I121" s="39" t="str">
        <f t="shared" si="6"/>
        <v/>
      </c>
      <c r="J121" s="25" t="str">
        <f t="shared" si="7"/>
        <v/>
      </c>
      <c r="K121" s="25" t="str">
        <f>IF(C121="","",IFERROR(INDEX(Catalogue!$K$6:$K$55,MATCH(C121,Catalogue!$B$6:$B$55,0)),""))</f>
        <v/>
      </c>
      <c r="L121" s="25" t="str">
        <f t="shared" si="8"/>
        <v/>
      </c>
      <c r="M121" s="28" t="str">
        <f>IF(OR(E121="",K121=""),"",IF(N(G121)=0,"Pas de vente aujourd’hui",IF(J121&lt;K121*Paramètres!$B$11,"Rentable",IF(J121&lt;=K121,"Juste rentable","Perte"))))</f>
        <v/>
      </c>
      <c r="N121" s="24" t="str">
        <f t="shared" si="9"/>
        <v/>
      </c>
    </row>
    <row r="122" spans="1:14" x14ac:dyDescent="0.25">
      <c r="A122" s="38"/>
      <c r="B122" s="18"/>
      <c r="C122" s="18"/>
      <c r="D122" s="18"/>
      <c r="E122" s="19"/>
      <c r="F122" s="20"/>
      <c r="G122" s="20"/>
      <c r="H122" s="25" t="str">
        <f t="shared" si="5"/>
        <v/>
      </c>
      <c r="I122" s="39" t="str">
        <f t="shared" si="6"/>
        <v/>
      </c>
      <c r="J122" s="25" t="str">
        <f t="shared" si="7"/>
        <v/>
      </c>
      <c r="K122" s="25" t="str">
        <f>IF(C122="","",IFERROR(INDEX(Catalogue!$K$6:$K$55,MATCH(C122,Catalogue!$B$6:$B$55,0)),""))</f>
        <v/>
      </c>
      <c r="L122" s="25" t="str">
        <f t="shared" si="8"/>
        <v/>
      </c>
      <c r="M122" s="28" t="str">
        <f>IF(OR(E122="",K122=""),"",IF(N(G122)=0,"Pas de vente aujourd’hui",IF(J122&lt;K122*Paramètres!$B$11,"Rentable",IF(J122&lt;=K122,"Juste rentable","Perte"))))</f>
        <v/>
      </c>
      <c r="N122" s="24" t="str">
        <f t="shared" si="9"/>
        <v/>
      </c>
    </row>
    <row r="123" spans="1:14" x14ac:dyDescent="0.25">
      <c r="A123" s="38"/>
      <c r="B123" s="18"/>
      <c r="C123" s="18"/>
      <c r="D123" s="18"/>
      <c r="E123" s="19"/>
      <c r="F123" s="20"/>
      <c r="G123" s="20"/>
      <c r="H123" s="25" t="str">
        <f t="shared" si="5"/>
        <v/>
      </c>
      <c r="I123" s="39" t="str">
        <f t="shared" si="6"/>
        <v/>
      </c>
      <c r="J123" s="25" t="str">
        <f t="shared" si="7"/>
        <v/>
      </c>
      <c r="K123" s="25" t="str">
        <f>IF(C123="","",IFERROR(INDEX(Catalogue!$K$6:$K$55,MATCH(C123,Catalogue!$B$6:$B$55,0)),""))</f>
        <v/>
      </c>
      <c r="L123" s="25" t="str">
        <f t="shared" si="8"/>
        <v/>
      </c>
      <c r="M123" s="28" t="str">
        <f>IF(OR(E123="",K123=""),"",IF(N(G123)=0,"Pas de vente aujourd’hui",IF(J123&lt;K123*Paramètres!$B$11,"Rentable",IF(J123&lt;=K123,"Juste rentable","Perte"))))</f>
        <v/>
      </c>
      <c r="N123" s="24" t="str">
        <f t="shared" si="9"/>
        <v/>
      </c>
    </row>
    <row r="124" spans="1:14" x14ac:dyDescent="0.25">
      <c r="A124" s="38"/>
      <c r="B124" s="18"/>
      <c r="C124" s="18"/>
      <c r="D124" s="18"/>
      <c r="E124" s="19"/>
      <c r="F124" s="20"/>
      <c r="G124" s="20"/>
      <c r="H124" s="25" t="str">
        <f t="shared" si="5"/>
        <v/>
      </c>
      <c r="I124" s="39" t="str">
        <f t="shared" si="6"/>
        <v/>
      </c>
      <c r="J124" s="25" t="str">
        <f t="shared" si="7"/>
        <v/>
      </c>
      <c r="K124" s="25" t="str">
        <f>IF(C124="","",IFERROR(INDEX(Catalogue!$K$6:$K$55,MATCH(C124,Catalogue!$B$6:$B$55,0)),""))</f>
        <v/>
      </c>
      <c r="L124" s="25" t="str">
        <f t="shared" si="8"/>
        <v/>
      </c>
      <c r="M124" s="28" t="str">
        <f>IF(OR(E124="",K124=""),"",IF(N(G124)=0,"Pas de vente aujourd’hui",IF(J124&lt;K124*Paramètres!$B$11,"Rentable",IF(J124&lt;=K124,"Juste rentable","Perte"))))</f>
        <v/>
      </c>
      <c r="N124" s="24" t="str">
        <f t="shared" si="9"/>
        <v/>
      </c>
    </row>
    <row r="125" spans="1:14" x14ac:dyDescent="0.25">
      <c r="A125" s="38"/>
      <c r="B125" s="18"/>
      <c r="C125" s="18"/>
      <c r="D125" s="18"/>
      <c r="E125" s="19"/>
      <c r="F125" s="20"/>
      <c r="G125" s="20"/>
      <c r="H125" s="25" t="str">
        <f t="shared" si="5"/>
        <v/>
      </c>
      <c r="I125" s="39" t="str">
        <f t="shared" si="6"/>
        <v/>
      </c>
      <c r="J125" s="25" t="str">
        <f t="shared" si="7"/>
        <v/>
      </c>
      <c r="K125" s="25" t="str">
        <f>IF(C125="","",IFERROR(INDEX(Catalogue!$K$6:$K$55,MATCH(C125,Catalogue!$B$6:$B$55,0)),""))</f>
        <v/>
      </c>
      <c r="L125" s="25" t="str">
        <f t="shared" si="8"/>
        <v/>
      </c>
      <c r="M125" s="28" t="str">
        <f>IF(OR(E125="",K125=""),"",IF(N(G125)=0,"Pas de vente aujourd’hui",IF(J125&lt;K125*Paramètres!$B$11,"Rentable",IF(J125&lt;=K125,"Juste rentable","Perte"))))</f>
        <v/>
      </c>
      <c r="N125" s="24" t="str">
        <f t="shared" si="9"/>
        <v/>
      </c>
    </row>
    <row r="126" spans="1:14" x14ac:dyDescent="0.25">
      <c r="A126" s="38"/>
      <c r="B126" s="18"/>
      <c r="C126" s="18"/>
      <c r="D126" s="18"/>
      <c r="E126" s="19"/>
      <c r="F126" s="20"/>
      <c r="G126" s="20"/>
      <c r="H126" s="25" t="str">
        <f t="shared" si="5"/>
        <v/>
      </c>
      <c r="I126" s="39" t="str">
        <f t="shared" si="6"/>
        <v/>
      </c>
      <c r="J126" s="25" t="str">
        <f t="shared" si="7"/>
        <v/>
      </c>
      <c r="K126" s="25" t="str">
        <f>IF(C126="","",IFERROR(INDEX(Catalogue!$K$6:$K$55,MATCH(C126,Catalogue!$B$6:$B$55,0)),""))</f>
        <v/>
      </c>
      <c r="L126" s="25" t="str">
        <f t="shared" si="8"/>
        <v/>
      </c>
      <c r="M126" s="28" t="str">
        <f>IF(OR(E126="",K126=""),"",IF(N(G126)=0,"Pas de vente aujourd’hui",IF(J126&lt;K126*Paramètres!$B$11,"Rentable",IF(J126&lt;=K126,"Juste rentable","Perte"))))</f>
        <v/>
      </c>
      <c r="N126" s="24" t="str">
        <f t="shared" si="9"/>
        <v/>
      </c>
    </row>
    <row r="127" spans="1:14" x14ac:dyDescent="0.25">
      <c r="A127" s="38"/>
      <c r="B127" s="18"/>
      <c r="C127" s="18"/>
      <c r="D127" s="18"/>
      <c r="E127" s="19"/>
      <c r="F127" s="20"/>
      <c r="G127" s="20"/>
      <c r="H127" s="25" t="str">
        <f t="shared" si="5"/>
        <v/>
      </c>
      <c r="I127" s="39" t="str">
        <f t="shared" si="6"/>
        <v/>
      </c>
      <c r="J127" s="25" t="str">
        <f t="shared" si="7"/>
        <v/>
      </c>
      <c r="K127" s="25" t="str">
        <f>IF(C127="","",IFERROR(INDEX(Catalogue!$K$6:$K$55,MATCH(C127,Catalogue!$B$6:$B$55,0)),""))</f>
        <v/>
      </c>
      <c r="L127" s="25" t="str">
        <f t="shared" si="8"/>
        <v/>
      </c>
      <c r="M127" s="28" t="str">
        <f>IF(OR(E127="",K127=""),"",IF(N(G127)=0,"Pas de vente aujourd’hui",IF(J127&lt;K127*Paramètres!$B$11,"Rentable",IF(J127&lt;=K127,"Juste rentable","Perte"))))</f>
        <v/>
      </c>
      <c r="N127" s="24" t="str">
        <f t="shared" si="9"/>
        <v/>
      </c>
    </row>
    <row r="128" spans="1:14" x14ac:dyDescent="0.25">
      <c r="A128" s="38"/>
      <c r="B128" s="18"/>
      <c r="C128" s="18"/>
      <c r="D128" s="18"/>
      <c r="E128" s="19"/>
      <c r="F128" s="20"/>
      <c r="G128" s="20"/>
      <c r="H128" s="25" t="str">
        <f t="shared" si="5"/>
        <v/>
      </c>
      <c r="I128" s="39" t="str">
        <f t="shared" si="6"/>
        <v/>
      </c>
      <c r="J128" s="25" t="str">
        <f t="shared" si="7"/>
        <v/>
      </c>
      <c r="K128" s="25" t="str">
        <f>IF(C128="","",IFERROR(INDEX(Catalogue!$K$6:$K$55,MATCH(C128,Catalogue!$B$6:$B$55,0)),""))</f>
        <v/>
      </c>
      <c r="L128" s="25" t="str">
        <f t="shared" si="8"/>
        <v/>
      </c>
      <c r="M128" s="28" t="str">
        <f>IF(OR(E128="",K128=""),"",IF(N(G128)=0,"Pas de vente aujourd’hui",IF(J128&lt;K128*Paramètres!$B$11,"Rentable",IF(J128&lt;=K128,"Juste rentable","Perte"))))</f>
        <v/>
      </c>
      <c r="N128" s="24" t="str">
        <f t="shared" si="9"/>
        <v/>
      </c>
    </row>
    <row r="129" spans="1:14" x14ac:dyDescent="0.25">
      <c r="A129" s="38"/>
      <c r="B129" s="18"/>
      <c r="C129" s="18"/>
      <c r="D129" s="18"/>
      <c r="E129" s="19"/>
      <c r="F129" s="20"/>
      <c r="G129" s="20"/>
      <c r="H129" s="25" t="str">
        <f t="shared" si="5"/>
        <v/>
      </c>
      <c r="I129" s="39" t="str">
        <f t="shared" si="6"/>
        <v/>
      </c>
      <c r="J129" s="25" t="str">
        <f t="shared" si="7"/>
        <v/>
      </c>
      <c r="K129" s="25" t="str">
        <f>IF(C129="","",IFERROR(INDEX(Catalogue!$K$6:$K$55,MATCH(C129,Catalogue!$B$6:$B$55,0)),""))</f>
        <v/>
      </c>
      <c r="L129" s="25" t="str">
        <f t="shared" si="8"/>
        <v/>
      </c>
      <c r="M129" s="28" t="str">
        <f>IF(OR(E129="",K129=""),"",IF(N(G129)=0,"Pas de vente aujourd’hui",IF(J129&lt;K129*Paramètres!$B$11,"Rentable",IF(J129&lt;=K129,"Juste rentable","Perte"))))</f>
        <v/>
      </c>
      <c r="N129" s="24" t="str">
        <f t="shared" si="9"/>
        <v/>
      </c>
    </row>
    <row r="130" spans="1:14" x14ac:dyDescent="0.25">
      <c r="A130" s="38"/>
      <c r="B130" s="18"/>
      <c r="C130" s="18"/>
      <c r="D130" s="18"/>
      <c r="E130" s="19"/>
      <c r="F130" s="20"/>
      <c r="G130" s="20"/>
      <c r="H130" s="25" t="str">
        <f t="shared" si="5"/>
        <v/>
      </c>
      <c r="I130" s="39" t="str">
        <f t="shared" si="6"/>
        <v/>
      </c>
      <c r="J130" s="25" t="str">
        <f t="shared" si="7"/>
        <v/>
      </c>
      <c r="K130" s="25" t="str">
        <f>IF(C130="","",IFERROR(INDEX(Catalogue!$K$6:$K$55,MATCH(C130,Catalogue!$B$6:$B$55,0)),""))</f>
        <v/>
      </c>
      <c r="L130" s="25" t="str">
        <f t="shared" si="8"/>
        <v/>
      </c>
      <c r="M130" s="28" t="str">
        <f>IF(OR(E130="",K130=""),"",IF(N(G130)=0,"Pas de vente aujourd’hui",IF(J130&lt;K130*Paramètres!$B$11,"Rentable",IF(J130&lt;=K130,"Juste rentable","Perte"))))</f>
        <v/>
      </c>
      <c r="N130" s="24" t="str">
        <f t="shared" si="9"/>
        <v/>
      </c>
    </row>
    <row r="131" spans="1:14" x14ac:dyDescent="0.25">
      <c r="A131" s="38"/>
      <c r="B131" s="18"/>
      <c r="C131" s="18"/>
      <c r="D131" s="18"/>
      <c r="E131" s="19"/>
      <c r="F131" s="20"/>
      <c r="G131" s="20"/>
      <c r="H131" s="25" t="str">
        <f t="shared" si="5"/>
        <v/>
      </c>
      <c r="I131" s="39" t="str">
        <f t="shared" si="6"/>
        <v/>
      </c>
      <c r="J131" s="25" t="str">
        <f t="shared" si="7"/>
        <v/>
      </c>
      <c r="K131" s="25" t="str">
        <f>IF(C131="","",IFERROR(INDEX(Catalogue!$K$6:$K$55,MATCH(C131,Catalogue!$B$6:$B$55,0)),""))</f>
        <v/>
      </c>
      <c r="L131" s="25" t="str">
        <f t="shared" si="8"/>
        <v/>
      </c>
      <c r="M131" s="28" t="str">
        <f>IF(OR(E131="",K131=""),"",IF(N(G131)=0,"Pas de vente aujourd’hui",IF(J131&lt;K131*Paramètres!$B$11,"Rentable",IF(J131&lt;=K131,"Juste rentable","Perte"))))</f>
        <v/>
      </c>
      <c r="N131" s="24" t="str">
        <f t="shared" si="9"/>
        <v/>
      </c>
    </row>
    <row r="132" spans="1:14" x14ac:dyDescent="0.25">
      <c r="A132" s="38"/>
      <c r="B132" s="18"/>
      <c r="C132" s="18"/>
      <c r="D132" s="18"/>
      <c r="E132" s="19"/>
      <c r="F132" s="20"/>
      <c r="G132" s="20"/>
      <c r="H132" s="25" t="str">
        <f t="shared" si="5"/>
        <v/>
      </c>
      <c r="I132" s="39" t="str">
        <f t="shared" si="6"/>
        <v/>
      </c>
      <c r="J132" s="25" t="str">
        <f t="shared" si="7"/>
        <v/>
      </c>
      <c r="K132" s="25" t="str">
        <f>IF(C132="","",IFERROR(INDEX(Catalogue!$K$6:$K$55,MATCH(C132,Catalogue!$B$6:$B$55,0)),""))</f>
        <v/>
      </c>
      <c r="L132" s="25" t="str">
        <f t="shared" si="8"/>
        <v/>
      </c>
      <c r="M132" s="28" t="str">
        <f>IF(OR(E132="",K132=""),"",IF(N(G132)=0,"Pas de vente aujourd’hui",IF(J132&lt;K132*Paramètres!$B$11,"Rentable",IF(J132&lt;=K132,"Juste rentable","Perte"))))</f>
        <v/>
      </c>
      <c r="N132" s="24" t="str">
        <f t="shared" si="9"/>
        <v/>
      </c>
    </row>
    <row r="133" spans="1:14" x14ac:dyDescent="0.25">
      <c r="A133" s="38"/>
      <c r="B133" s="18"/>
      <c r="C133" s="18"/>
      <c r="D133" s="18"/>
      <c r="E133" s="19"/>
      <c r="F133" s="20"/>
      <c r="G133" s="20"/>
      <c r="H133" s="25" t="str">
        <f t="shared" si="5"/>
        <v/>
      </c>
      <c r="I133" s="39" t="str">
        <f t="shared" si="6"/>
        <v/>
      </c>
      <c r="J133" s="25" t="str">
        <f t="shared" si="7"/>
        <v/>
      </c>
      <c r="K133" s="25" t="str">
        <f>IF(C133="","",IFERROR(INDEX(Catalogue!$K$6:$K$55,MATCH(C133,Catalogue!$B$6:$B$55,0)),""))</f>
        <v/>
      </c>
      <c r="L133" s="25" t="str">
        <f t="shared" si="8"/>
        <v/>
      </c>
      <c r="M133" s="28" t="str">
        <f>IF(OR(E133="",K133=""),"",IF(N(G133)=0,"Pas de vente aujourd’hui",IF(J133&lt;K133*Paramètres!$B$11,"Rentable",IF(J133&lt;=K133,"Juste rentable","Perte"))))</f>
        <v/>
      </c>
      <c r="N133" s="24" t="str">
        <f t="shared" si="9"/>
        <v/>
      </c>
    </row>
    <row r="134" spans="1:14" x14ac:dyDescent="0.25">
      <c r="A134" s="38"/>
      <c r="B134" s="18"/>
      <c r="C134" s="18"/>
      <c r="D134" s="18"/>
      <c r="E134" s="19"/>
      <c r="F134" s="20"/>
      <c r="G134" s="20"/>
      <c r="H134" s="25" t="str">
        <f t="shared" ref="H134:H197" si="10">IF(N(F134)&gt;0,E134/F134,"")</f>
        <v/>
      </c>
      <c r="I134" s="39" t="str">
        <f t="shared" ref="I134:I197" si="11">IF(N(F134)&gt;0,G134/F134,"")</f>
        <v/>
      </c>
      <c r="J134" s="25" t="str">
        <f t="shared" ref="J134:J197" si="12">IF(N(G134)&gt;0,E134/G134,"")</f>
        <v/>
      </c>
      <c r="K134" s="25" t="str">
        <f>IF(C134="","",IFERROR(INDEX(Catalogue!$K$6:$K$55,MATCH(C134,Catalogue!$B$6:$B$55,0)),""))</f>
        <v/>
      </c>
      <c r="L134" s="25" t="str">
        <f t="shared" ref="L134:L197" si="13">IF(OR(E134="",K134=""),"",N(G134)*K134-E134)</f>
        <v/>
      </c>
      <c r="M134" s="28" t="str">
        <f>IF(OR(E134="",K134=""),"",IF(N(G134)=0,"Pas de vente aujourd’hui",IF(J134&lt;K134*Paramètres!$B$11,"Rentable",IF(J134&lt;=K134,"Juste rentable","Perte"))))</f>
        <v/>
      </c>
      <c r="N134" s="24" t="str">
        <f t="shared" ref="N134:N197" si="14">IF(A134="","",DATE(YEAR(A134),MONTH(A134),1))</f>
        <v/>
      </c>
    </row>
    <row r="135" spans="1:14" x14ac:dyDescent="0.25">
      <c r="A135" s="38"/>
      <c r="B135" s="18"/>
      <c r="C135" s="18"/>
      <c r="D135" s="18"/>
      <c r="E135" s="19"/>
      <c r="F135" s="20"/>
      <c r="G135" s="20"/>
      <c r="H135" s="25" t="str">
        <f t="shared" si="10"/>
        <v/>
      </c>
      <c r="I135" s="39" t="str">
        <f t="shared" si="11"/>
        <v/>
      </c>
      <c r="J135" s="25" t="str">
        <f t="shared" si="12"/>
        <v/>
      </c>
      <c r="K135" s="25" t="str">
        <f>IF(C135="","",IFERROR(INDEX(Catalogue!$K$6:$K$55,MATCH(C135,Catalogue!$B$6:$B$55,0)),""))</f>
        <v/>
      </c>
      <c r="L135" s="25" t="str">
        <f t="shared" si="13"/>
        <v/>
      </c>
      <c r="M135" s="28" t="str">
        <f>IF(OR(E135="",K135=""),"",IF(N(G135)=0,"Pas de vente aujourd’hui",IF(J135&lt;K135*Paramètres!$B$11,"Rentable",IF(J135&lt;=K135,"Juste rentable","Perte"))))</f>
        <v/>
      </c>
      <c r="N135" s="24" t="str">
        <f t="shared" si="14"/>
        <v/>
      </c>
    </row>
    <row r="136" spans="1:14" x14ac:dyDescent="0.25">
      <c r="A136" s="38"/>
      <c r="B136" s="18"/>
      <c r="C136" s="18"/>
      <c r="D136" s="18"/>
      <c r="E136" s="19"/>
      <c r="F136" s="20"/>
      <c r="G136" s="20"/>
      <c r="H136" s="25" t="str">
        <f t="shared" si="10"/>
        <v/>
      </c>
      <c r="I136" s="39" t="str">
        <f t="shared" si="11"/>
        <v/>
      </c>
      <c r="J136" s="25" t="str">
        <f t="shared" si="12"/>
        <v/>
      </c>
      <c r="K136" s="25" t="str">
        <f>IF(C136="","",IFERROR(INDEX(Catalogue!$K$6:$K$55,MATCH(C136,Catalogue!$B$6:$B$55,0)),""))</f>
        <v/>
      </c>
      <c r="L136" s="25" t="str">
        <f t="shared" si="13"/>
        <v/>
      </c>
      <c r="M136" s="28" t="str">
        <f>IF(OR(E136="",K136=""),"",IF(N(G136)=0,"Pas de vente aujourd’hui",IF(J136&lt;K136*Paramètres!$B$11,"Rentable",IF(J136&lt;=K136,"Juste rentable","Perte"))))</f>
        <v/>
      </c>
      <c r="N136" s="24" t="str">
        <f t="shared" si="14"/>
        <v/>
      </c>
    </row>
    <row r="137" spans="1:14" x14ac:dyDescent="0.25">
      <c r="A137" s="38"/>
      <c r="B137" s="18"/>
      <c r="C137" s="18"/>
      <c r="D137" s="18"/>
      <c r="E137" s="19"/>
      <c r="F137" s="20"/>
      <c r="G137" s="20"/>
      <c r="H137" s="25" t="str">
        <f t="shared" si="10"/>
        <v/>
      </c>
      <c r="I137" s="39" t="str">
        <f t="shared" si="11"/>
        <v/>
      </c>
      <c r="J137" s="25" t="str">
        <f t="shared" si="12"/>
        <v/>
      </c>
      <c r="K137" s="25" t="str">
        <f>IF(C137="","",IFERROR(INDEX(Catalogue!$K$6:$K$55,MATCH(C137,Catalogue!$B$6:$B$55,0)),""))</f>
        <v/>
      </c>
      <c r="L137" s="25" t="str">
        <f t="shared" si="13"/>
        <v/>
      </c>
      <c r="M137" s="28" t="str">
        <f>IF(OR(E137="",K137=""),"",IF(N(G137)=0,"Pas de vente aujourd’hui",IF(J137&lt;K137*Paramètres!$B$11,"Rentable",IF(J137&lt;=K137,"Juste rentable","Perte"))))</f>
        <v/>
      </c>
      <c r="N137" s="24" t="str">
        <f t="shared" si="14"/>
        <v/>
      </c>
    </row>
    <row r="138" spans="1:14" x14ac:dyDescent="0.25">
      <c r="A138" s="38"/>
      <c r="B138" s="18"/>
      <c r="C138" s="18"/>
      <c r="D138" s="18"/>
      <c r="E138" s="19"/>
      <c r="F138" s="20"/>
      <c r="G138" s="20"/>
      <c r="H138" s="25" t="str">
        <f t="shared" si="10"/>
        <v/>
      </c>
      <c r="I138" s="39" t="str">
        <f t="shared" si="11"/>
        <v/>
      </c>
      <c r="J138" s="25" t="str">
        <f t="shared" si="12"/>
        <v/>
      </c>
      <c r="K138" s="25" t="str">
        <f>IF(C138="","",IFERROR(INDEX(Catalogue!$K$6:$K$55,MATCH(C138,Catalogue!$B$6:$B$55,0)),""))</f>
        <v/>
      </c>
      <c r="L138" s="25" t="str">
        <f t="shared" si="13"/>
        <v/>
      </c>
      <c r="M138" s="28" t="str">
        <f>IF(OR(E138="",K138=""),"",IF(N(G138)=0,"Pas de vente aujourd’hui",IF(J138&lt;K138*Paramètres!$B$11,"Rentable",IF(J138&lt;=K138,"Juste rentable","Perte"))))</f>
        <v/>
      </c>
      <c r="N138" s="24" t="str">
        <f t="shared" si="14"/>
        <v/>
      </c>
    </row>
    <row r="139" spans="1:14" x14ac:dyDescent="0.25">
      <c r="A139" s="38"/>
      <c r="B139" s="18"/>
      <c r="C139" s="18"/>
      <c r="D139" s="18"/>
      <c r="E139" s="19"/>
      <c r="F139" s="20"/>
      <c r="G139" s="20"/>
      <c r="H139" s="25" t="str">
        <f t="shared" si="10"/>
        <v/>
      </c>
      <c r="I139" s="39" t="str">
        <f t="shared" si="11"/>
        <v/>
      </c>
      <c r="J139" s="25" t="str">
        <f t="shared" si="12"/>
        <v/>
      </c>
      <c r="K139" s="25" t="str">
        <f>IF(C139="","",IFERROR(INDEX(Catalogue!$K$6:$K$55,MATCH(C139,Catalogue!$B$6:$B$55,0)),""))</f>
        <v/>
      </c>
      <c r="L139" s="25" t="str">
        <f t="shared" si="13"/>
        <v/>
      </c>
      <c r="M139" s="28" t="str">
        <f>IF(OR(E139="",K139=""),"",IF(N(G139)=0,"Pas de vente aujourd’hui",IF(J139&lt;K139*Paramètres!$B$11,"Rentable",IF(J139&lt;=K139,"Juste rentable","Perte"))))</f>
        <v/>
      </c>
      <c r="N139" s="24" t="str">
        <f t="shared" si="14"/>
        <v/>
      </c>
    </row>
    <row r="140" spans="1:14" x14ac:dyDescent="0.25">
      <c r="A140" s="38"/>
      <c r="B140" s="18"/>
      <c r="C140" s="18"/>
      <c r="D140" s="18"/>
      <c r="E140" s="19"/>
      <c r="F140" s="20"/>
      <c r="G140" s="20"/>
      <c r="H140" s="25" t="str">
        <f t="shared" si="10"/>
        <v/>
      </c>
      <c r="I140" s="39" t="str">
        <f t="shared" si="11"/>
        <v/>
      </c>
      <c r="J140" s="25" t="str">
        <f t="shared" si="12"/>
        <v/>
      </c>
      <c r="K140" s="25" t="str">
        <f>IF(C140="","",IFERROR(INDEX(Catalogue!$K$6:$K$55,MATCH(C140,Catalogue!$B$6:$B$55,0)),""))</f>
        <v/>
      </c>
      <c r="L140" s="25" t="str">
        <f t="shared" si="13"/>
        <v/>
      </c>
      <c r="M140" s="28" t="str">
        <f>IF(OR(E140="",K140=""),"",IF(N(G140)=0,"Pas de vente aujourd’hui",IF(J140&lt;K140*Paramètres!$B$11,"Rentable",IF(J140&lt;=K140,"Juste rentable","Perte"))))</f>
        <v/>
      </c>
      <c r="N140" s="24" t="str">
        <f t="shared" si="14"/>
        <v/>
      </c>
    </row>
    <row r="141" spans="1:14" x14ac:dyDescent="0.25">
      <c r="A141" s="38"/>
      <c r="B141" s="18"/>
      <c r="C141" s="18"/>
      <c r="D141" s="18"/>
      <c r="E141" s="19"/>
      <c r="F141" s="20"/>
      <c r="G141" s="20"/>
      <c r="H141" s="25" t="str">
        <f t="shared" si="10"/>
        <v/>
      </c>
      <c r="I141" s="39" t="str">
        <f t="shared" si="11"/>
        <v/>
      </c>
      <c r="J141" s="25" t="str">
        <f t="shared" si="12"/>
        <v/>
      </c>
      <c r="K141" s="25" t="str">
        <f>IF(C141="","",IFERROR(INDEX(Catalogue!$K$6:$K$55,MATCH(C141,Catalogue!$B$6:$B$55,0)),""))</f>
        <v/>
      </c>
      <c r="L141" s="25" t="str">
        <f t="shared" si="13"/>
        <v/>
      </c>
      <c r="M141" s="28" t="str">
        <f>IF(OR(E141="",K141=""),"",IF(N(G141)=0,"Pas de vente aujourd’hui",IF(J141&lt;K141*Paramètres!$B$11,"Rentable",IF(J141&lt;=K141,"Juste rentable","Perte"))))</f>
        <v/>
      </c>
      <c r="N141" s="24" t="str">
        <f t="shared" si="14"/>
        <v/>
      </c>
    </row>
    <row r="142" spans="1:14" x14ac:dyDescent="0.25">
      <c r="A142" s="38"/>
      <c r="B142" s="18"/>
      <c r="C142" s="18"/>
      <c r="D142" s="18"/>
      <c r="E142" s="19"/>
      <c r="F142" s="20"/>
      <c r="G142" s="20"/>
      <c r="H142" s="25" t="str">
        <f t="shared" si="10"/>
        <v/>
      </c>
      <c r="I142" s="39" t="str">
        <f t="shared" si="11"/>
        <v/>
      </c>
      <c r="J142" s="25" t="str">
        <f t="shared" si="12"/>
        <v/>
      </c>
      <c r="K142" s="25" t="str">
        <f>IF(C142="","",IFERROR(INDEX(Catalogue!$K$6:$K$55,MATCH(C142,Catalogue!$B$6:$B$55,0)),""))</f>
        <v/>
      </c>
      <c r="L142" s="25" t="str">
        <f t="shared" si="13"/>
        <v/>
      </c>
      <c r="M142" s="28" t="str">
        <f>IF(OR(E142="",K142=""),"",IF(N(G142)=0,"Pas de vente aujourd’hui",IF(J142&lt;K142*Paramètres!$B$11,"Rentable",IF(J142&lt;=K142,"Juste rentable","Perte"))))</f>
        <v/>
      </c>
      <c r="N142" s="24" t="str">
        <f t="shared" si="14"/>
        <v/>
      </c>
    </row>
    <row r="143" spans="1:14" x14ac:dyDescent="0.25">
      <c r="A143" s="38"/>
      <c r="B143" s="18"/>
      <c r="C143" s="18"/>
      <c r="D143" s="18"/>
      <c r="E143" s="19"/>
      <c r="F143" s="20"/>
      <c r="G143" s="20"/>
      <c r="H143" s="25" t="str">
        <f t="shared" si="10"/>
        <v/>
      </c>
      <c r="I143" s="39" t="str">
        <f t="shared" si="11"/>
        <v/>
      </c>
      <c r="J143" s="25" t="str">
        <f t="shared" si="12"/>
        <v/>
      </c>
      <c r="K143" s="25" t="str">
        <f>IF(C143="","",IFERROR(INDEX(Catalogue!$K$6:$K$55,MATCH(C143,Catalogue!$B$6:$B$55,0)),""))</f>
        <v/>
      </c>
      <c r="L143" s="25" t="str">
        <f t="shared" si="13"/>
        <v/>
      </c>
      <c r="M143" s="28" t="str">
        <f>IF(OR(E143="",K143=""),"",IF(N(G143)=0,"Pas de vente aujourd’hui",IF(J143&lt;K143*Paramètres!$B$11,"Rentable",IF(J143&lt;=K143,"Juste rentable","Perte"))))</f>
        <v/>
      </c>
      <c r="N143" s="24" t="str">
        <f t="shared" si="14"/>
        <v/>
      </c>
    </row>
    <row r="144" spans="1:14" x14ac:dyDescent="0.25">
      <c r="A144" s="38"/>
      <c r="B144" s="18"/>
      <c r="C144" s="18"/>
      <c r="D144" s="18"/>
      <c r="E144" s="19"/>
      <c r="F144" s="20"/>
      <c r="G144" s="20"/>
      <c r="H144" s="25" t="str">
        <f t="shared" si="10"/>
        <v/>
      </c>
      <c r="I144" s="39" t="str">
        <f t="shared" si="11"/>
        <v/>
      </c>
      <c r="J144" s="25" t="str">
        <f t="shared" si="12"/>
        <v/>
      </c>
      <c r="K144" s="25" t="str">
        <f>IF(C144="","",IFERROR(INDEX(Catalogue!$K$6:$K$55,MATCH(C144,Catalogue!$B$6:$B$55,0)),""))</f>
        <v/>
      </c>
      <c r="L144" s="25" t="str">
        <f t="shared" si="13"/>
        <v/>
      </c>
      <c r="M144" s="28" t="str">
        <f>IF(OR(E144="",K144=""),"",IF(N(G144)=0,"Pas de vente aujourd’hui",IF(J144&lt;K144*Paramètres!$B$11,"Rentable",IF(J144&lt;=K144,"Juste rentable","Perte"))))</f>
        <v/>
      </c>
      <c r="N144" s="24" t="str">
        <f t="shared" si="14"/>
        <v/>
      </c>
    </row>
    <row r="145" spans="1:14" x14ac:dyDescent="0.25">
      <c r="A145" s="38"/>
      <c r="B145" s="18"/>
      <c r="C145" s="18"/>
      <c r="D145" s="18"/>
      <c r="E145" s="19"/>
      <c r="F145" s="20"/>
      <c r="G145" s="20"/>
      <c r="H145" s="25" t="str">
        <f t="shared" si="10"/>
        <v/>
      </c>
      <c r="I145" s="39" t="str">
        <f t="shared" si="11"/>
        <v/>
      </c>
      <c r="J145" s="25" t="str">
        <f t="shared" si="12"/>
        <v/>
      </c>
      <c r="K145" s="25" t="str">
        <f>IF(C145="","",IFERROR(INDEX(Catalogue!$K$6:$K$55,MATCH(C145,Catalogue!$B$6:$B$55,0)),""))</f>
        <v/>
      </c>
      <c r="L145" s="25" t="str">
        <f t="shared" si="13"/>
        <v/>
      </c>
      <c r="M145" s="28" t="str">
        <f>IF(OR(E145="",K145=""),"",IF(N(G145)=0,"Pas de vente aujourd’hui",IF(J145&lt;K145*Paramètres!$B$11,"Rentable",IF(J145&lt;=K145,"Juste rentable","Perte"))))</f>
        <v/>
      </c>
      <c r="N145" s="24" t="str">
        <f t="shared" si="14"/>
        <v/>
      </c>
    </row>
    <row r="146" spans="1:14" x14ac:dyDescent="0.25">
      <c r="A146" s="38"/>
      <c r="B146" s="18"/>
      <c r="C146" s="18"/>
      <c r="D146" s="18"/>
      <c r="E146" s="19"/>
      <c r="F146" s="20"/>
      <c r="G146" s="20"/>
      <c r="H146" s="25" t="str">
        <f t="shared" si="10"/>
        <v/>
      </c>
      <c r="I146" s="39" t="str">
        <f t="shared" si="11"/>
        <v/>
      </c>
      <c r="J146" s="25" t="str">
        <f t="shared" si="12"/>
        <v/>
      </c>
      <c r="K146" s="25" t="str">
        <f>IF(C146="","",IFERROR(INDEX(Catalogue!$K$6:$K$55,MATCH(C146,Catalogue!$B$6:$B$55,0)),""))</f>
        <v/>
      </c>
      <c r="L146" s="25" t="str">
        <f t="shared" si="13"/>
        <v/>
      </c>
      <c r="M146" s="28" t="str">
        <f>IF(OR(E146="",K146=""),"",IF(N(G146)=0,"Pas de vente aujourd’hui",IF(J146&lt;K146*Paramètres!$B$11,"Rentable",IF(J146&lt;=K146,"Juste rentable","Perte"))))</f>
        <v/>
      </c>
      <c r="N146" s="24" t="str">
        <f t="shared" si="14"/>
        <v/>
      </c>
    </row>
    <row r="147" spans="1:14" x14ac:dyDescent="0.25">
      <c r="A147" s="38"/>
      <c r="B147" s="18"/>
      <c r="C147" s="18"/>
      <c r="D147" s="18"/>
      <c r="E147" s="19"/>
      <c r="F147" s="20"/>
      <c r="G147" s="20"/>
      <c r="H147" s="25" t="str">
        <f t="shared" si="10"/>
        <v/>
      </c>
      <c r="I147" s="39" t="str">
        <f t="shared" si="11"/>
        <v/>
      </c>
      <c r="J147" s="25" t="str">
        <f t="shared" si="12"/>
        <v/>
      </c>
      <c r="K147" s="25" t="str">
        <f>IF(C147="","",IFERROR(INDEX(Catalogue!$K$6:$K$55,MATCH(C147,Catalogue!$B$6:$B$55,0)),""))</f>
        <v/>
      </c>
      <c r="L147" s="25" t="str">
        <f t="shared" si="13"/>
        <v/>
      </c>
      <c r="M147" s="28" t="str">
        <f>IF(OR(E147="",K147=""),"",IF(N(G147)=0,"Pas de vente aujourd’hui",IF(J147&lt;K147*Paramètres!$B$11,"Rentable",IF(J147&lt;=K147,"Juste rentable","Perte"))))</f>
        <v/>
      </c>
      <c r="N147" s="24" t="str">
        <f t="shared" si="14"/>
        <v/>
      </c>
    </row>
    <row r="148" spans="1:14" x14ac:dyDescent="0.25">
      <c r="A148" s="38"/>
      <c r="B148" s="18"/>
      <c r="C148" s="18"/>
      <c r="D148" s="18"/>
      <c r="E148" s="19"/>
      <c r="F148" s="20"/>
      <c r="G148" s="20"/>
      <c r="H148" s="25" t="str">
        <f t="shared" si="10"/>
        <v/>
      </c>
      <c r="I148" s="39" t="str">
        <f t="shared" si="11"/>
        <v/>
      </c>
      <c r="J148" s="25" t="str">
        <f t="shared" si="12"/>
        <v/>
      </c>
      <c r="K148" s="25" t="str">
        <f>IF(C148="","",IFERROR(INDEX(Catalogue!$K$6:$K$55,MATCH(C148,Catalogue!$B$6:$B$55,0)),""))</f>
        <v/>
      </c>
      <c r="L148" s="25" t="str">
        <f t="shared" si="13"/>
        <v/>
      </c>
      <c r="M148" s="28" t="str">
        <f>IF(OR(E148="",K148=""),"",IF(N(G148)=0,"Pas de vente aujourd’hui",IF(J148&lt;K148*Paramètres!$B$11,"Rentable",IF(J148&lt;=K148,"Juste rentable","Perte"))))</f>
        <v/>
      </c>
      <c r="N148" s="24" t="str">
        <f t="shared" si="14"/>
        <v/>
      </c>
    </row>
    <row r="149" spans="1:14" x14ac:dyDescent="0.25">
      <c r="A149" s="38"/>
      <c r="B149" s="18"/>
      <c r="C149" s="18"/>
      <c r="D149" s="18"/>
      <c r="E149" s="19"/>
      <c r="F149" s="20"/>
      <c r="G149" s="20"/>
      <c r="H149" s="25" t="str">
        <f t="shared" si="10"/>
        <v/>
      </c>
      <c r="I149" s="39" t="str">
        <f t="shared" si="11"/>
        <v/>
      </c>
      <c r="J149" s="25" t="str">
        <f t="shared" si="12"/>
        <v/>
      </c>
      <c r="K149" s="25" t="str">
        <f>IF(C149="","",IFERROR(INDEX(Catalogue!$K$6:$K$55,MATCH(C149,Catalogue!$B$6:$B$55,0)),""))</f>
        <v/>
      </c>
      <c r="L149" s="25" t="str">
        <f t="shared" si="13"/>
        <v/>
      </c>
      <c r="M149" s="28" t="str">
        <f>IF(OR(E149="",K149=""),"",IF(N(G149)=0,"Pas de vente aujourd’hui",IF(J149&lt;K149*Paramètres!$B$11,"Rentable",IF(J149&lt;=K149,"Juste rentable","Perte"))))</f>
        <v/>
      </c>
      <c r="N149" s="24" t="str">
        <f t="shared" si="14"/>
        <v/>
      </c>
    </row>
    <row r="150" spans="1:14" x14ac:dyDescent="0.25">
      <c r="A150" s="38"/>
      <c r="B150" s="18"/>
      <c r="C150" s="18"/>
      <c r="D150" s="18"/>
      <c r="E150" s="19"/>
      <c r="F150" s="20"/>
      <c r="G150" s="20"/>
      <c r="H150" s="25" t="str">
        <f t="shared" si="10"/>
        <v/>
      </c>
      <c r="I150" s="39" t="str">
        <f t="shared" si="11"/>
        <v/>
      </c>
      <c r="J150" s="25" t="str">
        <f t="shared" si="12"/>
        <v/>
      </c>
      <c r="K150" s="25" t="str">
        <f>IF(C150="","",IFERROR(INDEX(Catalogue!$K$6:$K$55,MATCH(C150,Catalogue!$B$6:$B$55,0)),""))</f>
        <v/>
      </c>
      <c r="L150" s="25" t="str">
        <f t="shared" si="13"/>
        <v/>
      </c>
      <c r="M150" s="28" t="str">
        <f>IF(OR(E150="",K150=""),"",IF(N(G150)=0,"Pas de vente aujourd’hui",IF(J150&lt;K150*Paramètres!$B$11,"Rentable",IF(J150&lt;=K150,"Juste rentable","Perte"))))</f>
        <v/>
      </c>
      <c r="N150" s="24" t="str">
        <f t="shared" si="14"/>
        <v/>
      </c>
    </row>
    <row r="151" spans="1:14" x14ac:dyDescent="0.25">
      <c r="A151" s="38"/>
      <c r="B151" s="18"/>
      <c r="C151" s="18"/>
      <c r="D151" s="18"/>
      <c r="E151" s="19"/>
      <c r="F151" s="20"/>
      <c r="G151" s="20"/>
      <c r="H151" s="25" t="str">
        <f t="shared" si="10"/>
        <v/>
      </c>
      <c r="I151" s="39" t="str">
        <f t="shared" si="11"/>
        <v/>
      </c>
      <c r="J151" s="25" t="str">
        <f t="shared" si="12"/>
        <v/>
      </c>
      <c r="K151" s="25" t="str">
        <f>IF(C151="","",IFERROR(INDEX(Catalogue!$K$6:$K$55,MATCH(C151,Catalogue!$B$6:$B$55,0)),""))</f>
        <v/>
      </c>
      <c r="L151" s="25" t="str">
        <f t="shared" si="13"/>
        <v/>
      </c>
      <c r="M151" s="28" t="str">
        <f>IF(OR(E151="",K151=""),"",IF(N(G151)=0,"Pas de vente aujourd’hui",IF(J151&lt;K151*Paramètres!$B$11,"Rentable",IF(J151&lt;=K151,"Juste rentable","Perte"))))</f>
        <v/>
      </c>
      <c r="N151" s="24" t="str">
        <f t="shared" si="14"/>
        <v/>
      </c>
    </row>
    <row r="152" spans="1:14" x14ac:dyDescent="0.25">
      <c r="A152" s="38"/>
      <c r="B152" s="18"/>
      <c r="C152" s="18"/>
      <c r="D152" s="18"/>
      <c r="E152" s="19"/>
      <c r="F152" s="20"/>
      <c r="G152" s="20"/>
      <c r="H152" s="25" t="str">
        <f t="shared" si="10"/>
        <v/>
      </c>
      <c r="I152" s="39" t="str">
        <f t="shared" si="11"/>
        <v/>
      </c>
      <c r="J152" s="25" t="str">
        <f t="shared" si="12"/>
        <v/>
      </c>
      <c r="K152" s="25" t="str">
        <f>IF(C152="","",IFERROR(INDEX(Catalogue!$K$6:$K$55,MATCH(C152,Catalogue!$B$6:$B$55,0)),""))</f>
        <v/>
      </c>
      <c r="L152" s="25" t="str">
        <f t="shared" si="13"/>
        <v/>
      </c>
      <c r="M152" s="28" t="str">
        <f>IF(OR(E152="",K152=""),"",IF(N(G152)=0,"Pas de vente aujourd’hui",IF(J152&lt;K152*Paramètres!$B$11,"Rentable",IF(J152&lt;=K152,"Juste rentable","Perte"))))</f>
        <v/>
      </c>
      <c r="N152" s="24" t="str">
        <f t="shared" si="14"/>
        <v/>
      </c>
    </row>
    <row r="153" spans="1:14" x14ac:dyDescent="0.25">
      <c r="A153" s="38"/>
      <c r="B153" s="18"/>
      <c r="C153" s="18"/>
      <c r="D153" s="18"/>
      <c r="E153" s="19"/>
      <c r="F153" s="20"/>
      <c r="G153" s="20"/>
      <c r="H153" s="25" t="str">
        <f t="shared" si="10"/>
        <v/>
      </c>
      <c r="I153" s="39" t="str">
        <f t="shared" si="11"/>
        <v/>
      </c>
      <c r="J153" s="25" t="str">
        <f t="shared" si="12"/>
        <v/>
      </c>
      <c r="K153" s="25" t="str">
        <f>IF(C153="","",IFERROR(INDEX(Catalogue!$K$6:$K$55,MATCH(C153,Catalogue!$B$6:$B$55,0)),""))</f>
        <v/>
      </c>
      <c r="L153" s="25" t="str">
        <f t="shared" si="13"/>
        <v/>
      </c>
      <c r="M153" s="28" t="str">
        <f>IF(OR(E153="",K153=""),"",IF(N(G153)=0,"Pas de vente aujourd’hui",IF(J153&lt;K153*Paramètres!$B$11,"Rentable",IF(J153&lt;=K153,"Juste rentable","Perte"))))</f>
        <v/>
      </c>
      <c r="N153" s="24" t="str">
        <f t="shared" si="14"/>
        <v/>
      </c>
    </row>
    <row r="154" spans="1:14" x14ac:dyDescent="0.25">
      <c r="A154" s="38"/>
      <c r="B154" s="18"/>
      <c r="C154" s="18"/>
      <c r="D154" s="18"/>
      <c r="E154" s="19"/>
      <c r="F154" s="20"/>
      <c r="G154" s="20"/>
      <c r="H154" s="25" t="str">
        <f t="shared" si="10"/>
        <v/>
      </c>
      <c r="I154" s="39" t="str">
        <f t="shared" si="11"/>
        <v/>
      </c>
      <c r="J154" s="25" t="str">
        <f t="shared" si="12"/>
        <v/>
      </c>
      <c r="K154" s="25" t="str">
        <f>IF(C154="","",IFERROR(INDEX(Catalogue!$K$6:$K$55,MATCH(C154,Catalogue!$B$6:$B$55,0)),""))</f>
        <v/>
      </c>
      <c r="L154" s="25" t="str">
        <f t="shared" si="13"/>
        <v/>
      </c>
      <c r="M154" s="28" t="str">
        <f>IF(OR(E154="",K154=""),"",IF(N(G154)=0,"Pas de vente aujourd’hui",IF(J154&lt;K154*Paramètres!$B$11,"Rentable",IF(J154&lt;=K154,"Juste rentable","Perte"))))</f>
        <v/>
      </c>
      <c r="N154" s="24" t="str">
        <f t="shared" si="14"/>
        <v/>
      </c>
    </row>
    <row r="155" spans="1:14" x14ac:dyDescent="0.25">
      <c r="A155" s="38"/>
      <c r="B155" s="18"/>
      <c r="C155" s="18"/>
      <c r="D155" s="18"/>
      <c r="E155" s="19"/>
      <c r="F155" s="20"/>
      <c r="G155" s="20"/>
      <c r="H155" s="25" t="str">
        <f t="shared" si="10"/>
        <v/>
      </c>
      <c r="I155" s="39" t="str">
        <f t="shared" si="11"/>
        <v/>
      </c>
      <c r="J155" s="25" t="str">
        <f t="shared" si="12"/>
        <v/>
      </c>
      <c r="K155" s="25" t="str">
        <f>IF(C155="","",IFERROR(INDEX(Catalogue!$K$6:$K$55,MATCH(C155,Catalogue!$B$6:$B$55,0)),""))</f>
        <v/>
      </c>
      <c r="L155" s="25" t="str">
        <f t="shared" si="13"/>
        <v/>
      </c>
      <c r="M155" s="28" t="str">
        <f>IF(OR(E155="",K155=""),"",IF(N(G155)=0,"Pas de vente aujourd’hui",IF(J155&lt;K155*Paramètres!$B$11,"Rentable",IF(J155&lt;=K155,"Juste rentable","Perte"))))</f>
        <v/>
      </c>
      <c r="N155" s="24" t="str">
        <f t="shared" si="14"/>
        <v/>
      </c>
    </row>
    <row r="156" spans="1:14" x14ac:dyDescent="0.25">
      <c r="A156" s="38"/>
      <c r="B156" s="18"/>
      <c r="C156" s="18"/>
      <c r="D156" s="18"/>
      <c r="E156" s="19"/>
      <c r="F156" s="20"/>
      <c r="G156" s="20"/>
      <c r="H156" s="25" t="str">
        <f t="shared" si="10"/>
        <v/>
      </c>
      <c r="I156" s="39" t="str">
        <f t="shared" si="11"/>
        <v/>
      </c>
      <c r="J156" s="25" t="str">
        <f t="shared" si="12"/>
        <v/>
      </c>
      <c r="K156" s="25" t="str">
        <f>IF(C156="","",IFERROR(INDEX(Catalogue!$K$6:$K$55,MATCH(C156,Catalogue!$B$6:$B$55,0)),""))</f>
        <v/>
      </c>
      <c r="L156" s="25" t="str">
        <f t="shared" si="13"/>
        <v/>
      </c>
      <c r="M156" s="28" t="str">
        <f>IF(OR(E156="",K156=""),"",IF(N(G156)=0,"Pas de vente aujourd’hui",IF(J156&lt;K156*Paramètres!$B$11,"Rentable",IF(J156&lt;=K156,"Juste rentable","Perte"))))</f>
        <v/>
      </c>
      <c r="N156" s="24" t="str">
        <f t="shared" si="14"/>
        <v/>
      </c>
    </row>
    <row r="157" spans="1:14" x14ac:dyDescent="0.25">
      <c r="A157" s="38"/>
      <c r="B157" s="18"/>
      <c r="C157" s="18"/>
      <c r="D157" s="18"/>
      <c r="E157" s="19"/>
      <c r="F157" s="20"/>
      <c r="G157" s="20"/>
      <c r="H157" s="25" t="str">
        <f t="shared" si="10"/>
        <v/>
      </c>
      <c r="I157" s="39" t="str">
        <f t="shared" si="11"/>
        <v/>
      </c>
      <c r="J157" s="25" t="str">
        <f t="shared" si="12"/>
        <v/>
      </c>
      <c r="K157" s="25" t="str">
        <f>IF(C157="","",IFERROR(INDEX(Catalogue!$K$6:$K$55,MATCH(C157,Catalogue!$B$6:$B$55,0)),""))</f>
        <v/>
      </c>
      <c r="L157" s="25" t="str">
        <f t="shared" si="13"/>
        <v/>
      </c>
      <c r="M157" s="28" t="str">
        <f>IF(OR(E157="",K157=""),"",IF(N(G157)=0,"Pas de vente aujourd’hui",IF(J157&lt;K157*Paramètres!$B$11,"Rentable",IF(J157&lt;=K157,"Juste rentable","Perte"))))</f>
        <v/>
      </c>
      <c r="N157" s="24" t="str">
        <f t="shared" si="14"/>
        <v/>
      </c>
    </row>
    <row r="158" spans="1:14" x14ac:dyDescent="0.25">
      <c r="A158" s="38"/>
      <c r="B158" s="18"/>
      <c r="C158" s="18"/>
      <c r="D158" s="18"/>
      <c r="E158" s="19"/>
      <c r="F158" s="20"/>
      <c r="G158" s="20"/>
      <c r="H158" s="25" t="str">
        <f t="shared" si="10"/>
        <v/>
      </c>
      <c r="I158" s="39" t="str">
        <f t="shared" si="11"/>
        <v/>
      </c>
      <c r="J158" s="25" t="str">
        <f t="shared" si="12"/>
        <v/>
      </c>
      <c r="K158" s="25" t="str">
        <f>IF(C158="","",IFERROR(INDEX(Catalogue!$K$6:$K$55,MATCH(C158,Catalogue!$B$6:$B$55,0)),""))</f>
        <v/>
      </c>
      <c r="L158" s="25" t="str">
        <f t="shared" si="13"/>
        <v/>
      </c>
      <c r="M158" s="28" t="str">
        <f>IF(OR(E158="",K158=""),"",IF(N(G158)=0,"Pas de vente aujourd’hui",IF(J158&lt;K158*Paramètres!$B$11,"Rentable",IF(J158&lt;=K158,"Juste rentable","Perte"))))</f>
        <v/>
      </c>
      <c r="N158" s="24" t="str">
        <f t="shared" si="14"/>
        <v/>
      </c>
    </row>
    <row r="159" spans="1:14" x14ac:dyDescent="0.25">
      <c r="A159" s="38"/>
      <c r="B159" s="18"/>
      <c r="C159" s="18"/>
      <c r="D159" s="18"/>
      <c r="E159" s="19"/>
      <c r="F159" s="20"/>
      <c r="G159" s="20"/>
      <c r="H159" s="25" t="str">
        <f t="shared" si="10"/>
        <v/>
      </c>
      <c r="I159" s="39" t="str">
        <f t="shared" si="11"/>
        <v/>
      </c>
      <c r="J159" s="25" t="str">
        <f t="shared" si="12"/>
        <v/>
      </c>
      <c r="K159" s="25" t="str">
        <f>IF(C159="","",IFERROR(INDEX(Catalogue!$K$6:$K$55,MATCH(C159,Catalogue!$B$6:$B$55,0)),""))</f>
        <v/>
      </c>
      <c r="L159" s="25" t="str">
        <f t="shared" si="13"/>
        <v/>
      </c>
      <c r="M159" s="28" t="str">
        <f>IF(OR(E159="",K159=""),"",IF(N(G159)=0,"Pas de vente aujourd’hui",IF(J159&lt;K159*Paramètres!$B$11,"Rentable",IF(J159&lt;=K159,"Juste rentable","Perte"))))</f>
        <v/>
      </c>
      <c r="N159" s="24" t="str">
        <f t="shared" si="14"/>
        <v/>
      </c>
    </row>
    <row r="160" spans="1:14" x14ac:dyDescent="0.25">
      <c r="A160" s="38"/>
      <c r="B160" s="18"/>
      <c r="C160" s="18"/>
      <c r="D160" s="18"/>
      <c r="E160" s="19"/>
      <c r="F160" s="20"/>
      <c r="G160" s="20"/>
      <c r="H160" s="25" t="str">
        <f t="shared" si="10"/>
        <v/>
      </c>
      <c r="I160" s="39" t="str">
        <f t="shared" si="11"/>
        <v/>
      </c>
      <c r="J160" s="25" t="str">
        <f t="shared" si="12"/>
        <v/>
      </c>
      <c r="K160" s="25" t="str">
        <f>IF(C160="","",IFERROR(INDEX(Catalogue!$K$6:$K$55,MATCH(C160,Catalogue!$B$6:$B$55,0)),""))</f>
        <v/>
      </c>
      <c r="L160" s="25" t="str">
        <f t="shared" si="13"/>
        <v/>
      </c>
      <c r="M160" s="28" t="str">
        <f>IF(OR(E160="",K160=""),"",IF(N(G160)=0,"Pas de vente aujourd’hui",IF(J160&lt;K160*Paramètres!$B$11,"Rentable",IF(J160&lt;=K160,"Juste rentable","Perte"))))</f>
        <v/>
      </c>
      <c r="N160" s="24" t="str">
        <f t="shared" si="14"/>
        <v/>
      </c>
    </row>
    <row r="161" spans="1:14" x14ac:dyDescent="0.25">
      <c r="A161" s="38"/>
      <c r="B161" s="18"/>
      <c r="C161" s="18"/>
      <c r="D161" s="18"/>
      <c r="E161" s="19"/>
      <c r="F161" s="20"/>
      <c r="G161" s="20"/>
      <c r="H161" s="25" t="str">
        <f t="shared" si="10"/>
        <v/>
      </c>
      <c r="I161" s="39" t="str">
        <f t="shared" si="11"/>
        <v/>
      </c>
      <c r="J161" s="25" t="str">
        <f t="shared" si="12"/>
        <v/>
      </c>
      <c r="K161" s="25" t="str">
        <f>IF(C161="","",IFERROR(INDEX(Catalogue!$K$6:$K$55,MATCH(C161,Catalogue!$B$6:$B$55,0)),""))</f>
        <v/>
      </c>
      <c r="L161" s="25" t="str">
        <f t="shared" si="13"/>
        <v/>
      </c>
      <c r="M161" s="28" t="str">
        <f>IF(OR(E161="",K161=""),"",IF(N(G161)=0,"Pas de vente aujourd’hui",IF(J161&lt;K161*Paramètres!$B$11,"Rentable",IF(J161&lt;=K161,"Juste rentable","Perte"))))</f>
        <v/>
      </c>
      <c r="N161" s="24" t="str">
        <f t="shared" si="14"/>
        <v/>
      </c>
    </row>
    <row r="162" spans="1:14" x14ac:dyDescent="0.25">
      <c r="A162" s="38"/>
      <c r="B162" s="18"/>
      <c r="C162" s="18"/>
      <c r="D162" s="18"/>
      <c r="E162" s="19"/>
      <c r="F162" s="20"/>
      <c r="G162" s="20"/>
      <c r="H162" s="25" t="str">
        <f t="shared" si="10"/>
        <v/>
      </c>
      <c r="I162" s="39" t="str">
        <f t="shared" si="11"/>
        <v/>
      </c>
      <c r="J162" s="25" t="str">
        <f t="shared" si="12"/>
        <v/>
      </c>
      <c r="K162" s="25" t="str">
        <f>IF(C162="","",IFERROR(INDEX(Catalogue!$K$6:$K$55,MATCH(C162,Catalogue!$B$6:$B$55,0)),""))</f>
        <v/>
      </c>
      <c r="L162" s="25" t="str">
        <f t="shared" si="13"/>
        <v/>
      </c>
      <c r="M162" s="28" t="str">
        <f>IF(OR(E162="",K162=""),"",IF(N(G162)=0,"Pas de vente aujourd’hui",IF(J162&lt;K162*Paramètres!$B$11,"Rentable",IF(J162&lt;=K162,"Juste rentable","Perte"))))</f>
        <v/>
      </c>
      <c r="N162" s="24" t="str">
        <f t="shared" si="14"/>
        <v/>
      </c>
    </row>
    <row r="163" spans="1:14" x14ac:dyDescent="0.25">
      <c r="A163" s="38"/>
      <c r="B163" s="18"/>
      <c r="C163" s="18"/>
      <c r="D163" s="18"/>
      <c r="E163" s="19"/>
      <c r="F163" s="20"/>
      <c r="G163" s="20"/>
      <c r="H163" s="25" t="str">
        <f t="shared" si="10"/>
        <v/>
      </c>
      <c r="I163" s="39" t="str">
        <f t="shared" si="11"/>
        <v/>
      </c>
      <c r="J163" s="25" t="str">
        <f t="shared" si="12"/>
        <v/>
      </c>
      <c r="K163" s="25" t="str">
        <f>IF(C163="","",IFERROR(INDEX(Catalogue!$K$6:$K$55,MATCH(C163,Catalogue!$B$6:$B$55,0)),""))</f>
        <v/>
      </c>
      <c r="L163" s="25" t="str">
        <f t="shared" si="13"/>
        <v/>
      </c>
      <c r="M163" s="28" t="str">
        <f>IF(OR(E163="",K163=""),"",IF(N(G163)=0,"Pas de vente aujourd’hui",IF(J163&lt;K163*Paramètres!$B$11,"Rentable",IF(J163&lt;=K163,"Juste rentable","Perte"))))</f>
        <v/>
      </c>
      <c r="N163" s="24" t="str">
        <f t="shared" si="14"/>
        <v/>
      </c>
    </row>
    <row r="164" spans="1:14" x14ac:dyDescent="0.25">
      <c r="A164" s="38"/>
      <c r="B164" s="18"/>
      <c r="C164" s="18"/>
      <c r="D164" s="18"/>
      <c r="E164" s="19"/>
      <c r="F164" s="20"/>
      <c r="G164" s="20"/>
      <c r="H164" s="25" t="str">
        <f t="shared" si="10"/>
        <v/>
      </c>
      <c r="I164" s="39" t="str">
        <f t="shared" si="11"/>
        <v/>
      </c>
      <c r="J164" s="25" t="str">
        <f t="shared" si="12"/>
        <v/>
      </c>
      <c r="K164" s="25" t="str">
        <f>IF(C164="","",IFERROR(INDEX(Catalogue!$K$6:$K$55,MATCH(C164,Catalogue!$B$6:$B$55,0)),""))</f>
        <v/>
      </c>
      <c r="L164" s="25" t="str">
        <f t="shared" si="13"/>
        <v/>
      </c>
      <c r="M164" s="28" t="str">
        <f>IF(OR(E164="",K164=""),"",IF(N(G164)=0,"Pas de vente aujourd’hui",IF(J164&lt;K164*Paramètres!$B$11,"Rentable",IF(J164&lt;=K164,"Juste rentable","Perte"))))</f>
        <v/>
      </c>
      <c r="N164" s="24" t="str">
        <f t="shared" si="14"/>
        <v/>
      </c>
    </row>
    <row r="165" spans="1:14" x14ac:dyDescent="0.25">
      <c r="A165" s="38"/>
      <c r="B165" s="18"/>
      <c r="C165" s="18"/>
      <c r="D165" s="18"/>
      <c r="E165" s="19"/>
      <c r="F165" s="20"/>
      <c r="G165" s="20"/>
      <c r="H165" s="25" t="str">
        <f t="shared" si="10"/>
        <v/>
      </c>
      <c r="I165" s="39" t="str">
        <f t="shared" si="11"/>
        <v/>
      </c>
      <c r="J165" s="25" t="str">
        <f t="shared" si="12"/>
        <v/>
      </c>
      <c r="K165" s="25" t="str">
        <f>IF(C165="","",IFERROR(INDEX(Catalogue!$K$6:$K$55,MATCH(C165,Catalogue!$B$6:$B$55,0)),""))</f>
        <v/>
      </c>
      <c r="L165" s="25" t="str">
        <f t="shared" si="13"/>
        <v/>
      </c>
      <c r="M165" s="28" t="str">
        <f>IF(OR(E165="",K165=""),"",IF(N(G165)=0,"Pas de vente aujourd’hui",IF(J165&lt;K165*Paramètres!$B$11,"Rentable",IF(J165&lt;=K165,"Juste rentable","Perte"))))</f>
        <v/>
      </c>
      <c r="N165" s="24" t="str">
        <f t="shared" si="14"/>
        <v/>
      </c>
    </row>
    <row r="166" spans="1:14" x14ac:dyDescent="0.25">
      <c r="A166" s="38"/>
      <c r="B166" s="18"/>
      <c r="C166" s="18"/>
      <c r="D166" s="18"/>
      <c r="E166" s="19"/>
      <c r="F166" s="20"/>
      <c r="G166" s="20"/>
      <c r="H166" s="25" t="str">
        <f t="shared" si="10"/>
        <v/>
      </c>
      <c r="I166" s="39" t="str">
        <f t="shared" si="11"/>
        <v/>
      </c>
      <c r="J166" s="25" t="str">
        <f t="shared" si="12"/>
        <v/>
      </c>
      <c r="K166" s="25" t="str">
        <f>IF(C166="","",IFERROR(INDEX(Catalogue!$K$6:$K$55,MATCH(C166,Catalogue!$B$6:$B$55,0)),""))</f>
        <v/>
      </c>
      <c r="L166" s="25" t="str">
        <f t="shared" si="13"/>
        <v/>
      </c>
      <c r="M166" s="28" t="str">
        <f>IF(OR(E166="",K166=""),"",IF(N(G166)=0,"Pas de vente aujourd’hui",IF(J166&lt;K166*Paramètres!$B$11,"Rentable",IF(J166&lt;=K166,"Juste rentable","Perte"))))</f>
        <v/>
      </c>
      <c r="N166" s="24" t="str">
        <f t="shared" si="14"/>
        <v/>
      </c>
    </row>
    <row r="167" spans="1:14" x14ac:dyDescent="0.25">
      <c r="A167" s="38"/>
      <c r="B167" s="18"/>
      <c r="C167" s="18"/>
      <c r="D167" s="18"/>
      <c r="E167" s="19"/>
      <c r="F167" s="20"/>
      <c r="G167" s="20"/>
      <c r="H167" s="25" t="str">
        <f t="shared" si="10"/>
        <v/>
      </c>
      <c r="I167" s="39" t="str">
        <f t="shared" si="11"/>
        <v/>
      </c>
      <c r="J167" s="25" t="str">
        <f t="shared" si="12"/>
        <v/>
      </c>
      <c r="K167" s="25" t="str">
        <f>IF(C167="","",IFERROR(INDEX(Catalogue!$K$6:$K$55,MATCH(C167,Catalogue!$B$6:$B$55,0)),""))</f>
        <v/>
      </c>
      <c r="L167" s="25" t="str">
        <f t="shared" si="13"/>
        <v/>
      </c>
      <c r="M167" s="28" t="str">
        <f>IF(OR(E167="",K167=""),"",IF(N(G167)=0,"Pas de vente aujourd’hui",IF(J167&lt;K167*Paramètres!$B$11,"Rentable",IF(J167&lt;=K167,"Juste rentable","Perte"))))</f>
        <v/>
      </c>
      <c r="N167" s="24" t="str">
        <f t="shared" si="14"/>
        <v/>
      </c>
    </row>
    <row r="168" spans="1:14" x14ac:dyDescent="0.25">
      <c r="A168" s="38"/>
      <c r="B168" s="18"/>
      <c r="C168" s="18"/>
      <c r="D168" s="18"/>
      <c r="E168" s="19"/>
      <c r="F168" s="20"/>
      <c r="G168" s="20"/>
      <c r="H168" s="25" t="str">
        <f t="shared" si="10"/>
        <v/>
      </c>
      <c r="I168" s="39" t="str">
        <f t="shared" si="11"/>
        <v/>
      </c>
      <c r="J168" s="25" t="str">
        <f t="shared" si="12"/>
        <v/>
      </c>
      <c r="K168" s="25" t="str">
        <f>IF(C168="","",IFERROR(INDEX(Catalogue!$K$6:$K$55,MATCH(C168,Catalogue!$B$6:$B$55,0)),""))</f>
        <v/>
      </c>
      <c r="L168" s="25" t="str">
        <f t="shared" si="13"/>
        <v/>
      </c>
      <c r="M168" s="28" t="str">
        <f>IF(OR(E168="",K168=""),"",IF(N(G168)=0,"Pas de vente aujourd’hui",IF(J168&lt;K168*Paramètres!$B$11,"Rentable",IF(J168&lt;=K168,"Juste rentable","Perte"))))</f>
        <v/>
      </c>
      <c r="N168" s="24" t="str">
        <f t="shared" si="14"/>
        <v/>
      </c>
    </row>
    <row r="169" spans="1:14" x14ac:dyDescent="0.25">
      <c r="A169" s="38"/>
      <c r="B169" s="18"/>
      <c r="C169" s="18"/>
      <c r="D169" s="18"/>
      <c r="E169" s="19"/>
      <c r="F169" s="20"/>
      <c r="G169" s="20"/>
      <c r="H169" s="25" t="str">
        <f t="shared" si="10"/>
        <v/>
      </c>
      <c r="I169" s="39" t="str">
        <f t="shared" si="11"/>
        <v/>
      </c>
      <c r="J169" s="25" t="str">
        <f t="shared" si="12"/>
        <v/>
      </c>
      <c r="K169" s="25" t="str">
        <f>IF(C169="","",IFERROR(INDEX(Catalogue!$K$6:$K$55,MATCH(C169,Catalogue!$B$6:$B$55,0)),""))</f>
        <v/>
      </c>
      <c r="L169" s="25" t="str">
        <f t="shared" si="13"/>
        <v/>
      </c>
      <c r="M169" s="28" t="str">
        <f>IF(OR(E169="",K169=""),"",IF(N(G169)=0,"Pas de vente aujourd’hui",IF(J169&lt;K169*Paramètres!$B$11,"Rentable",IF(J169&lt;=K169,"Juste rentable","Perte"))))</f>
        <v/>
      </c>
      <c r="N169" s="24" t="str">
        <f t="shared" si="14"/>
        <v/>
      </c>
    </row>
    <row r="170" spans="1:14" x14ac:dyDescent="0.25">
      <c r="A170" s="38"/>
      <c r="B170" s="18"/>
      <c r="C170" s="18"/>
      <c r="D170" s="18"/>
      <c r="E170" s="19"/>
      <c r="F170" s="20"/>
      <c r="G170" s="20"/>
      <c r="H170" s="25" t="str">
        <f t="shared" si="10"/>
        <v/>
      </c>
      <c r="I170" s="39" t="str">
        <f t="shared" si="11"/>
        <v/>
      </c>
      <c r="J170" s="25" t="str">
        <f t="shared" si="12"/>
        <v/>
      </c>
      <c r="K170" s="25" t="str">
        <f>IF(C170="","",IFERROR(INDEX(Catalogue!$K$6:$K$55,MATCH(C170,Catalogue!$B$6:$B$55,0)),""))</f>
        <v/>
      </c>
      <c r="L170" s="25" t="str">
        <f t="shared" si="13"/>
        <v/>
      </c>
      <c r="M170" s="28" t="str">
        <f>IF(OR(E170="",K170=""),"",IF(N(G170)=0,"Pas de vente aujourd’hui",IF(J170&lt;K170*Paramètres!$B$11,"Rentable",IF(J170&lt;=K170,"Juste rentable","Perte"))))</f>
        <v/>
      </c>
      <c r="N170" s="24" t="str">
        <f t="shared" si="14"/>
        <v/>
      </c>
    </row>
    <row r="171" spans="1:14" x14ac:dyDescent="0.25">
      <c r="A171" s="38"/>
      <c r="B171" s="18"/>
      <c r="C171" s="18"/>
      <c r="D171" s="18"/>
      <c r="E171" s="19"/>
      <c r="F171" s="20"/>
      <c r="G171" s="20"/>
      <c r="H171" s="25" t="str">
        <f t="shared" si="10"/>
        <v/>
      </c>
      <c r="I171" s="39" t="str">
        <f t="shared" si="11"/>
        <v/>
      </c>
      <c r="J171" s="25" t="str">
        <f t="shared" si="12"/>
        <v/>
      </c>
      <c r="K171" s="25" t="str">
        <f>IF(C171="","",IFERROR(INDEX(Catalogue!$K$6:$K$55,MATCH(C171,Catalogue!$B$6:$B$55,0)),""))</f>
        <v/>
      </c>
      <c r="L171" s="25" t="str">
        <f t="shared" si="13"/>
        <v/>
      </c>
      <c r="M171" s="28" t="str">
        <f>IF(OR(E171="",K171=""),"",IF(N(G171)=0,"Pas de vente aujourd’hui",IF(J171&lt;K171*Paramètres!$B$11,"Rentable",IF(J171&lt;=K171,"Juste rentable","Perte"))))</f>
        <v/>
      </c>
      <c r="N171" s="24" t="str">
        <f t="shared" si="14"/>
        <v/>
      </c>
    </row>
    <row r="172" spans="1:14" x14ac:dyDescent="0.25">
      <c r="A172" s="38"/>
      <c r="B172" s="18"/>
      <c r="C172" s="18"/>
      <c r="D172" s="18"/>
      <c r="E172" s="19"/>
      <c r="F172" s="20"/>
      <c r="G172" s="20"/>
      <c r="H172" s="25" t="str">
        <f t="shared" si="10"/>
        <v/>
      </c>
      <c r="I172" s="39" t="str">
        <f t="shared" si="11"/>
        <v/>
      </c>
      <c r="J172" s="25" t="str">
        <f t="shared" si="12"/>
        <v/>
      </c>
      <c r="K172" s="25" t="str">
        <f>IF(C172="","",IFERROR(INDEX(Catalogue!$K$6:$K$55,MATCH(C172,Catalogue!$B$6:$B$55,0)),""))</f>
        <v/>
      </c>
      <c r="L172" s="25" t="str">
        <f t="shared" si="13"/>
        <v/>
      </c>
      <c r="M172" s="28" t="str">
        <f>IF(OR(E172="",K172=""),"",IF(N(G172)=0,"Pas de vente aujourd’hui",IF(J172&lt;K172*Paramètres!$B$11,"Rentable",IF(J172&lt;=K172,"Juste rentable","Perte"))))</f>
        <v/>
      </c>
      <c r="N172" s="24" t="str">
        <f t="shared" si="14"/>
        <v/>
      </c>
    </row>
    <row r="173" spans="1:14" x14ac:dyDescent="0.25">
      <c r="A173" s="38"/>
      <c r="B173" s="18"/>
      <c r="C173" s="18"/>
      <c r="D173" s="18"/>
      <c r="E173" s="19"/>
      <c r="F173" s="20"/>
      <c r="G173" s="20"/>
      <c r="H173" s="25" t="str">
        <f t="shared" si="10"/>
        <v/>
      </c>
      <c r="I173" s="39" t="str">
        <f t="shared" si="11"/>
        <v/>
      </c>
      <c r="J173" s="25" t="str">
        <f t="shared" si="12"/>
        <v/>
      </c>
      <c r="K173" s="25" t="str">
        <f>IF(C173="","",IFERROR(INDEX(Catalogue!$K$6:$K$55,MATCH(C173,Catalogue!$B$6:$B$55,0)),""))</f>
        <v/>
      </c>
      <c r="L173" s="25" t="str">
        <f t="shared" si="13"/>
        <v/>
      </c>
      <c r="M173" s="28" t="str">
        <f>IF(OR(E173="",K173=""),"",IF(N(G173)=0,"Pas de vente aujourd’hui",IF(J173&lt;K173*Paramètres!$B$11,"Rentable",IF(J173&lt;=K173,"Juste rentable","Perte"))))</f>
        <v/>
      </c>
      <c r="N173" s="24" t="str">
        <f t="shared" si="14"/>
        <v/>
      </c>
    </row>
    <row r="174" spans="1:14" x14ac:dyDescent="0.25">
      <c r="A174" s="38"/>
      <c r="B174" s="18"/>
      <c r="C174" s="18"/>
      <c r="D174" s="18"/>
      <c r="E174" s="19"/>
      <c r="F174" s="20"/>
      <c r="G174" s="20"/>
      <c r="H174" s="25" t="str">
        <f t="shared" si="10"/>
        <v/>
      </c>
      <c r="I174" s="39" t="str">
        <f t="shared" si="11"/>
        <v/>
      </c>
      <c r="J174" s="25" t="str">
        <f t="shared" si="12"/>
        <v/>
      </c>
      <c r="K174" s="25" t="str">
        <f>IF(C174="","",IFERROR(INDEX(Catalogue!$K$6:$K$55,MATCH(C174,Catalogue!$B$6:$B$55,0)),""))</f>
        <v/>
      </c>
      <c r="L174" s="25" t="str">
        <f t="shared" si="13"/>
        <v/>
      </c>
      <c r="M174" s="28" t="str">
        <f>IF(OR(E174="",K174=""),"",IF(N(G174)=0,"Pas de vente aujourd’hui",IF(J174&lt;K174*Paramètres!$B$11,"Rentable",IF(J174&lt;=K174,"Juste rentable","Perte"))))</f>
        <v/>
      </c>
      <c r="N174" s="24" t="str">
        <f t="shared" si="14"/>
        <v/>
      </c>
    </row>
    <row r="175" spans="1:14" x14ac:dyDescent="0.25">
      <c r="A175" s="38"/>
      <c r="B175" s="18"/>
      <c r="C175" s="18"/>
      <c r="D175" s="18"/>
      <c r="E175" s="19"/>
      <c r="F175" s="20"/>
      <c r="G175" s="20"/>
      <c r="H175" s="25" t="str">
        <f t="shared" si="10"/>
        <v/>
      </c>
      <c r="I175" s="39" t="str">
        <f t="shared" si="11"/>
        <v/>
      </c>
      <c r="J175" s="25" t="str">
        <f t="shared" si="12"/>
        <v/>
      </c>
      <c r="K175" s="25" t="str">
        <f>IF(C175="","",IFERROR(INDEX(Catalogue!$K$6:$K$55,MATCH(C175,Catalogue!$B$6:$B$55,0)),""))</f>
        <v/>
      </c>
      <c r="L175" s="25" t="str">
        <f t="shared" si="13"/>
        <v/>
      </c>
      <c r="M175" s="28" t="str">
        <f>IF(OR(E175="",K175=""),"",IF(N(G175)=0,"Pas de vente aujourd’hui",IF(J175&lt;K175*Paramètres!$B$11,"Rentable",IF(J175&lt;=K175,"Juste rentable","Perte"))))</f>
        <v/>
      </c>
      <c r="N175" s="24" t="str">
        <f t="shared" si="14"/>
        <v/>
      </c>
    </row>
    <row r="176" spans="1:14" x14ac:dyDescent="0.25">
      <c r="A176" s="38"/>
      <c r="B176" s="18"/>
      <c r="C176" s="18"/>
      <c r="D176" s="18"/>
      <c r="E176" s="19"/>
      <c r="F176" s="20"/>
      <c r="G176" s="20"/>
      <c r="H176" s="25" t="str">
        <f t="shared" si="10"/>
        <v/>
      </c>
      <c r="I176" s="39" t="str">
        <f t="shared" si="11"/>
        <v/>
      </c>
      <c r="J176" s="25" t="str">
        <f t="shared" si="12"/>
        <v/>
      </c>
      <c r="K176" s="25" t="str">
        <f>IF(C176="","",IFERROR(INDEX(Catalogue!$K$6:$K$55,MATCH(C176,Catalogue!$B$6:$B$55,0)),""))</f>
        <v/>
      </c>
      <c r="L176" s="25" t="str">
        <f t="shared" si="13"/>
        <v/>
      </c>
      <c r="M176" s="28" t="str">
        <f>IF(OR(E176="",K176=""),"",IF(N(G176)=0,"Pas de vente aujourd’hui",IF(J176&lt;K176*Paramètres!$B$11,"Rentable",IF(J176&lt;=K176,"Juste rentable","Perte"))))</f>
        <v/>
      </c>
      <c r="N176" s="24" t="str">
        <f t="shared" si="14"/>
        <v/>
      </c>
    </row>
    <row r="177" spans="1:14" x14ac:dyDescent="0.25">
      <c r="A177" s="38"/>
      <c r="B177" s="18"/>
      <c r="C177" s="18"/>
      <c r="D177" s="18"/>
      <c r="E177" s="19"/>
      <c r="F177" s="20"/>
      <c r="G177" s="20"/>
      <c r="H177" s="25" t="str">
        <f t="shared" si="10"/>
        <v/>
      </c>
      <c r="I177" s="39" t="str">
        <f t="shared" si="11"/>
        <v/>
      </c>
      <c r="J177" s="25" t="str">
        <f t="shared" si="12"/>
        <v/>
      </c>
      <c r="K177" s="25" t="str">
        <f>IF(C177="","",IFERROR(INDEX(Catalogue!$K$6:$K$55,MATCH(C177,Catalogue!$B$6:$B$55,0)),""))</f>
        <v/>
      </c>
      <c r="L177" s="25" t="str">
        <f t="shared" si="13"/>
        <v/>
      </c>
      <c r="M177" s="28" t="str">
        <f>IF(OR(E177="",K177=""),"",IF(N(G177)=0,"Pas de vente aujourd’hui",IF(J177&lt;K177*Paramètres!$B$11,"Rentable",IF(J177&lt;=K177,"Juste rentable","Perte"))))</f>
        <v/>
      </c>
      <c r="N177" s="24" t="str">
        <f t="shared" si="14"/>
        <v/>
      </c>
    </row>
    <row r="178" spans="1:14" x14ac:dyDescent="0.25">
      <c r="A178" s="38"/>
      <c r="B178" s="18"/>
      <c r="C178" s="18"/>
      <c r="D178" s="18"/>
      <c r="E178" s="19"/>
      <c r="F178" s="20"/>
      <c r="G178" s="20"/>
      <c r="H178" s="25" t="str">
        <f t="shared" si="10"/>
        <v/>
      </c>
      <c r="I178" s="39" t="str">
        <f t="shared" si="11"/>
        <v/>
      </c>
      <c r="J178" s="25" t="str">
        <f t="shared" si="12"/>
        <v/>
      </c>
      <c r="K178" s="25" t="str">
        <f>IF(C178="","",IFERROR(INDEX(Catalogue!$K$6:$K$55,MATCH(C178,Catalogue!$B$6:$B$55,0)),""))</f>
        <v/>
      </c>
      <c r="L178" s="25" t="str">
        <f t="shared" si="13"/>
        <v/>
      </c>
      <c r="M178" s="28" t="str">
        <f>IF(OR(E178="",K178=""),"",IF(N(G178)=0,"Pas de vente aujourd’hui",IF(J178&lt;K178*Paramètres!$B$11,"Rentable",IF(J178&lt;=K178,"Juste rentable","Perte"))))</f>
        <v/>
      </c>
      <c r="N178" s="24" t="str">
        <f t="shared" si="14"/>
        <v/>
      </c>
    </row>
    <row r="179" spans="1:14" x14ac:dyDescent="0.25">
      <c r="A179" s="38"/>
      <c r="B179" s="18"/>
      <c r="C179" s="18"/>
      <c r="D179" s="18"/>
      <c r="E179" s="19"/>
      <c r="F179" s="20"/>
      <c r="G179" s="20"/>
      <c r="H179" s="25" t="str">
        <f t="shared" si="10"/>
        <v/>
      </c>
      <c r="I179" s="39" t="str">
        <f t="shared" si="11"/>
        <v/>
      </c>
      <c r="J179" s="25" t="str">
        <f t="shared" si="12"/>
        <v/>
      </c>
      <c r="K179" s="25" t="str">
        <f>IF(C179="","",IFERROR(INDEX(Catalogue!$K$6:$K$55,MATCH(C179,Catalogue!$B$6:$B$55,0)),""))</f>
        <v/>
      </c>
      <c r="L179" s="25" t="str">
        <f t="shared" si="13"/>
        <v/>
      </c>
      <c r="M179" s="28" t="str">
        <f>IF(OR(E179="",K179=""),"",IF(N(G179)=0,"Pas de vente aujourd’hui",IF(J179&lt;K179*Paramètres!$B$11,"Rentable",IF(J179&lt;=K179,"Juste rentable","Perte"))))</f>
        <v/>
      </c>
      <c r="N179" s="24" t="str">
        <f t="shared" si="14"/>
        <v/>
      </c>
    </row>
    <row r="180" spans="1:14" x14ac:dyDescent="0.25">
      <c r="A180" s="38"/>
      <c r="B180" s="18"/>
      <c r="C180" s="18"/>
      <c r="D180" s="18"/>
      <c r="E180" s="19"/>
      <c r="F180" s="20"/>
      <c r="G180" s="20"/>
      <c r="H180" s="25" t="str">
        <f t="shared" si="10"/>
        <v/>
      </c>
      <c r="I180" s="39" t="str">
        <f t="shared" si="11"/>
        <v/>
      </c>
      <c r="J180" s="25" t="str">
        <f t="shared" si="12"/>
        <v/>
      </c>
      <c r="K180" s="25" t="str">
        <f>IF(C180="","",IFERROR(INDEX(Catalogue!$K$6:$K$55,MATCH(C180,Catalogue!$B$6:$B$55,0)),""))</f>
        <v/>
      </c>
      <c r="L180" s="25" t="str">
        <f t="shared" si="13"/>
        <v/>
      </c>
      <c r="M180" s="28" t="str">
        <f>IF(OR(E180="",K180=""),"",IF(N(G180)=0,"Pas de vente aujourd’hui",IF(J180&lt;K180*Paramètres!$B$11,"Rentable",IF(J180&lt;=K180,"Juste rentable","Perte"))))</f>
        <v/>
      </c>
      <c r="N180" s="24" t="str">
        <f t="shared" si="14"/>
        <v/>
      </c>
    </row>
    <row r="181" spans="1:14" x14ac:dyDescent="0.25">
      <c r="A181" s="38"/>
      <c r="B181" s="18"/>
      <c r="C181" s="18"/>
      <c r="D181" s="18"/>
      <c r="E181" s="19"/>
      <c r="F181" s="20"/>
      <c r="G181" s="20"/>
      <c r="H181" s="25" t="str">
        <f t="shared" si="10"/>
        <v/>
      </c>
      <c r="I181" s="39" t="str">
        <f t="shared" si="11"/>
        <v/>
      </c>
      <c r="J181" s="25" t="str">
        <f t="shared" si="12"/>
        <v/>
      </c>
      <c r="K181" s="25" t="str">
        <f>IF(C181="","",IFERROR(INDEX(Catalogue!$K$6:$K$55,MATCH(C181,Catalogue!$B$6:$B$55,0)),""))</f>
        <v/>
      </c>
      <c r="L181" s="25" t="str">
        <f t="shared" si="13"/>
        <v/>
      </c>
      <c r="M181" s="28" t="str">
        <f>IF(OR(E181="",K181=""),"",IF(N(G181)=0,"Pas de vente aujourd’hui",IF(J181&lt;K181*Paramètres!$B$11,"Rentable",IF(J181&lt;=K181,"Juste rentable","Perte"))))</f>
        <v/>
      </c>
      <c r="N181" s="24" t="str">
        <f t="shared" si="14"/>
        <v/>
      </c>
    </row>
    <row r="182" spans="1:14" x14ac:dyDescent="0.25">
      <c r="A182" s="38"/>
      <c r="B182" s="18"/>
      <c r="C182" s="18"/>
      <c r="D182" s="18"/>
      <c r="E182" s="19"/>
      <c r="F182" s="20"/>
      <c r="G182" s="20"/>
      <c r="H182" s="25" t="str">
        <f t="shared" si="10"/>
        <v/>
      </c>
      <c r="I182" s="39" t="str">
        <f t="shared" si="11"/>
        <v/>
      </c>
      <c r="J182" s="25" t="str">
        <f t="shared" si="12"/>
        <v/>
      </c>
      <c r="K182" s="25" t="str">
        <f>IF(C182="","",IFERROR(INDEX(Catalogue!$K$6:$K$55,MATCH(C182,Catalogue!$B$6:$B$55,0)),""))</f>
        <v/>
      </c>
      <c r="L182" s="25" t="str">
        <f t="shared" si="13"/>
        <v/>
      </c>
      <c r="M182" s="28" t="str">
        <f>IF(OR(E182="",K182=""),"",IF(N(G182)=0,"Pas de vente aujourd’hui",IF(J182&lt;K182*Paramètres!$B$11,"Rentable",IF(J182&lt;=K182,"Juste rentable","Perte"))))</f>
        <v/>
      </c>
      <c r="N182" s="24" t="str">
        <f t="shared" si="14"/>
        <v/>
      </c>
    </row>
    <row r="183" spans="1:14" x14ac:dyDescent="0.25">
      <c r="A183" s="38"/>
      <c r="B183" s="18"/>
      <c r="C183" s="18"/>
      <c r="D183" s="18"/>
      <c r="E183" s="19"/>
      <c r="F183" s="20"/>
      <c r="G183" s="20"/>
      <c r="H183" s="25" t="str">
        <f t="shared" si="10"/>
        <v/>
      </c>
      <c r="I183" s="39" t="str">
        <f t="shared" si="11"/>
        <v/>
      </c>
      <c r="J183" s="25" t="str">
        <f t="shared" si="12"/>
        <v/>
      </c>
      <c r="K183" s="25" t="str">
        <f>IF(C183="","",IFERROR(INDEX(Catalogue!$K$6:$K$55,MATCH(C183,Catalogue!$B$6:$B$55,0)),""))</f>
        <v/>
      </c>
      <c r="L183" s="25" t="str">
        <f t="shared" si="13"/>
        <v/>
      </c>
      <c r="M183" s="28" t="str">
        <f>IF(OR(E183="",K183=""),"",IF(N(G183)=0,"Pas de vente aujourd’hui",IF(J183&lt;K183*Paramètres!$B$11,"Rentable",IF(J183&lt;=K183,"Juste rentable","Perte"))))</f>
        <v/>
      </c>
      <c r="N183" s="24" t="str">
        <f t="shared" si="14"/>
        <v/>
      </c>
    </row>
    <row r="184" spans="1:14" x14ac:dyDescent="0.25">
      <c r="A184" s="38"/>
      <c r="B184" s="18"/>
      <c r="C184" s="18"/>
      <c r="D184" s="18"/>
      <c r="E184" s="19"/>
      <c r="F184" s="20"/>
      <c r="G184" s="20"/>
      <c r="H184" s="25" t="str">
        <f t="shared" si="10"/>
        <v/>
      </c>
      <c r="I184" s="39" t="str">
        <f t="shared" si="11"/>
        <v/>
      </c>
      <c r="J184" s="25" t="str">
        <f t="shared" si="12"/>
        <v/>
      </c>
      <c r="K184" s="25" t="str">
        <f>IF(C184="","",IFERROR(INDEX(Catalogue!$K$6:$K$55,MATCH(C184,Catalogue!$B$6:$B$55,0)),""))</f>
        <v/>
      </c>
      <c r="L184" s="25" t="str">
        <f t="shared" si="13"/>
        <v/>
      </c>
      <c r="M184" s="28" t="str">
        <f>IF(OR(E184="",K184=""),"",IF(N(G184)=0,"Pas de vente aujourd’hui",IF(J184&lt;K184*Paramètres!$B$11,"Rentable",IF(J184&lt;=K184,"Juste rentable","Perte"))))</f>
        <v/>
      </c>
      <c r="N184" s="24" t="str">
        <f t="shared" si="14"/>
        <v/>
      </c>
    </row>
    <row r="185" spans="1:14" x14ac:dyDescent="0.25">
      <c r="A185" s="38"/>
      <c r="B185" s="18"/>
      <c r="C185" s="18"/>
      <c r="D185" s="18"/>
      <c r="E185" s="19"/>
      <c r="F185" s="20"/>
      <c r="G185" s="20"/>
      <c r="H185" s="25" t="str">
        <f t="shared" si="10"/>
        <v/>
      </c>
      <c r="I185" s="39" t="str">
        <f t="shared" si="11"/>
        <v/>
      </c>
      <c r="J185" s="25" t="str">
        <f t="shared" si="12"/>
        <v/>
      </c>
      <c r="K185" s="25" t="str">
        <f>IF(C185="","",IFERROR(INDEX(Catalogue!$K$6:$K$55,MATCH(C185,Catalogue!$B$6:$B$55,0)),""))</f>
        <v/>
      </c>
      <c r="L185" s="25" t="str">
        <f t="shared" si="13"/>
        <v/>
      </c>
      <c r="M185" s="28" t="str">
        <f>IF(OR(E185="",K185=""),"",IF(N(G185)=0,"Pas de vente aujourd’hui",IF(J185&lt;K185*Paramètres!$B$11,"Rentable",IF(J185&lt;=K185,"Juste rentable","Perte"))))</f>
        <v/>
      </c>
      <c r="N185" s="24" t="str">
        <f t="shared" si="14"/>
        <v/>
      </c>
    </row>
    <row r="186" spans="1:14" x14ac:dyDescent="0.25">
      <c r="A186" s="38"/>
      <c r="B186" s="18"/>
      <c r="C186" s="18"/>
      <c r="D186" s="18"/>
      <c r="E186" s="19"/>
      <c r="F186" s="20"/>
      <c r="G186" s="20"/>
      <c r="H186" s="25" t="str">
        <f t="shared" si="10"/>
        <v/>
      </c>
      <c r="I186" s="39" t="str">
        <f t="shared" si="11"/>
        <v/>
      </c>
      <c r="J186" s="25" t="str">
        <f t="shared" si="12"/>
        <v/>
      </c>
      <c r="K186" s="25" t="str">
        <f>IF(C186="","",IFERROR(INDEX(Catalogue!$K$6:$K$55,MATCH(C186,Catalogue!$B$6:$B$55,0)),""))</f>
        <v/>
      </c>
      <c r="L186" s="25" t="str">
        <f t="shared" si="13"/>
        <v/>
      </c>
      <c r="M186" s="28" t="str">
        <f>IF(OR(E186="",K186=""),"",IF(N(G186)=0,"Pas de vente aujourd’hui",IF(J186&lt;K186*Paramètres!$B$11,"Rentable",IF(J186&lt;=K186,"Juste rentable","Perte"))))</f>
        <v/>
      </c>
      <c r="N186" s="24" t="str">
        <f t="shared" si="14"/>
        <v/>
      </c>
    </row>
    <row r="187" spans="1:14" x14ac:dyDescent="0.25">
      <c r="A187" s="38"/>
      <c r="B187" s="18"/>
      <c r="C187" s="18"/>
      <c r="D187" s="18"/>
      <c r="E187" s="19"/>
      <c r="F187" s="20"/>
      <c r="G187" s="20"/>
      <c r="H187" s="25" t="str">
        <f t="shared" si="10"/>
        <v/>
      </c>
      <c r="I187" s="39" t="str">
        <f t="shared" si="11"/>
        <v/>
      </c>
      <c r="J187" s="25" t="str">
        <f t="shared" si="12"/>
        <v/>
      </c>
      <c r="K187" s="25" t="str">
        <f>IF(C187="","",IFERROR(INDEX(Catalogue!$K$6:$K$55,MATCH(C187,Catalogue!$B$6:$B$55,0)),""))</f>
        <v/>
      </c>
      <c r="L187" s="25" t="str">
        <f t="shared" si="13"/>
        <v/>
      </c>
      <c r="M187" s="28" t="str">
        <f>IF(OR(E187="",K187=""),"",IF(N(G187)=0,"Pas de vente aujourd’hui",IF(J187&lt;K187*Paramètres!$B$11,"Rentable",IF(J187&lt;=K187,"Juste rentable","Perte"))))</f>
        <v/>
      </c>
      <c r="N187" s="24" t="str">
        <f t="shared" si="14"/>
        <v/>
      </c>
    </row>
    <row r="188" spans="1:14" x14ac:dyDescent="0.25">
      <c r="A188" s="38"/>
      <c r="B188" s="18"/>
      <c r="C188" s="18"/>
      <c r="D188" s="18"/>
      <c r="E188" s="19"/>
      <c r="F188" s="20"/>
      <c r="G188" s="20"/>
      <c r="H188" s="25" t="str">
        <f t="shared" si="10"/>
        <v/>
      </c>
      <c r="I188" s="39" t="str">
        <f t="shared" si="11"/>
        <v/>
      </c>
      <c r="J188" s="25" t="str">
        <f t="shared" si="12"/>
        <v/>
      </c>
      <c r="K188" s="25" t="str">
        <f>IF(C188="","",IFERROR(INDEX(Catalogue!$K$6:$K$55,MATCH(C188,Catalogue!$B$6:$B$55,0)),""))</f>
        <v/>
      </c>
      <c r="L188" s="25" t="str">
        <f t="shared" si="13"/>
        <v/>
      </c>
      <c r="M188" s="28" t="str">
        <f>IF(OR(E188="",K188=""),"",IF(N(G188)=0,"Pas de vente aujourd’hui",IF(J188&lt;K188*Paramètres!$B$11,"Rentable",IF(J188&lt;=K188,"Juste rentable","Perte"))))</f>
        <v/>
      </c>
      <c r="N188" s="24" t="str">
        <f t="shared" si="14"/>
        <v/>
      </c>
    </row>
    <row r="189" spans="1:14" x14ac:dyDescent="0.25">
      <c r="A189" s="38"/>
      <c r="B189" s="18"/>
      <c r="C189" s="18"/>
      <c r="D189" s="18"/>
      <c r="E189" s="19"/>
      <c r="F189" s="20"/>
      <c r="G189" s="20"/>
      <c r="H189" s="25" t="str">
        <f t="shared" si="10"/>
        <v/>
      </c>
      <c r="I189" s="39" t="str">
        <f t="shared" si="11"/>
        <v/>
      </c>
      <c r="J189" s="25" t="str">
        <f t="shared" si="12"/>
        <v/>
      </c>
      <c r="K189" s="25" t="str">
        <f>IF(C189="","",IFERROR(INDEX(Catalogue!$K$6:$K$55,MATCH(C189,Catalogue!$B$6:$B$55,0)),""))</f>
        <v/>
      </c>
      <c r="L189" s="25" t="str">
        <f t="shared" si="13"/>
        <v/>
      </c>
      <c r="M189" s="28" t="str">
        <f>IF(OR(E189="",K189=""),"",IF(N(G189)=0,"Pas de vente aujourd’hui",IF(J189&lt;K189*Paramètres!$B$11,"Rentable",IF(J189&lt;=K189,"Juste rentable","Perte"))))</f>
        <v/>
      </c>
      <c r="N189" s="24" t="str">
        <f t="shared" si="14"/>
        <v/>
      </c>
    </row>
    <row r="190" spans="1:14" x14ac:dyDescent="0.25">
      <c r="A190" s="38"/>
      <c r="B190" s="18"/>
      <c r="C190" s="18"/>
      <c r="D190" s="18"/>
      <c r="E190" s="19"/>
      <c r="F190" s="20"/>
      <c r="G190" s="20"/>
      <c r="H190" s="25" t="str">
        <f t="shared" si="10"/>
        <v/>
      </c>
      <c r="I190" s="39" t="str">
        <f t="shared" si="11"/>
        <v/>
      </c>
      <c r="J190" s="25" t="str">
        <f t="shared" si="12"/>
        <v/>
      </c>
      <c r="K190" s="25" t="str">
        <f>IF(C190="","",IFERROR(INDEX(Catalogue!$K$6:$K$55,MATCH(C190,Catalogue!$B$6:$B$55,0)),""))</f>
        <v/>
      </c>
      <c r="L190" s="25" t="str">
        <f t="shared" si="13"/>
        <v/>
      </c>
      <c r="M190" s="28" t="str">
        <f>IF(OR(E190="",K190=""),"",IF(N(G190)=0,"Pas de vente aujourd’hui",IF(J190&lt;K190*Paramètres!$B$11,"Rentable",IF(J190&lt;=K190,"Juste rentable","Perte"))))</f>
        <v/>
      </c>
      <c r="N190" s="24" t="str">
        <f t="shared" si="14"/>
        <v/>
      </c>
    </row>
    <row r="191" spans="1:14" x14ac:dyDescent="0.25">
      <c r="A191" s="38"/>
      <c r="B191" s="18"/>
      <c r="C191" s="18"/>
      <c r="D191" s="18"/>
      <c r="E191" s="19"/>
      <c r="F191" s="20"/>
      <c r="G191" s="20"/>
      <c r="H191" s="25" t="str">
        <f t="shared" si="10"/>
        <v/>
      </c>
      <c r="I191" s="39" t="str">
        <f t="shared" si="11"/>
        <v/>
      </c>
      <c r="J191" s="25" t="str">
        <f t="shared" si="12"/>
        <v/>
      </c>
      <c r="K191" s="25" t="str">
        <f>IF(C191="","",IFERROR(INDEX(Catalogue!$K$6:$K$55,MATCH(C191,Catalogue!$B$6:$B$55,0)),""))</f>
        <v/>
      </c>
      <c r="L191" s="25" t="str">
        <f t="shared" si="13"/>
        <v/>
      </c>
      <c r="M191" s="28" t="str">
        <f>IF(OR(E191="",K191=""),"",IF(N(G191)=0,"Pas de vente aujourd’hui",IF(J191&lt;K191*Paramètres!$B$11,"Rentable",IF(J191&lt;=K191,"Juste rentable","Perte"))))</f>
        <v/>
      </c>
      <c r="N191" s="24" t="str">
        <f t="shared" si="14"/>
        <v/>
      </c>
    </row>
    <row r="192" spans="1:14" x14ac:dyDescent="0.25">
      <c r="A192" s="38"/>
      <c r="B192" s="18"/>
      <c r="C192" s="18"/>
      <c r="D192" s="18"/>
      <c r="E192" s="19"/>
      <c r="F192" s="20"/>
      <c r="G192" s="20"/>
      <c r="H192" s="25" t="str">
        <f t="shared" si="10"/>
        <v/>
      </c>
      <c r="I192" s="39" t="str">
        <f t="shared" si="11"/>
        <v/>
      </c>
      <c r="J192" s="25" t="str">
        <f t="shared" si="12"/>
        <v/>
      </c>
      <c r="K192" s="25" t="str">
        <f>IF(C192="","",IFERROR(INDEX(Catalogue!$K$6:$K$55,MATCH(C192,Catalogue!$B$6:$B$55,0)),""))</f>
        <v/>
      </c>
      <c r="L192" s="25" t="str">
        <f t="shared" si="13"/>
        <v/>
      </c>
      <c r="M192" s="28" t="str">
        <f>IF(OR(E192="",K192=""),"",IF(N(G192)=0,"Pas de vente aujourd’hui",IF(J192&lt;K192*Paramètres!$B$11,"Rentable",IF(J192&lt;=K192,"Juste rentable","Perte"))))</f>
        <v/>
      </c>
      <c r="N192" s="24" t="str">
        <f t="shared" si="14"/>
        <v/>
      </c>
    </row>
    <row r="193" spans="1:14" x14ac:dyDescent="0.25">
      <c r="A193" s="38"/>
      <c r="B193" s="18"/>
      <c r="C193" s="18"/>
      <c r="D193" s="18"/>
      <c r="E193" s="19"/>
      <c r="F193" s="20"/>
      <c r="G193" s="20"/>
      <c r="H193" s="25" t="str">
        <f t="shared" si="10"/>
        <v/>
      </c>
      <c r="I193" s="39" t="str">
        <f t="shared" si="11"/>
        <v/>
      </c>
      <c r="J193" s="25" t="str">
        <f t="shared" si="12"/>
        <v/>
      </c>
      <c r="K193" s="25" t="str">
        <f>IF(C193="","",IFERROR(INDEX(Catalogue!$K$6:$K$55,MATCH(C193,Catalogue!$B$6:$B$55,0)),""))</f>
        <v/>
      </c>
      <c r="L193" s="25" t="str">
        <f t="shared" si="13"/>
        <v/>
      </c>
      <c r="M193" s="28" t="str">
        <f>IF(OR(E193="",K193=""),"",IF(N(G193)=0,"Pas de vente aujourd’hui",IF(J193&lt;K193*Paramètres!$B$11,"Rentable",IF(J193&lt;=K193,"Juste rentable","Perte"))))</f>
        <v/>
      </c>
      <c r="N193" s="24" t="str">
        <f t="shared" si="14"/>
        <v/>
      </c>
    </row>
    <row r="194" spans="1:14" x14ac:dyDescent="0.25">
      <c r="A194" s="38"/>
      <c r="B194" s="18"/>
      <c r="C194" s="18"/>
      <c r="D194" s="18"/>
      <c r="E194" s="19"/>
      <c r="F194" s="20"/>
      <c r="G194" s="20"/>
      <c r="H194" s="25" t="str">
        <f t="shared" si="10"/>
        <v/>
      </c>
      <c r="I194" s="39" t="str">
        <f t="shared" si="11"/>
        <v/>
      </c>
      <c r="J194" s="25" t="str">
        <f t="shared" si="12"/>
        <v/>
      </c>
      <c r="K194" s="25" t="str">
        <f>IF(C194="","",IFERROR(INDEX(Catalogue!$K$6:$K$55,MATCH(C194,Catalogue!$B$6:$B$55,0)),""))</f>
        <v/>
      </c>
      <c r="L194" s="25" t="str">
        <f t="shared" si="13"/>
        <v/>
      </c>
      <c r="M194" s="28" t="str">
        <f>IF(OR(E194="",K194=""),"",IF(N(G194)=0,"Pas de vente aujourd’hui",IF(J194&lt;K194*Paramètres!$B$11,"Rentable",IF(J194&lt;=K194,"Juste rentable","Perte"))))</f>
        <v/>
      </c>
      <c r="N194" s="24" t="str">
        <f t="shared" si="14"/>
        <v/>
      </c>
    </row>
    <row r="195" spans="1:14" x14ac:dyDescent="0.25">
      <c r="A195" s="38"/>
      <c r="B195" s="18"/>
      <c r="C195" s="18"/>
      <c r="D195" s="18"/>
      <c r="E195" s="19"/>
      <c r="F195" s="20"/>
      <c r="G195" s="20"/>
      <c r="H195" s="25" t="str">
        <f t="shared" si="10"/>
        <v/>
      </c>
      <c r="I195" s="39" t="str">
        <f t="shared" si="11"/>
        <v/>
      </c>
      <c r="J195" s="25" t="str">
        <f t="shared" si="12"/>
        <v/>
      </c>
      <c r="K195" s="25" t="str">
        <f>IF(C195="","",IFERROR(INDEX(Catalogue!$K$6:$K$55,MATCH(C195,Catalogue!$B$6:$B$55,0)),""))</f>
        <v/>
      </c>
      <c r="L195" s="25" t="str">
        <f t="shared" si="13"/>
        <v/>
      </c>
      <c r="M195" s="28" t="str">
        <f>IF(OR(E195="",K195=""),"",IF(N(G195)=0,"Pas de vente aujourd’hui",IF(J195&lt;K195*Paramètres!$B$11,"Rentable",IF(J195&lt;=K195,"Juste rentable","Perte"))))</f>
        <v/>
      </c>
      <c r="N195" s="24" t="str">
        <f t="shared" si="14"/>
        <v/>
      </c>
    </row>
    <row r="196" spans="1:14" x14ac:dyDescent="0.25">
      <c r="A196" s="38"/>
      <c r="B196" s="18"/>
      <c r="C196" s="18"/>
      <c r="D196" s="18"/>
      <c r="E196" s="19"/>
      <c r="F196" s="20"/>
      <c r="G196" s="20"/>
      <c r="H196" s="25" t="str">
        <f t="shared" si="10"/>
        <v/>
      </c>
      <c r="I196" s="39" t="str">
        <f t="shared" si="11"/>
        <v/>
      </c>
      <c r="J196" s="25" t="str">
        <f t="shared" si="12"/>
        <v/>
      </c>
      <c r="K196" s="25" t="str">
        <f>IF(C196="","",IFERROR(INDEX(Catalogue!$K$6:$K$55,MATCH(C196,Catalogue!$B$6:$B$55,0)),""))</f>
        <v/>
      </c>
      <c r="L196" s="25" t="str">
        <f t="shared" si="13"/>
        <v/>
      </c>
      <c r="M196" s="28" t="str">
        <f>IF(OR(E196="",K196=""),"",IF(N(G196)=0,"Pas de vente aujourd’hui",IF(J196&lt;K196*Paramètres!$B$11,"Rentable",IF(J196&lt;=K196,"Juste rentable","Perte"))))</f>
        <v/>
      </c>
      <c r="N196" s="24" t="str">
        <f t="shared" si="14"/>
        <v/>
      </c>
    </row>
    <row r="197" spans="1:14" x14ac:dyDescent="0.25">
      <c r="A197" s="38"/>
      <c r="B197" s="18"/>
      <c r="C197" s="18"/>
      <c r="D197" s="18"/>
      <c r="E197" s="19"/>
      <c r="F197" s="20"/>
      <c r="G197" s="20"/>
      <c r="H197" s="25" t="str">
        <f t="shared" si="10"/>
        <v/>
      </c>
      <c r="I197" s="39" t="str">
        <f t="shared" si="11"/>
        <v/>
      </c>
      <c r="J197" s="25" t="str">
        <f t="shared" si="12"/>
        <v/>
      </c>
      <c r="K197" s="25" t="str">
        <f>IF(C197="","",IFERROR(INDEX(Catalogue!$K$6:$K$55,MATCH(C197,Catalogue!$B$6:$B$55,0)),""))</f>
        <v/>
      </c>
      <c r="L197" s="25" t="str">
        <f t="shared" si="13"/>
        <v/>
      </c>
      <c r="M197" s="28" t="str">
        <f>IF(OR(E197="",K197=""),"",IF(N(G197)=0,"Pas de vente aujourd’hui",IF(J197&lt;K197*Paramètres!$B$11,"Rentable",IF(J197&lt;=K197,"Juste rentable","Perte"))))</f>
        <v/>
      </c>
      <c r="N197" s="24" t="str">
        <f t="shared" si="14"/>
        <v/>
      </c>
    </row>
    <row r="198" spans="1:14" x14ac:dyDescent="0.25">
      <c r="A198" s="38"/>
      <c r="B198" s="18"/>
      <c r="C198" s="18"/>
      <c r="D198" s="18"/>
      <c r="E198" s="19"/>
      <c r="F198" s="20"/>
      <c r="G198" s="20"/>
      <c r="H198" s="25" t="str">
        <f t="shared" ref="H198:H261" si="15">IF(N(F198)&gt;0,E198/F198,"")</f>
        <v/>
      </c>
      <c r="I198" s="39" t="str">
        <f t="shared" ref="I198:I261" si="16">IF(N(F198)&gt;0,G198/F198,"")</f>
        <v/>
      </c>
      <c r="J198" s="25" t="str">
        <f t="shared" ref="J198:J261" si="17">IF(N(G198)&gt;0,E198/G198,"")</f>
        <v/>
      </c>
      <c r="K198" s="25" t="str">
        <f>IF(C198="","",IFERROR(INDEX(Catalogue!$K$6:$K$55,MATCH(C198,Catalogue!$B$6:$B$55,0)),""))</f>
        <v/>
      </c>
      <c r="L198" s="25" t="str">
        <f t="shared" ref="L198:L261" si="18">IF(OR(E198="",K198=""),"",N(G198)*K198-E198)</f>
        <v/>
      </c>
      <c r="M198" s="28" t="str">
        <f>IF(OR(E198="",K198=""),"",IF(N(G198)=0,"Pas de vente aujourd’hui",IF(J198&lt;K198*Paramètres!$B$11,"Rentable",IF(J198&lt;=K198,"Juste rentable","Perte"))))</f>
        <v/>
      </c>
      <c r="N198" s="24" t="str">
        <f t="shared" ref="N198:N261" si="19">IF(A198="","",DATE(YEAR(A198),MONTH(A198),1))</f>
        <v/>
      </c>
    </row>
    <row r="199" spans="1:14" x14ac:dyDescent="0.25">
      <c r="A199" s="38"/>
      <c r="B199" s="18"/>
      <c r="C199" s="18"/>
      <c r="D199" s="18"/>
      <c r="E199" s="19"/>
      <c r="F199" s="20"/>
      <c r="G199" s="20"/>
      <c r="H199" s="25" t="str">
        <f t="shared" si="15"/>
        <v/>
      </c>
      <c r="I199" s="39" t="str">
        <f t="shared" si="16"/>
        <v/>
      </c>
      <c r="J199" s="25" t="str">
        <f t="shared" si="17"/>
        <v/>
      </c>
      <c r="K199" s="25" t="str">
        <f>IF(C199="","",IFERROR(INDEX(Catalogue!$K$6:$K$55,MATCH(C199,Catalogue!$B$6:$B$55,0)),""))</f>
        <v/>
      </c>
      <c r="L199" s="25" t="str">
        <f t="shared" si="18"/>
        <v/>
      </c>
      <c r="M199" s="28" t="str">
        <f>IF(OR(E199="",K199=""),"",IF(N(G199)=0,"Pas de vente aujourd’hui",IF(J199&lt;K199*Paramètres!$B$11,"Rentable",IF(J199&lt;=K199,"Juste rentable","Perte"))))</f>
        <v/>
      </c>
      <c r="N199" s="24" t="str">
        <f t="shared" si="19"/>
        <v/>
      </c>
    </row>
    <row r="200" spans="1:14" x14ac:dyDescent="0.25">
      <c r="A200" s="38"/>
      <c r="B200" s="18"/>
      <c r="C200" s="18"/>
      <c r="D200" s="18"/>
      <c r="E200" s="19"/>
      <c r="F200" s="20"/>
      <c r="G200" s="20"/>
      <c r="H200" s="25" t="str">
        <f t="shared" si="15"/>
        <v/>
      </c>
      <c r="I200" s="39" t="str">
        <f t="shared" si="16"/>
        <v/>
      </c>
      <c r="J200" s="25" t="str">
        <f t="shared" si="17"/>
        <v/>
      </c>
      <c r="K200" s="25" t="str">
        <f>IF(C200="","",IFERROR(INDEX(Catalogue!$K$6:$K$55,MATCH(C200,Catalogue!$B$6:$B$55,0)),""))</f>
        <v/>
      </c>
      <c r="L200" s="25" t="str">
        <f t="shared" si="18"/>
        <v/>
      </c>
      <c r="M200" s="28" t="str">
        <f>IF(OR(E200="",K200=""),"",IF(N(G200)=0,"Pas de vente aujourd’hui",IF(J200&lt;K200*Paramètres!$B$11,"Rentable",IF(J200&lt;=K200,"Juste rentable","Perte"))))</f>
        <v/>
      </c>
      <c r="N200" s="24" t="str">
        <f t="shared" si="19"/>
        <v/>
      </c>
    </row>
    <row r="201" spans="1:14" x14ac:dyDescent="0.25">
      <c r="A201" s="38"/>
      <c r="B201" s="18"/>
      <c r="C201" s="18"/>
      <c r="D201" s="18"/>
      <c r="E201" s="19"/>
      <c r="F201" s="20"/>
      <c r="G201" s="20"/>
      <c r="H201" s="25" t="str">
        <f t="shared" si="15"/>
        <v/>
      </c>
      <c r="I201" s="39" t="str">
        <f t="shared" si="16"/>
        <v/>
      </c>
      <c r="J201" s="25" t="str">
        <f t="shared" si="17"/>
        <v/>
      </c>
      <c r="K201" s="25" t="str">
        <f>IF(C201="","",IFERROR(INDEX(Catalogue!$K$6:$K$55,MATCH(C201,Catalogue!$B$6:$B$55,0)),""))</f>
        <v/>
      </c>
      <c r="L201" s="25" t="str">
        <f t="shared" si="18"/>
        <v/>
      </c>
      <c r="M201" s="28" t="str">
        <f>IF(OR(E201="",K201=""),"",IF(N(G201)=0,"Pas de vente aujourd’hui",IF(J201&lt;K201*Paramètres!$B$11,"Rentable",IF(J201&lt;=K201,"Juste rentable","Perte"))))</f>
        <v/>
      </c>
      <c r="N201" s="24" t="str">
        <f t="shared" si="19"/>
        <v/>
      </c>
    </row>
    <row r="202" spans="1:14" x14ac:dyDescent="0.25">
      <c r="A202" s="38"/>
      <c r="B202" s="18"/>
      <c r="C202" s="18"/>
      <c r="D202" s="18"/>
      <c r="E202" s="19"/>
      <c r="F202" s="20"/>
      <c r="G202" s="20"/>
      <c r="H202" s="25" t="str">
        <f t="shared" si="15"/>
        <v/>
      </c>
      <c r="I202" s="39" t="str">
        <f t="shared" si="16"/>
        <v/>
      </c>
      <c r="J202" s="25" t="str">
        <f t="shared" si="17"/>
        <v/>
      </c>
      <c r="K202" s="25" t="str">
        <f>IF(C202="","",IFERROR(INDEX(Catalogue!$K$6:$K$55,MATCH(C202,Catalogue!$B$6:$B$55,0)),""))</f>
        <v/>
      </c>
      <c r="L202" s="25" t="str">
        <f t="shared" si="18"/>
        <v/>
      </c>
      <c r="M202" s="28" t="str">
        <f>IF(OR(E202="",K202=""),"",IF(N(G202)=0,"Pas de vente aujourd’hui",IF(J202&lt;K202*Paramètres!$B$11,"Rentable",IF(J202&lt;=K202,"Juste rentable","Perte"))))</f>
        <v/>
      </c>
      <c r="N202" s="24" t="str">
        <f t="shared" si="19"/>
        <v/>
      </c>
    </row>
    <row r="203" spans="1:14" x14ac:dyDescent="0.25">
      <c r="A203" s="38"/>
      <c r="B203" s="18"/>
      <c r="C203" s="18"/>
      <c r="D203" s="18"/>
      <c r="E203" s="19"/>
      <c r="F203" s="20"/>
      <c r="G203" s="20"/>
      <c r="H203" s="25" t="str">
        <f t="shared" si="15"/>
        <v/>
      </c>
      <c r="I203" s="39" t="str">
        <f t="shared" si="16"/>
        <v/>
      </c>
      <c r="J203" s="25" t="str">
        <f t="shared" si="17"/>
        <v/>
      </c>
      <c r="K203" s="25" t="str">
        <f>IF(C203="","",IFERROR(INDEX(Catalogue!$K$6:$K$55,MATCH(C203,Catalogue!$B$6:$B$55,0)),""))</f>
        <v/>
      </c>
      <c r="L203" s="25" t="str">
        <f t="shared" si="18"/>
        <v/>
      </c>
      <c r="M203" s="28" t="str">
        <f>IF(OR(E203="",K203=""),"",IF(N(G203)=0,"Pas de vente aujourd’hui",IF(J203&lt;K203*Paramètres!$B$11,"Rentable",IF(J203&lt;=K203,"Juste rentable","Perte"))))</f>
        <v/>
      </c>
      <c r="N203" s="24" t="str">
        <f t="shared" si="19"/>
        <v/>
      </c>
    </row>
    <row r="204" spans="1:14" x14ac:dyDescent="0.25">
      <c r="A204" s="38"/>
      <c r="B204" s="18"/>
      <c r="C204" s="18"/>
      <c r="D204" s="18"/>
      <c r="E204" s="19"/>
      <c r="F204" s="20"/>
      <c r="G204" s="20"/>
      <c r="H204" s="25" t="str">
        <f t="shared" si="15"/>
        <v/>
      </c>
      <c r="I204" s="39" t="str">
        <f t="shared" si="16"/>
        <v/>
      </c>
      <c r="J204" s="25" t="str">
        <f t="shared" si="17"/>
        <v/>
      </c>
      <c r="K204" s="25" t="str">
        <f>IF(C204="","",IFERROR(INDEX(Catalogue!$K$6:$K$55,MATCH(C204,Catalogue!$B$6:$B$55,0)),""))</f>
        <v/>
      </c>
      <c r="L204" s="25" t="str">
        <f t="shared" si="18"/>
        <v/>
      </c>
      <c r="M204" s="28" t="str">
        <f>IF(OR(E204="",K204=""),"",IF(N(G204)=0,"Pas de vente aujourd’hui",IF(J204&lt;K204*Paramètres!$B$11,"Rentable",IF(J204&lt;=K204,"Juste rentable","Perte"))))</f>
        <v/>
      </c>
      <c r="N204" s="24" t="str">
        <f t="shared" si="19"/>
        <v/>
      </c>
    </row>
    <row r="205" spans="1:14" x14ac:dyDescent="0.25">
      <c r="A205" s="38"/>
      <c r="B205" s="18"/>
      <c r="C205" s="18"/>
      <c r="D205" s="18"/>
      <c r="E205" s="19"/>
      <c r="F205" s="20"/>
      <c r="G205" s="20"/>
      <c r="H205" s="25" t="str">
        <f t="shared" si="15"/>
        <v/>
      </c>
      <c r="I205" s="39" t="str">
        <f t="shared" si="16"/>
        <v/>
      </c>
      <c r="J205" s="25" t="str">
        <f t="shared" si="17"/>
        <v/>
      </c>
      <c r="K205" s="25" t="str">
        <f>IF(C205="","",IFERROR(INDEX(Catalogue!$K$6:$K$55,MATCH(C205,Catalogue!$B$6:$B$55,0)),""))</f>
        <v/>
      </c>
      <c r="L205" s="25" t="str">
        <f t="shared" si="18"/>
        <v/>
      </c>
      <c r="M205" s="28" t="str">
        <f>IF(OR(E205="",K205=""),"",IF(N(G205)=0,"Pas de vente aujourd’hui",IF(J205&lt;K205*Paramètres!$B$11,"Rentable",IF(J205&lt;=K205,"Juste rentable","Perte"))))</f>
        <v/>
      </c>
      <c r="N205" s="24" t="str">
        <f t="shared" si="19"/>
        <v/>
      </c>
    </row>
    <row r="206" spans="1:14" x14ac:dyDescent="0.25">
      <c r="A206" s="38"/>
      <c r="B206" s="18"/>
      <c r="C206" s="18"/>
      <c r="D206" s="18"/>
      <c r="E206" s="19"/>
      <c r="F206" s="20"/>
      <c r="G206" s="20"/>
      <c r="H206" s="25" t="str">
        <f t="shared" si="15"/>
        <v/>
      </c>
      <c r="I206" s="39" t="str">
        <f t="shared" si="16"/>
        <v/>
      </c>
      <c r="J206" s="25" t="str">
        <f t="shared" si="17"/>
        <v/>
      </c>
      <c r="K206" s="25" t="str">
        <f>IF(C206="","",IFERROR(INDEX(Catalogue!$K$6:$K$55,MATCH(C206,Catalogue!$B$6:$B$55,0)),""))</f>
        <v/>
      </c>
      <c r="L206" s="25" t="str">
        <f t="shared" si="18"/>
        <v/>
      </c>
      <c r="M206" s="28" t="str">
        <f>IF(OR(E206="",K206=""),"",IF(N(G206)=0,"Pas de vente aujourd’hui",IF(J206&lt;K206*Paramètres!$B$11,"Rentable",IF(J206&lt;=K206,"Juste rentable","Perte"))))</f>
        <v/>
      </c>
      <c r="N206" s="24" t="str">
        <f t="shared" si="19"/>
        <v/>
      </c>
    </row>
    <row r="207" spans="1:14" x14ac:dyDescent="0.25">
      <c r="A207" s="38"/>
      <c r="B207" s="18"/>
      <c r="C207" s="18"/>
      <c r="D207" s="18"/>
      <c r="E207" s="19"/>
      <c r="F207" s="20"/>
      <c r="G207" s="20"/>
      <c r="H207" s="25" t="str">
        <f t="shared" si="15"/>
        <v/>
      </c>
      <c r="I207" s="39" t="str">
        <f t="shared" si="16"/>
        <v/>
      </c>
      <c r="J207" s="25" t="str">
        <f t="shared" si="17"/>
        <v/>
      </c>
      <c r="K207" s="25" t="str">
        <f>IF(C207="","",IFERROR(INDEX(Catalogue!$K$6:$K$55,MATCH(C207,Catalogue!$B$6:$B$55,0)),""))</f>
        <v/>
      </c>
      <c r="L207" s="25" t="str">
        <f t="shared" si="18"/>
        <v/>
      </c>
      <c r="M207" s="28" t="str">
        <f>IF(OR(E207="",K207=""),"",IF(N(G207)=0,"Pas de vente aujourd’hui",IF(J207&lt;K207*Paramètres!$B$11,"Rentable",IF(J207&lt;=K207,"Juste rentable","Perte"))))</f>
        <v/>
      </c>
      <c r="N207" s="24" t="str">
        <f t="shared" si="19"/>
        <v/>
      </c>
    </row>
    <row r="208" spans="1:14" x14ac:dyDescent="0.25">
      <c r="A208" s="38"/>
      <c r="B208" s="18"/>
      <c r="C208" s="18"/>
      <c r="D208" s="18"/>
      <c r="E208" s="19"/>
      <c r="F208" s="20"/>
      <c r="G208" s="20"/>
      <c r="H208" s="25" t="str">
        <f t="shared" si="15"/>
        <v/>
      </c>
      <c r="I208" s="39" t="str">
        <f t="shared" si="16"/>
        <v/>
      </c>
      <c r="J208" s="25" t="str">
        <f t="shared" si="17"/>
        <v/>
      </c>
      <c r="K208" s="25" t="str">
        <f>IF(C208="","",IFERROR(INDEX(Catalogue!$K$6:$K$55,MATCH(C208,Catalogue!$B$6:$B$55,0)),""))</f>
        <v/>
      </c>
      <c r="L208" s="25" t="str">
        <f t="shared" si="18"/>
        <v/>
      </c>
      <c r="M208" s="28" t="str">
        <f>IF(OR(E208="",K208=""),"",IF(N(G208)=0,"Pas de vente aujourd’hui",IF(J208&lt;K208*Paramètres!$B$11,"Rentable",IF(J208&lt;=K208,"Juste rentable","Perte"))))</f>
        <v/>
      </c>
      <c r="N208" s="24" t="str">
        <f t="shared" si="19"/>
        <v/>
      </c>
    </row>
    <row r="209" spans="1:14" x14ac:dyDescent="0.25">
      <c r="A209" s="38"/>
      <c r="B209" s="18"/>
      <c r="C209" s="18"/>
      <c r="D209" s="18"/>
      <c r="E209" s="19"/>
      <c r="F209" s="20"/>
      <c r="G209" s="20"/>
      <c r="H209" s="25" t="str">
        <f t="shared" si="15"/>
        <v/>
      </c>
      <c r="I209" s="39" t="str">
        <f t="shared" si="16"/>
        <v/>
      </c>
      <c r="J209" s="25" t="str">
        <f t="shared" si="17"/>
        <v/>
      </c>
      <c r="K209" s="25" t="str">
        <f>IF(C209="","",IFERROR(INDEX(Catalogue!$K$6:$K$55,MATCH(C209,Catalogue!$B$6:$B$55,0)),""))</f>
        <v/>
      </c>
      <c r="L209" s="25" t="str">
        <f t="shared" si="18"/>
        <v/>
      </c>
      <c r="M209" s="28" t="str">
        <f>IF(OR(E209="",K209=""),"",IF(N(G209)=0,"Pas de vente aujourd’hui",IF(J209&lt;K209*Paramètres!$B$11,"Rentable",IF(J209&lt;=K209,"Juste rentable","Perte"))))</f>
        <v/>
      </c>
      <c r="N209" s="24" t="str">
        <f t="shared" si="19"/>
        <v/>
      </c>
    </row>
    <row r="210" spans="1:14" x14ac:dyDescent="0.25">
      <c r="A210" s="38"/>
      <c r="B210" s="18"/>
      <c r="C210" s="18"/>
      <c r="D210" s="18"/>
      <c r="E210" s="19"/>
      <c r="F210" s="20"/>
      <c r="G210" s="20"/>
      <c r="H210" s="25" t="str">
        <f t="shared" si="15"/>
        <v/>
      </c>
      <c r="I210" s="39" t="str">
        <f t="shared" si="16"/>
        <v/>
      </c>
      <c r="J210" s="25" t="str">
        <f t="shared" si="17"/>
        <v/>
      </c>
      <c r="K210" s="25" t="str">
        <f>IF(C210="","",IFERROR(INDEX(Catalogue!$K$6:$K$55,MATCH(C210,Catalogue!$B$6:$B$55,0)),""))</f>
        <v/>
      </c>
      <c r="L210" s="25" t="str">
        <f t="shared" si="18"/>
        <v/>
      </c>
      <c r="M210" s="28" t="str">
        <f>IF(OR(E210="",K210=""),"",IF(N(G210)=0,"Pas de vente aujourd’hui",IF(J210&lt;K210*Paramètres!$B$11,"Rentable",IF(J210&lt;=K210,"Juste rentable","Perte"))))</f>
        <v/>
      </c>
      <c r="N210" s="24" t="str">
        <f t="shared" si="19"/>
        <v/>
      </c>
    </row>
    <row r="211" spans="1:14" x14ac:dyDescent="0.25">
      <c r="A211" s="38"/>
      <c r="B211" s="18"/>
      <c r="C211" s="18"/>
      <c r="D211" s="18"/>
      <c r="E211" s="19"/>
      <c r="F211" s="20"/>
      <c r="G211" s="20"/>
      <c r="H211" s="25" t="str">
        <f t="shared" si="15"/>
        <v/>
      </c>
      <c r="I211" s="39" t="str">
        <f t="shared" si="16"/>
        <v/>
      </c>
      <c r="J211" s="25" t="str">
        <f t="shared" si="17"/>
        <v/>
      </c>
      <c r="K211" s="25" t="str">
        <f>IF(C211="","",IFERROR(INDEX(Catalogue!$K$6:$K$55,MATCH(C211,Catalogue!$B$6:$B$55,0)),""))</f>
        <v/>
      </c>
      <c r="L211" s="25" t="str">
        <f t="shared" si="18"/>
        <v/>
      </c>
      <c r="M211" s="28" t="str">
        <f>IF(OR(E211="",K211=""),"",IF(N(G211)=0,"Pas de vente aujourd’hui",IF(J211&lt;K211*Paramètres!$B$11,"Rentable",IF(J211&lt;=K211,"Juste rentable","Perte"))))</f>
        <v/>
      </c>
      <c r="N211" s="24" t="str">
        <f t="shared" si="19"/>
        <v/>
      </c>
    </row>
    <row r="212" spans="1:14" x14ac:dyDescent="0.25">
      <c r="A212" s="38"/>
      <c r="B212" s="18"/>
      <c r="C212" s="18"/>
      <c r="D212" s="18"/>
      <c r="E212" s="19"/>
      <c r="F212" s="20"/>
      <c r="G212" s="20"/>
      <c r="H212" s="25" t="str">
        <f t="shared" si="15"/>
        <v/>
      </c>
      <c r="I212" s="39" t="str">
        <f t="shared" si="16"/>
        <v/>
      </c>
      <c r="J212" s="25" t="str">
        <f t="shared" si="17"/>
        <v/>
      </c>
      <c r="K212" s="25" t="str">
        <f>IF(C212="","",IFERROR(INDEX(Catalogue!$K$6:$K$55,MATCH(C212,Catalogue!$B$6:$B$55,0)),""))</f>
        <v/>
      </c>
      <c r="L212" s="25" t="str">
        <f t="shared" si="18"/>
        <v/>
      </c>
      <c r="M212" s="28" t="str">
        <f>IF(OR(E212="",K212=""),"",IF(N(G212)=0,"Pas de vente aujourd’hui",IF(J212&lt;K212*Paramètres!$B$11,"Rentable",IF(J212&lt;=K212,"Juste rentable","Perte"))))</f>
        <v/>
      </c>
      <c r="N212" s="24" t="str">
        <f t="shared" si="19"/>
        <v/>
      </c>
    </row>
    <row r="213" spans="1:14" x14ac:dyDescent="0.25">
      <c r="A213" s="38"/>
      <c r="B213" s="18"/>
      <c r="C213" s="18"/>
      <c r="D213" s="18"/>
      <c r="E213" s="19"/>
      <c r="F213" s="20"/>
      <c r="G213" s="20"/>
      <c r="H213" s="25" t="str">
        <f t="shared" si="15"/>
        <v/>
      </c>
      <c r="I213" s="39" t="str">
        <f t="shared" si="16"/>
        <v/>
      </c>
      <c r="J213" s="25" t="str">
        <f t="shared" si="17"/>
        <v/>
      </c>
      <c r="K213" s="25" t="str">
        <f>IF(C213="","",IFERROR(INDEX(Catalogue!$K$6:$K$55,MATCH(C213,Catalogue!$B$6:$B$55,0)),""))</f>
        <v/>
      </c>
      <c r="L213" s="25" t="str">
        <f t="shared" si="18"/>
        <v/>
      </c>
      <c r="M213" s="28" t="str">
        <f>IF(OR(E213="",K213=""),"",IF(N(G213)=0,"Pas de vente aujourd’hui",IF(J213&lt;K213*Paramètres!$B$11,"Rentable",IF(J213&lt;=K213,"Juste rentable","Perte"))))</f>
        <v/>
      </c>
      <c r="N213" s="24" t="str">
        <f t="shared" si="19"/>
        <v/>
      </c>
    </row>
    <row r="214" spans="1:14" x14ac:dyDescent="0.25">
      <c r="A214" s="38"/>
      <c r="B214" s="18"/>
      <c r="C214" s="18"/>
      <c r="D214" s="18"/>
      <c r="E214" s="19"/>
      <c r="F214" s="20"/>
      <c r="G214" s="20"/>
      <c r="H214" s="25" t="str">
        <f t="shared" si="15"/>
        <v/>
      </c>
      <c r="I214" s="39" t="str">
        <f t="shared" si="16"/>
        <v/>
      </c>
      <c r="J214" s="25" t="str">
        <f t="shared" si="17"/>
        <v/>
      </c>
      <c r="K214" s="25" t="str">
        <f>IF(C214="","",IFERROR(INDEX(Catalogue!$K$6:$K$55,MATCH(C214,Catalogue!$B$6:$B$55,0)),""))</f>
        <v/>
      </c>
      <c r="L214" s="25" t="str">
        <f t="shared" si="18"/>
        <v/>
      </c>
      <c r="M214" s="28" t="str">
        <f>IF(OR(E214="",K214=""),"",IF(N(G214)=0,"Pas de vente aujourd’hui",IF(J214&lt;K214*Paramètres!$B$11,"Rentable",IF(J214&lt;=K214,"Juste rentable","Perte"))))</f>
        <v/>
      </c>
      <c r="N214" s="24" t="str">
        <f t="shared" si="19"/>
        <v/>
      </c>
    </row>
    <row r="215" spans="1:14" x14ac:dyDescent="0.25">
      <c r="A215" s="38"/>
      <c r="B215" s="18"/>
      <c r="C215" s="18"/>
      <c r="D215" s="18"/>
      <c r="E215" s="19"/>
      <c r="F215" s="20"/>
      <c r="G215" s="20"/>
      <c r="H215" s="25" t="str">
        <f t="shared" si="15"/>
        <v/>
      </c>
      <c r="I215" s="39" t="str">
        <f t="shared" si="16"/>
        <v/>
      </c>
      <c r="J215" s="25" t="str">
        <f t="shared" si="17"/>
        <v/>
      </c>
      <c r="K215" s="25" t="str">
        <f>IF(C215="","",IFERROR(INDEX(Catalogue!$K$6:$K$55,MATCH(C215,Catalogue!$B$6:$B$55,0)),""))</f>
        <v/>
      </c>
      <c r="L215" s="25" t="str">
        <f t="shared" si="18"/>
        <v/>
      </c>
      <c r="M215" s="28" t="str">
        <f>IF(OR(E215="",K215=""),"",IF(N(G215)=0,"Pas de vente aujourd’hui",IF(J215&lt;K215*Paramètres!$B$11,"Rentable",IF(J215&lt;=K215,"Juste rentable","Perte"))))</f>
        <v/>
      </c>
      <c r="N215" s="24" t="str">
        <f t="shared" si="19"/>
        <v/>
      </c>
    </row>
    <row r="216" spans="1:14" x14ac:dyDescent="0.25">
      <c r="A216" s="38"/>
      <c r="B216" s="18"/>
      <c r="C216" s="18"/>
      <c r="D216" s="18"/>
      <c r="E216" s="19"/>
      <c r="F216" s="20"/>
      <c r="G216" s="20"/>
      <c r="H216" s="25" t="str">
        <f t="shared" si="15"/>
        <v/>
      </c>
      <c r="I216" s="39" t="str">
        <f t="shared" si="16"/>
        <v/>
      </c>
      <c r="J216" s="25" t="str">
        <f t="shared" si="17"/>
        <v/>
      </c>
      <c r="K216" s="25" t="str">
        <f>IF(C216="","",IFERROR(INDEX(Catalogue!$K$6:$K$55,MATCH(C216,Catalogue!$B$6:$B$55,0)),""))</f>
        <v/>
      </c>
      <c r="L216" s="25" t="str">
        <f t="shared" si="18"/>
        <v/>
      </c>
      <c r="M216" s="28" t="str">
        <f>IF(OR(E216="",K216=""),"",IF(N(G216)=0,"Pas de vente aujourd’hui",IF(J216&lt;K216*Paramètres!$B$11,"Rentable",IF(J216&lt;=K216,"Juste rentable","Perte"))))</f>
        <v/>
      </c>
      <c r="N216" s="24" t="str">
        <f t="shared" si="19"/>
        <v/>
      </c>
    </row>
    <row r="217" spans="1:14" x14ac:dyDescent="0.25">
      <c r="A217" s="38"/>
      <c r="B217" s="18"/>
      <c r="C217" s="18"/>
      <c r="D217" s="18"/>
      <c r="E217" s="19"/>
      <c r="F217" s="20"/>
      <c r="G217" s="20"/>
      <c r="H217" s="25" t="str">
        <f t="shared" si="15"/>
        <v/>
      </c>
      <c r="I217" s="39" t="str">
        <f t="shared" si="16"/>
        <v/>
      </c>
      <c r="J217" s="25" t="str">
        <f t="shared" si="17"/>
        <v/>
      </c>
      <c r="K217" s="25" t="str">
        <f>IF(C217="","",IFERROR(INDEX(Catalogue!$K$6:$K$55,MATCH(C217,Catalogue!$B$6:$B$55,0)),""))</f>
        <v/>
      </c>
      <c r="L217" s="25" t="str">
        <f t="shared" si="18"/>
        <v/>
      </c>
      <c r="M217" s="28" t="str">
        <f>IF(OR(E217="",K217=""),"",IF(N(G217)=0,"Pas de vente aujourd’hui",IF(J217&lt;K217*Paramètres!$B$11,"Rentable",IF(J217&lt;=K217,"Juste rentable","Perte"))))</f>
        <v/>
      </c>
      <c r="N217" s="24" t="str">
        <f t="shared" si="19"/>
        <v/>
      </c>
    </row>
    <row r="218" spans="1:14" x14ac:dyDescent="0.25">
      <c r="A218" s="38"/>
      <c r="B218" s="18"/>
      <c r="C218" s="18"/>
      <c r="D218" s="18"/>
      <c r="E218" s="19"/>
      <c r="F218" s="20"/>
      <c r="G218" s="20"/>
      <c r="H218" s="25" t="str">
        <f t="shared" si="15"/>
        <v/>
      </c>
      <c r="I218" s="39" t="str">
        <f t="shared" si="16"/>
        <v/>
      </c>
      <c r="J218" s="25" t="str">
        <f t="shared" si="17"/>
        <v/>
      </c>
      <c r="K218" s="25" t="str">
        <f>IF(C218="","",IFERROR(INDEX(Catalogue!$K$6:$K$55,MATCH(C218,Catalogue!$B$6:$B$55,0)),""))</f>
        <v/>
      </c>
      <c r="L218" s="25" t="str">
        <f t="shared" si="18"/>
        <v/>
      </c>
      <c r="M218" s="28" t="str">
        <f>IF(OR(E218="",K218=""),"",IF(N(G218)=0,"Pas de vente aujourd’hui",IF(J218&lt;K218*Paramètres!$B$11,"Rentable",IF(J218&lt;=K218,"Juste rentable","Perte"))))</f>
        <v/>
      </c>
      <c r="N218" s="24" t="str">
        <f t="shared" si="19"/>
        <v/>
      </c>
    </row>
    <row r="219" spans="1:14" x14ac:dyDescent="0.25">
      <c r="A219" s="38"/>
      <c r="B219" s="18"/>
      <c r="C219" s="18"/>
      <c r="D219" s="18"/>
      <c r="E219" s="19"/>
      <c r="F219" s="20"/>
      <c r="G219" s="20"/>
      <c r="H219" s="25" t="str">
        <f t="shared" si="15"/>
        <v/>
      </c>
      <c r="I219" s="39" t="str">
        <f t="shared" si="16"/>
        <v/>
      </c>
      <c r="J219" s="25" t="str">
        <f t="shared" si="17"/>
        <v/>
      </c>
      <c r="K219" s="25" t="str">
        <f>IF(C219="","",IFERROR(INDEX(Catalogue!$K$6:$K$55,MATCH(C219,Catalogue!$B$6:$B$55,0)),""))</f>
        <v/>
      </c>
      <c r="L219" s="25" t="str">
        <f t="shared" si="18"/>
        <v/>
      </c>
      <c r="M219" s="28" t="str">
        <f>IF(OR(E219="",K219=""),"",IF(N(G219)=0,"Pas de vente aujourd’hui",IF(J219&lt;K219*Paramètres!$B$11,"Rentable",IF(J219&lt;=K219,"Juste rentable","Perte"))))</f>
        <v/>
      </c>
      <c r="N219" s="24" t="str">
        <f t="shared" si="19"/>
        <v/>
      </c>
    </row>
    <row r="220" spans="1:14" x14ac:dyDescent="0.25">
      <c r="A220" s="38"/>
      <c r="B220" s="18"/>
      <c r="C220" s="18"/>
      <c r="D220" s="18"/>
      <c r="E220" s="19"/>
      <c r="F220" s="20"/>
      <c r="G220" s="20"/>
      <c r="H220" s="25" t="str">
        <f t="shared" si="15"/>
        <v/>
      </c>
      <c r="I220" s="39" t="str">
        <f t="shared" si="16"/>
        <v/>
      </c>
      <c r="J220" s="25" t="str">
        <f t="shared" si="17"/>
        <v/>
      </c>
      <c r="K220" s="25" t="str">
        <f>IF(C220="","",IFERROR(INDEX(Catalogue!$K$6:$K$55,MATCH(C220,Catalogue!$B$6:$B$55,0)),""))</f>
        <v/>
      </c>
      <c r="L220" s="25" t="str">
        <f t="shared" si="18"/>
        <v/>
      </c>
      <c r="M220" s="28" t="str">
        <f>IF(OR(E220="",K220=""),"",IF(N(G220)=0,"Pas de vente aujourd’hui",IF(J220&lt;K220*Paramètres!$B$11,"Rentable",IF(J220&lt;=K220,"Juste rentable","Perte"))))</f>
        <v/>
      </c>
      <c r="N220" s="24" t="str">
        <f t="shared" si="19"/>
        <v/>
      </c>
    </row>
    <row r="221" spans="1:14" x14ac:dyDescent="0.25">
      <c r="A221" s="38"/>
      <c r="B221" s="18"/>
      <c r="C221" s="18"/>
      <c r="D221" s="18"/>
      <c r="E221" s="19"/>
      <c r="F221" s="20"/>
      <c r="G221" s="20"/>
      <c r="H221" s="25" t="str">
        <f t="shared" si="15"/>
        <v/>
      </c>
      <c r="I221" s="39" t="str">
        <f t="shared" si="16"/>
        <v/>
      </c>
      <c r="J221" s="25" t="str">
        <f t="shared" si="17"/>
        <v/>
      </c>
      <c r="K221" s="25" t="str">
        <f>IF(C221="","",IFERROR(INDEX(Catalogue!$K$6:$K$55,MATCH(C221,Catalogue!$B$6:$B$55,0)),""))</f>
        <v/>
      </c>
      <c r="L221" s="25" t="str">
        <f t="shared" si="18"/>
        <v/>
      </c>
      <c r="M221" s="28" t="str">
        <f>IF(OR(E221="",K221=""),"",IF(N(G221)=0,"Pas de vente aujourd’hui",IF(J221&lt;K221*Paramètres!$B$11,"Rentable",IF(J221&lt;=K221,"Juste rentable","Perte"))))</f>
        <v/>
      </c>
      <c r="N221" s="24" t="str">
        <f t="shared" si="19"/>
        <v/>
      </c>
    </row>
    <row r="222" spans="1:14" x14ac:dyDescent="0.25">
      <c r="A222" s="38"/>
      <c r="B222" s="18"/>
      <c r="C222" s="18"/>
      <c r="D222" s="18"/>
      <c r="E222" s="19"/>
      <c r="F222" s="20"/>
      <c r="G222" s="20"/>
      <c r="H222" s="25" t="str">
        <f t="shared" si="15"/>
        <v/>
      </c>
      <c r="I222" s="39" t="str">
        <f t="shared" si="16"/>
        <v/>
      </c>
      <c r="J222" s="25" t="str">
        <f t="shared" si="17"/>
        <v/>
      </c>
      <c r="K222" s="25" t="str">
        <f>IF(C222="","",IFERROR(INDEX(Catalogue!$K$6:$K$55,MATCH(C222,Catalogue!$B$6:$B$55,0)),""))</f>
        <v/>
      </c>
      <c r="L222" s="25" t="str">
        <f t="shared" si="18"/>
        <v/>
      </c>
      <c r="M222" s="28" t="str">
        <f>IF(OR(E222="",K222=""),"",IF(N(G222)=0,"Pas de vente aujourd’hui",IF(J222&lt;K222*Paramètres!$B$11,"Rentable",IF(J222&lt;=K222,"Juste rentable","Perte"))))</f>
        <v/>
      </c>
      <c r="N222" s="24" t="str">
        <f t="shared" si="19"/>
        <v/>
      </c>
    </row>
    <row r="223" spans="1:14" x14ac:dyDescent="0.25">
      <c r="A223" s="38"/>
      <c r="B223" s="18"/>
      <c r="C223" s="18"/>
      <c r="D223" s="18"/>
      <c r="E223" s="19"/>
      <c r="F223" s="20"/>
      <c r="G223" s="20"/>
      <c r="H223" s="25" t="str">
        <f t="shared" si="15"/>
        <v/>
      </c>
      <c r="I223" s="39" t="str">
        <f t="shared" si="16"/>
        <v/>
      </c>
      <c r="J223" s="25" t="str">
        <f t="shared" si="17"/>
        <v/>
      </c>
      <c r="K223" s="25" t="str">
        <f>IF(C223="","",IFERROR(INDEX(Catalogue!$K$6:$K$55,MATCH(C223,Catalogue!$B$6:$B$55,0)),""))</f>
        <v/>
      </c>
      <c r="L223" s="25" t="str">
        <f t="shared" si="18"/>
        <v/>
      </c>
      <c r="M223" s="28" t="str">
        <f>IF(OR(E223="",K223=""),"",IF(N(G223)=0,"Pas de vente aujourd’hui",IF(J223&lt;K223*Paramètres!$B$11,"Rentable",IF(J223&lt;=K223,"Juste rentable","Perte"))))</f>
        <v/>
      </c>
      <c r="N223" s="24" t="str">
        <f t="shared" si="19"/>
        <v/>
      </c>
    </row>
    <row r="224" spans="1:14" x14ac:dyDescent="0.25">
      <c r="A224" s="38"/>
      <c r="B224" s="18"/>
      <c r="C224" s="18"/>
      <c r="D224" s="18"/>
      <c r="E224" s="19"/>
      <c r="F224" s="20"/>
      <c r="G224" s="20"/>
      <c r="H224" s="25" t="str">
        <f t="shared" si="15"/>
        <v/>
      </c>
      <c r="I224" s="39" t="str">
        <f t="shared" si="16"/>
        <v/>
      </c>
      <c r="J224" s="25" t="str">
        <f t="shared" si="17"/>
        <v/>
      </c>
      <c r="K224" s="25" t="str">
        <f>IF(C224="","",IFERROR(INDEX(Catalogue!$K$6:$K$55,MATCH(C224,Catalogue!$B$6:$B$55,0)),""))</f>
        <v/>
      </c>
      <c r="L224" s="25" t="str">
        <f t="shared" si="18"/>
        <v/>
      </c>
      <c r="M224" s="28" t="str">
        <f>IF(OR(E224="",K224=""),"",IF(N(G224)=0,"Pas de vente aujourd’hui",IF(J224&lt;K224*Paramètres!$B$11,"Rentable",IF(J224&lt;=K224,"Juste rentable","Perte"))))</f>
        <v/>
      </c>
      <c r="N224" s="24" t="str">
        <f t="shared" si="19"/>
        <v/>
      </c>
    </row>
    <row r="225" spans="1:14" x14ac:dyDescent="0.25">
      <c r="A225" s="38"/>
      <c r="B225" s="18"/>
      <c r="C225" s="18"/>
      <c r="D225" s="18"/>
      <c r="E225" s="19"/>
      <c r="F225" s="20"/>
      <c r="G225" s="20"/>
      <c r="H225" s="25" t="str">
        <f t="shared" si="15"/>
        <v/>
      </c>
      <c r="I225" s="39" t="str">
        <f t="shared" si="16"/>
        <v/>
      </c>
      <c r="J225" s="25" t="str">
        <f t="shared" si="17"/>
        <v/>
      </c>
      <c r="K225" s="25" t="str">
        <f>IF(C225="","",IFERROR(INDEX(Catalogue!$K$6:$K$55,MATCH(C225,Catalogue!$B$6:$B$55,0)),""))</f>
        <v/>
      </c>
      <c r="L225" s="25" t="str">
        <f t="shared" si="18"/>
        <v/>
      </c>
      <c r="M225" s="28" t="str">
        <f>IF(OR(E225="",K225=""),"",IF(N(G225)=0,"Pas de vente aujourd’hui",IF(J225&lt;K225*Paramètres!$B$11,"Rentable",IF(J225&lt;=K225,"Juste rentable","Perte"))))</f>
        <v/>
      </c>
      <c r="N225" s="24" t="str">
        <f t="shared" si="19"/>
        <v/>
      </c>
    </row>
    <row r="226" spans="1:14" x14ac:dyDescent="0.25">
      <c r="A226" s="38"/>
      <c r="B226" s="18"/>
      <c r="C226" s="18"/>
      <c r="D226" s="18"/>
      <c r="E226" s="19"/>
      <c r="F226" s="20"/>
      <c r="G226" s="20"/>
      <c r="H226" s="25" t="str">
        <f t="shared" si="15"/>
        <v/>
      </c>
      <c r="I226" s="39" t="str">
        <f t="shared" si="16"/>
        <v/>
      </c>
      <c r="J226" s="25" t="str">
        <f t="shared" si="17"/>
        <v/>
      </c>
      <c r="K226" s="25" t="str">
        <f>IF(C226="","",IFERROR(INDEX(Catalogue!$K$6:$K$55,MATCH(C226,Catalogue!$B$6:$B$55,0)),""))</f>
        <v/>
      </c>
      <c r="L226" s="25" t="str">
        <f t="shared" si="18"/>
        <v/>
      </c>
      <c r="M226" s="28" t="str">
        <f>IF(OR(E226="",K226=""),"",IF(N(G226)=0,"Pas de vente aujourd’hui",IF(J226&lt;K226*Paramètres!$B$11,"Rentable",IF(J226&lt;=K226,"Juste rentable","Perte"))))</f>
        <v/>
      </c>
      <c r="N226" s="24" t="str">
        <f t="shared" si="19"/>
        <v/>
      </c>
    </row>
    <row r="227" spans="1:14" x14ac:dyDescent="0.25">
      <c r="A227" s="38"/>
      <c r="B227" s="18"/>
      <c r="C227" s="18"/>
      <c r="D227" s="18"/>
      <c r="E227" s="19"/>
      <c r="F227" s="20"/>
      <c r="G227" s="20"/>
      <c r="H227" s="25" t="str">
        <f t="shared" si="15"/>
        <v/>
      </c>
      <c r="I227" s="39" t="str">
        <f t="shared" si="16"/>
        <v/>
      </c>
      <c r="J227" s="25" t="str">
        <f t="shared" si="17"/>
        <v/>
      </c>
      <c r="K227" s="25" t="str">
        <f>IF(C227="","",IFERROR(INDEX(Catalogue!$K$6:$K$55,MATCH(C227,Catalogue!$B$6:$B$55,0)),""))</f>
        <v/>
      </c>
      <c r="L227" s="25" t="str">
        <f t="shared" si="18"/>
        <v/>
      </c>
      <c r="M227" s="28" t="str">
        <f>IF(OR(E227="",K227=""),"",IF(N(G227)=0,"Pas de vente aujourd’hui",IF(J227&lt;K227*Paramètres!$B$11,"Rentable",IF(J227&lt;=K227,"Juste rentable","Perte"))))</f>
        <v/>
      </c>
      <c r="N227" s="24" t="str">
        <f t="shared" si="19"/>
        <v/>
      </c>
    </row>
    <row r="228" spans="1:14" x14ac:dyDescent="0.25">
      <c r="A228" s="38"/>
      <c r="B228" s="18"/>
      <c r="C228" s="18"/>
      <c r="D228" s="18"/>
      <c r="E228" s="19"/>
      <c r="F228" s="20"/>
      <c r="G228" s="20"/>
      <c r="H228" s="25" t="str">
        <f t="shared" si="15"/>
        <v/>
      </c>
      <c r="I228" s="39" t="str">
        <f t="shared" si="16"/>
        <v/>
      </c>
      <c r="J228" s="25" t="str">
        <f t="shared" si="17"/>
        <v/>
      </c>
      <c r="K228" s="25" t="str">
        <f>IF(C228="","",IFERROR(INDEX(Catalogue!$K$6:$K$55,MATCH(C228,Catalogue!$B$6:$B$55,0)),""))</f>
        <v/>
      </c>
      <c r="L228" s="25" t="str">
        <f t="shared" si="18"/>
        <v/>
      </c>
      <c r="M228" s="28" t="str">
        <f>IF(OR(E228="",K228=""),"",IF(N(G228)=0,"Pas de vente aujourd’hui",IF(J228&lt;K228*Paramètres!$B$11,"Rentable",IF(J228&lt;=K228,"Juste rentable","Perte"))))</f>
        <v/>
      </c>
      <c r="N228" s="24" t="str">
        <f t="shared" si="19"/>
        <v/>
      </c>
    </row>
    <row r="229" spans="1:14" x14ac:dyDescent="0.25">
      <c r="A229" s="38"/>
      <c r="B229" s="18"/>
      <c r="C229" s="18"/>
      <c r="D229" s="18"/>
      <c r="E229" s="19"/>
      <c r="F229" s="20"/>
      <c r="G229" s="20"/>
      <c r="H229" s="25" t="str">
        <f t="shared" si="15"/>
        <v/>
      </c>
      <c r="I229" s="39" t="str">
        <f t="shared" si="16"/>
        <v/>
      </c>
      <c r="J229" s="25" t="str">
        <f t="shared" si="17"/>
        <v/>
      </c>
      <c r="K229" s="25" t="str">
        <f>IF(C229="","",IFERROR(INDEX(Catalogue!$K$6:$K$55,MATCH(C229,Catalogue!$B$6:$B$55,0)),""))</f>
        <v/>
      </c>
      <c r="L229" s="25" t="str">
        <f t="shared" si="18"/>
        <v/>
      </c>
      <c r="M229" s="28" t="str">
        <f>IF(OR(E229="",K229=""),"",IF(N(G229)=0,"Pas de vente aujourd’hui",IF(J229&lt;K229*Paramètres!$B$11,"Rentable",IF(J229&lt;=K229,"Juste rentable","Perte"))))</f>
        <v/>
      </c>
      <c r="N229" s="24" t="str">
        <f t="shared" si="19"/>
        <v/>
      </c>
    </row>
    <row r="230" spans="1:14" x14ac:dyDescent="0.25">
      <c r="A230" s="38"/>
      <c r="B230" s="18"/>
      <c r="C230" s="18"/>
      <c r="D230" s="18"/>
      <c r="E230" s="19"/>
      <c r="F230" s="20"/>
      <c r="G230" s="20"/>
      <c r="H230" s="25" t="str">
        <f t="shared" si="15"/>
        <v/>
      </c>
      <c r="I230" s="39" t="str">
        <f t="shared" si="16"/>
        <v/>
      </c>
      <c r="J230" s="25" t="str">
        <f t="shared" si="17"/>
        <v/>
      </c>
      <c r="K230" s="25" t="str">
        <f>IF(C230="","",IFERROR(INDEX(Catalogue!$K$6:$K$55,MATCH(C230,Catalogue!$B$6:$B$55,0)),""))</f>
        <v/>
      </c>
      <c r="L230" s="25" t="str">
        <f t="shared" si="18"/>
        <v/>
      </c>
      <c r="M230" s="28" t="str">
        <f>IF(OR(E230="",K230=""),"",IF(N(G230)=0,"Pas de vente aujourd’hui",IF(J230&lt;K230*Paramètres!$B$11,"Rentable",IF(J230&lt;=K230,"Juste rentable","Perte"))))</f>
        <v/>
      </c>
      <c r="N230" s="24" t="str">
        <f t="shared" si="19"/>
        <v/>
      </c>
    </row>
    <row r="231" spans="1:14" x14ac:dyDescent="0.25">
      <c r="A231" s="38"/>
      <c r="B231" s="18"/>
      <c r="C231" s="18"/>
      <c r="D231" s="18"/>
      <c r="E231" s="19"/>
      <c r="F231" s="20"/>
      <c r="G231" s="20"/>
      <c r="H231" s="25" t="str">
        <f t="shared" si="15"/>
        <v/>
      </c>
      <c r="I231" s="39" t="str">
        <f t="shared" si="16"/>
        <v/>
      </c>
      <c r="J231" s="25" t="str">
        <f t="shared" si="17"/>
        <v/>
      </c>
      <c r="K231" s="25" t="str">
        <f>IF(C231="","",IFERROR(INDEX(Catalogue!$K$6:$K$55,MATCH(C231,Catalogue!$B$6:$B$55,0)),""))</f>
        <v/>
      </c>
      <c r="L231" s="25" t="str">
        <f t="shared" si="18"/>
        <v/>
      </c>
      <c r="M231" s="28" t="str">
        <f>IF(OR(E231="",K231=""),"",IF(N(G231)=0,"Pas de vente aujourd’hui",IF(J231&lt;K231*Paramètres!$B$11,"Rentable",IF(J231&lt;=K231,"Juste rentable","Perte"))))</f>
        <v/>
      </c>
      <c r="N231" s="24" t="str">
        <f t="shared" si="19"/>
        <v/>
      </c>
    </row>
    <row r="232" spans="1:14" x14ac:dyDescent="0.25">
      <c r="A232" s="38"/>
      <c r="B232" s="18"/>
      <c r="C232" s="18"/>
      <c r="D232" s="18"/>
      <c r="E232" s="19"/>
      <c r="F232" s="20"/>
      <c r="G232" s="20"/>
      <c r="H232" s="25" t="str">
        <f t="shared" si="15"/>
        <v/>
      </c>
      <c r="I232" s="39" t="str">
        <f t="shared" si="16"/>
        <v/>
      </c>
      <c r="J232" s="25" t="str">
        <f t="shared" si="17"/>
        <v/>
      </c>
      <c r="K232" s="25" t="str">
        <f>IF(C232="","",IFERROR(INDEX(Catalogue!$K$6:$K$55,MATCH(C232,Catalogue!$B$6:$B$55,0)),""))</f>
        <v/>
      </c>
      <c r="L232" s="25" t="str">
        <f t="shared" si="18"/>
        <v/>
      </c>
      <c r="M232" s="28" t="str">
        <f>IF(OR(E232="",K232=""),"",IF(N(G232)=0,"Pas de vente aujourd’hui",IF(J232&lt;K232*Paramètres!$B$11,"Rentable",IF(J232&lt;=K232,"Juste rentable","Perte"))))</f>
        <v/>
      </c>
      <c r="N232" s="24" t="str">
        <f t="shared" si="19"/>
        <v/>
      </c>
    </row>
    <row r="233" spans="1:14" x14ac:dyDescent="0.25">
      <c r="A233" s="38"/>
      <c r="B233" s="18"/>
      <c r="C233" s="18"/>
      <c r="D233" s="18"/>
      <c r="E233" s="19"/>
      <c r="F233" s="20"/>
      <c r="G233" s="20"/>
      <c r="H233" s="25" t="str">
        <f t="shared" si="15"/>
        <v/>
      </c>
      <c r="I233" s="39" t="str">
        <f t="shared" si="16"/>
        <v/>
      </c>
      <c r="J233" s="25" t="str">
        <f t="shared" si="17"/>
        <v/>
      </c>
      <c r="K233" s="25" t="str">
        <f>IF(C233="","",IFERROR(INDEX(Catalogue!$K$6:$K$55,MATCH(C233,Catalogue!$B$6:$B$55,0)),""))</f>
        <v/>
      </c>
      <c r="L233" s="25" t="str">
        <f t="shared" si="18"/>
        <v/>
      </c>
      <c r="M233" s="28" t="str">
        <f>IF(OR(E233="",K233=""),"",IF(N(G233)=0,"Pas de vente aujourd’hui",IF(J233&lt;K233*Paramètres!$B$11,"Rentable",IF(J233&lt;=K233,"Juste rentable","Perte"))))</f>
        <v/>
      </c>
      <c r="N233" s="24" t="str">
        <f t="shared" si="19"/>
        <v/>
      </c>
    </row>
    <row r="234" spans="1:14" x14ac:dyDescent="0.25">
      <c r="A234" s="38"/>
      <c r="B234" s="18"/>
      <c r="C234" s="18"/>
      <c r="D234" s="18"/>
      <c r="E234" s="19"/>
      <c r="F234" s="20"/>
      <c r="G234" s="20"/>
      <c r="H234" s="25" t="str">
        <f t="shared" si="15"/>
        <v/>
      </c>
      <c r="I234" s="39" t="str">
        <f t="shared" si="16"/>
        <v/>
      </c>
      <c r="J234" s="25" t="str">
        <f t="shared" si="17"/>
        <v/>
      </c>
      <c r="K234" s="25" t="str">
        <f>IF(C234="","",IFERROR(INDEX(Catalogue!$K$6:$K$55,MATCH(C234,Catalogue!$B$6:$B$55,0)),""))</f>
        <v/>
      </c>
      <c r="L234" s="25" t="str">
        <f t="shared" si="18"/>
        <v/>
      </c>
      <c r="M234" s="28" t="str">
        <f>IF(OR(E234="",K234=""),"",IF(N(G234)=0,"Pas de vente aujourd’hui",IF(J234&lt;K234*Paramètres!$B$11,"Rentable",IF(J234&lt;=K234,"Juste rentable","Perte"))))</f>
        <v/>
      </c>
      <c r="N234" s="24" t="str">
        <f t="shared" si="19"/>
        <v/>
      </c>
    </row>
    <row r="235" spans="1:14" x14ac:dyDescent="0.25">
      <c r="A235" s="38"/>
      <c r="B235" s="18"/>
      <c r="C235" s="18"/>
      <c r="D235" s="18"/>
      <c r="E235" s="19"/>
      <c r="F235" s="20"/>
      <c r="G235" s="20"/>
      <c r="H235" s="25" t="str">
        <f t="shared" si="15"/>
        <v/>
      </c>
      <c r="I235" s="39" t="str">
        <f t="shared" si="16"/>
        <v/>
      </c>
      <c r="J235" s="25" t="str">
        <f t="shared" si="17"/>
        <v/>
      </c>
      <c r="K235" s="25" t="str">
        <f>IF(C235="","",IFERROR(INDEX(Catalogue!$K$6:$K$55,MATCH(C235,Catalogue!$B$6:$B$55,0)),""))</f>
        <v/>
      </c>
      <c r="L235" s="25" t="str">
        <f t="shared" si="18"/>
        <v/>
      </c>
      <c r="M235" s="28" t="str">
        <f>IF(OR(E235="",K235=""),"",IF(N(G235)=0,"Pas de vente aujourd’hui",IF(J235&lt;K235*Paramètres!$B$11,"Rentable",IF(J235&lt;=K235,"Juste rentable","Perte"))))</f>
        <v/>
      </c>
      <c r="N235" s="24" t="str">
        <f t="shared" si="19"/>
        <v/>
      </c>
    </row>
    <row r="236" spans="1:14" x14ac:dyDescent="0.25">
      <c r="A236" s="38"/>
      <c r="B236" s="18"/>
      <c r="C236" s="18"/>
      <c r="D236" s="18"/>
      <c r="E236" s="19"/>
      <c r="F236" s="20"/>
      <c r="G236" s="20"/>
      <c r="H236" s="25" t="str">
        <f t="shared" si="15"/>
        <v/>
      </c>
      <c r="I236" s="39" t="str">
        <f t="shared" si="16"/>
        <v/>
      </c>
      <c r="J236" s="25" t="str">
        <f t="shared" si="17"/>
        <v/>
      </c>
      <c r="K236" s="25" t="str">
        <f>IF(C236="","",IFERROR(INDEX(Catalogue!$K$6:$K$55,MATCH(C236,Catalogue!$B$6:$B$55,0)),""))</f>
        <v/>
      </c>
      <c r="L236" s="25" t="str">
        <f t="shared" si="18"/>
        <v/>
      </c>
      <c r="M236" s="28" t="str">
        <f>IF(OR(E236="",K236=""),"",IF(N(G236)=0,"Pas de vente aujourd’hui",IF(J236&lt;K236*Paramètres!$B$11,"Rentable",IF(J236&lt;=K236,"Juste rentable","Perte"))))</f>
        <v/>
      </c>
      <c r="N236" s="24" t="str">
        <f t="shared" si="19"/>
        <v/>
      </c>
    </row>
    <row r="237" spans="1:14" x14ac:dyDescent="0.25">
      <c r="A237" s="38"/>
      <c r="B237" s="18"/>
      <c r="C237" s="18"/>
      <c r="D237" s="18"/>
      <c r="E237" s="19"/>
      <c r="F237" s="20"/>
      <c r="G237" s="20"/>
      <c r="H237" s="25" t="str">
        <f t="shared" si="15"/>
        <v/>
      </c>
      <c r="I237" s="39" t="str">
        <f t="shared" si="16"/>
        <v/>
      </c>
      <c r="J237" s="25" t="str">
        <f t="shared" si="17"/>
        <v/>
      </c>
      <c r="K237" s="25" t="str">
        <f>IF(C237="","",IFERROR(INDEX(Catalogue!$K$6:$K$55,MATCH(C237,Catalogue!$B$6:$B$55,0)),""))</f>
        <v/>
      </c>
      <c r="L237" s="25" t="str">
        <f t="shared" si="18"/>
        <v/>
      </c>
      <c r="M237" s="28" t="str">
        <f>IF(OR(E237="",K237=""),"",IF(N(G237)=0,"Pas de vente aujourd’hui",IF(J237&lt;K237*Paramètres!$B$11,"Rentable",IF(J237&lt;=K237,"Juste rentable","Perte"))))</f>
        <v/>
      </c>
      <c r="N237" s="24" t="str">
        <f t="shared" si="19"/>
        <v/>
      </c>
    </row>
    <row r="238" spans="1:14" x14ac:dyDescent="0.25">
      <c r="A238" s="38"/>
      <c r="B238" s="18"/>
      <c r="C238" s="18"/>
      <c r="D238" s="18"/>
      <c r="E238" s="19"/>
      <c r="F238" s="20"/>
      <c r="G238" s="20"/>
      <c r="H238" s="25" t="str">
        <f t="shared" si="15"/>
        <v/>
      </c>
      <c r="I238" s="39" t="str">
        <f t="shared" si="16"/>
        <v/>
      </c>
      <c r="J238" s="25" t="str">
        <f t="shared" si="17"/>
        <v/>
      </c>
      <c r="K238" s="25" t="str">
        <f>IF(C238="","",IFERROR(INDEX(Catalogue!$K$6:$K$55,MATCH(C238,Catalogue!$B$6:$B$55,0)),""))</f>
        <v/>
      </c>
      <c r="L238" s="25" t="str">
        <f t="shared" si="18"/>
        <v/>
      </c>
      <c r="M238" s="28" t="str">
        <f>IF(OR(E238="",K238=""),"",IF(N(G238)=0,"Pas de vente aujourd’hui",IF(J238&lt;K238*Paramètres!$B$11,"Rentable",IF(J238&lt;=K238,"Juste rentable","Perte"))))</f>
        <v/>
      </c>
      <c r="N238" s="24" t="str">
        <f t="shared" si="19"/>
        <v/>
      </c>
    </row>
    <row r="239" spans="1:14" x14ac:dyDescent="0.25">
      <c r="A239" s="38"/>
      <c r="B239" s="18"/>
      <c r="C239" s="18"/>
      <c r="D239" s="18"/>
      <c r="E239" s="19"/>
      <c r="F239" s="20"/>
      <c r="G239" s="20"/>
      <c r="H239" s="25" t="str">
        <f t="shared" si="15"/>
        <v/>
      </c>
      <c r="I239" s="39" t="str">
        <f t="shared" si="16"/>
        <v/>
      </c>
      <c r="J239" s="25" t="str">
        <f t="shared" si="17"/>
        <v/>
      </c>
      <c r="K239" s="25" t="str">
        <f>IF(C239="","",IFERROR(INDEX(Catalogue!$K$6:$K$55,MATCH(C239,Catalogue!$B$6:$B$55,0)),""))</f>
        <v/>
      </c>
      <c r="L239" s="25" t="str">
        <f t="shared" si="18"/>
        <v/>
      </c>
      <c r="M239" s="28" t="str">
        <f>IF(OR(E239="",K239=""),"",IF(N(G239)=0,"Pas de vente aujourd’hui",IF(J239&lt;K239*Paramètres!$B$11,"Rentable",IF(J239&lt;=K239,"Juste rentable","Perte"))))</f>
        <v/>
      </c>
      <c r="N239" s="24" t="str">
        <f t="shared" si="19"/>
        <v/>
      </c>
    </row>
    <row r="240" spans="1:14" x14ac:dyDescent="0.25">
      <c r="A240" s="38"/>
      <c r="B240" s="18"/>
      <c r="C240" s="18"/>
      <c r="D240" s="18"/>
      <c r="E240" s="19"/>
      <c r="F240" s="20"/>
      <c r="G240" s="20"/>
      <c r="H240" s="25" t="str">
        <f t="shared" si="15"/>
        <v/>
      </c>
      <c r="I240" s="39" t="str">
        <f t="shared" si="16"/>
        <v/>
      </c>
      <c r="J240" s="25" t="str">
        <f t="shared" si="17"/>
        <v/>
      </c>
      <c r="K240" s="25" t="str">
        <f>IF(C240="","",IFERROR(INDEX(Catalogue!$K$6:$K$55,MATCH(C240,Catalogue!$B$6:$B$55,0)),""))</f>
        <v/>
      </c>
      <c r="L240" s="25" t="str">
        <f t="shared" si="18"/>
        <v/>
      </c>
      <c r="M240" s="28" t="str">
        <f>IF(OR(E240="",K240=""),"",IF(N(G240)=0,"Pas de vente aujourd’hui",IF(J240&lt;K240*Paramètres!$B$11,"Rentable",IF(J240&lt;=K240,"Juste rentable","Perte"))))</f>
        <v/>
      </c>
      <c r="N240" s="24" t="str">
        <f t="shared" si="19"/>
        <v/>
      </c>
    </row>
    <row r="241" spans="1:14" x14ac:dyDescent="0.25">
      <c r="A241" s="38"/>
      <c r="B241" s="18"/>
      <c r="C241" s="18"/>
      <c r="D241" s="18"/>
      <c r="E241" s="19"/>
      <c r="F241" s="20"/>
      <c r="G241" s="20"/>
      <c r="H241" s="25" t="str">
        <f t="shared" si="15"/>
        <v/>
      </c>
      <c r="I241" s="39" t="str">
        <f t="shared" si="16"/>
        <v/>
      </c>
      <c r="J241" s="25" t="str">
        <f t="shared" si="17"/>
        <v/>
      </c>
      <c r="K241" s="25" t="str">
        <f>IF(C241="","",IFERROR(INDEX(Catalogue!$K$6:$K$55,MATCH(C241,Catalogue!$B$6:$B$55,0)),""))</f>
        <v/>
      </c>
      <c r="L241" s="25" t="str">
        <f t="shared" si="18"/>
        <v/>
      </c>
      <c r="M241" s="28" t="str">
        <f>IF(OR(E241="",K241=""),"",IF(N(G241)=0,"Pas de vente aujourd’hui",IF(J241&lt;K241*Paramètres!$B$11,"Rentable",IF(J241&lt;=K241,"Juste rentable","Perte"))))</f>
        <v/>
      </c>
      <c r="N241" s="24" t="str">
        <f t="shared" si="19"/>
        <v/>
      </c>
    </row>
    <row r="242" spans="1:14" x14ac:dyDescent="0.25">
      <c r="A242" s="38"/>
      <c r="B242" s="18"/>
      <c r="C242" s="18"/>
      <c r="D242" s="18"/>
      <c r="E242" s="19"/>
      <c r="F242" s="20"/>
      <c r="G242" s="20"/>
      <c r="H242" s="25" t="str">
        <f t="shared" si="15"/>
        <v/>
      </c>
      <c r="I242" s="39" t="str">
        <f t="shared" si="16"/>
        <v/>
      </c>
      <c r="J242" s="25" t="str">
        <f t="shared" si="17"/>
        <v/>
      </c>
      <c r="K242" s="25" t="str">
        <f>IF(C242="","",IFERROR(INDEX(Catalogue!$K$6:$K$55,MATCH(C242,Catalogue!$B$6:$B$55,0)),""))</f>
        <v/>
      </c>
      <c r="L242" s="25" t="str">
        <f t="shared" si="18"/>
        <v/>
      </c>
      <c r="M242" s="28" t="str">
        <f>IF(OR(E242="",K242=""),"",IF(N(G242)=0,"Pas de vente aujourd’hui",IF(J242&lt;K242*Paramètres!$B$11,"Rentable",IF(J242&lt;=K242,"Juste rentable","Perte"))))</f>
        <v/>
      </c>
      <c r="N242" s="24" t="str">
        <f t="shared" si="19"/>
        <v/>
      </c>
    </row>
    <row r="243" spans="1:14" x14ac:dyDescent="0.25">
      <c r="A243" s="38"/>
      <c r="B243" s="18"/>
      <c r="C243" s="18"/>
      <c r="D243" s="18"/>
      <c r="E243" s="19"/>
      <c r="F243" s="20"/>
      <c r="G243" s="20"/>
      <c r="H243" s="25" t="str">
        <f t="shared" si="15"/>
        <v/>
      </c>
      <c r="I243" s="39" t="str">
        <f t="shared" si="16"/>
        <v/>
      </c>
      <c r="J243" s="25" t="str">
        <f t="shared" si="17"/>
        <v/>
      </c>
      <c r="K243" s="25" t="str">
        <f>IF(C243="","",IFERROR(INDEX(Catalogue!$K$6:$K$55,MATCH(C243,Catalogue!$B$6:$B$55,0)),""))</f>
        <v/>
      </c>
      <c r="L243" s="25" t="str">
        <f t="shared" si="18"/>
        <v/>
      </c>
      <c r="M243" s="28" t="str">
        <f>IF(OR(E243="",K243=""),"",IF(N(G243)=0,"Pas de vente aujourd’hui",IF(J243&lt;K243*Paramètres!$B$11,"Rentable",IF(J243&lt;=K243,"Juste rentable","Perte"))))</f>
        <v/>
      </c>
      <c r="N243" s="24" t="str">
        <f t="shared" si="19"/>
        <v/>
      </c>
    </row>
    <row r="244" spans="1:14" x14ac:dyDescent="0.25">
      <c r="A244" s="38"/>
      <c r="B244" s="18"/>
      <c r="C244" s="18"/>
      <c r="D244" s="18"/>
      <c r="E244" s="19"/>
      <c r="F244" s="20"/>
      <c r="G244" s="20"/>
      <c r="H244" s="25" t="str">
        <f t="shared" si="15"/>
        <v/>
      </c>
      <c r="I244" s="39" t="str">
        <f t="shared" si="16"/>
        <v/>
      </c>
      <c r="J244" s="25" t="str">
        <f t="shared" si="17"/>
        <v/>
      </c>
      <c r="K244" s="25" t="str">
        <f>IF(C244="","",IFERROR(INDEX(Catalogue!$K$6:$K$55,MATCH(C244,Catalogue!$B$6:$B$55,0)),""))</f>
        <v/>
      </c>
      <c r="L244" s="25" t="str">
        <f t="shared" si="18"/>
        <v/>
      </c>
      <c r="M244" s="28" t="str">
        <f>IF(OR(E244="",K244=""),"",IF(N(G244)=0,"Pas de vente aujourd’hui",IF(J244&lt;K244*Paramètres!$B$11,"Rentable",IF(J244&lt;=K244,"Juste rentable","Perte"))))</f>
        <v/>
      </c>
      <c r="N244" s="24" t="str">
        <f t="shared" si="19"/>
        <v/>
      </c>
    </row>
    <row r="245" spans="1:14" x14ac:dyDescent="0.25">
      <c r="A245" s="38"/>
      <c r="B245" s="18"/>
      <c r="C245" s="18"/>
      <c r="D245" s="18"/>
      <c r="E245" s="19"/>
      <c r="F245" s="20"/>
      <c r="G245" s="20"/>
      <c r="H245" s="25" t="str">
        <f t="shared" si="15"/>
        <v/>
      </c>
      <c r="I245" s="39" t="str">
        <f t="shared" si="16"/>
        <v/>
      </c>
      <c r="J245" s="25" t="str">
        <f t="shared" si="17"/>
        <v/>
      </c>
      <c r="K245" s="25" t="str">
        <f>IF(C245="","",IFERROR(INDEX(Catalogue!$K$6:$K$55,MATCH(C245,Catalogue!$B$6:$B$55,0)),""))</f>
        <v/>
      </c>
      <c r="L245" s="25" t="str">
        <f t="shared" si="18"/>
        <v/>
      </c>
      <c r="M245" s="28" t="str">
        <f>IF(OR(E245="",K245=""),"",IF(N(G245)=0,"Pas de vente aujourd’hui",IF(J245&lt;K245*Paramètres!$B$11,"Rentable",IF(J245&lt;=K245,"Juste rentable","Perte"))))</f>
        <v/>
      </c>
      <c r="N245" s="24" t="str">
        <f t="shared" si="19"/>
        <v/>
      </c>
    </row>
    <row r="246" spans="1:14" x14ac:dyDescent="0.25">
      <c r="A246" s="38"/>
      <c r="B246" s="18"/>
      <c r="C246" s="18"/>
      <c r="D246" s="18"/>
      <c r="E246" s="19"/>
      <c r="F246" s="20"/>
      <c r="G246" s="20"/>
      <c r="H246" s="25" t="str">
        <f t="shared" si="15"/>
        <v/>
      </c>
      <c r="I246" s="39" t="str">
        <f t="shared" si="16"/>
        <v/>
      </c>
      <c r="J246" s="25" t="str">
        <f t="shared" si="17"/>
        <v/>
      </c>
      <c r="K246" s="25" t="str">
        <f>IF(C246="","",IFERROR(INDEX(Catalogue!$K$6:$K$55,MATCH(C246,Catalogue!$B$6:$B$55,0)),""))</f>
        <v/>
      </c>
      <c r="L246" s="25" t="str">
        <f t="shared" si="18"/>
        <v/>
      </c>
      <c r="M246" s="28" t="str">
        <f>IF(OR(E246="",K246=""),"",IF(N(G246)=0,"Pas de vente aujourd’hui",IF(J246&lt;K246*Paramètres!$B$11,"Rentable",IF(J246&lt;=K246,"Juste rentable","Perte"))))</f>
        <v/>
      </c>
      <c r="N246" s="24" t="str">
        <f t="shared" si="19"/>
        <v/>
      </c>
    </row>
    <row r="247" spans="1:14" x14ac:dyDescent="0.25">
      <c r="A247" s="38"/>
      <c r="B247" s="18"/>
      <c r="C247" s="18"/>
      <c r="D247" s="18"/>
      <c r="E247" s="19"/>
      <c r="F247" s="20"/>
      <c r="G247" s="20"/>
      <c r="H247" s="25" t="str">
        <f t="shared" si="15"/>
        <v/>
      </c>
      <c r="I247" s="39" t="str">
        <f t="shared" si="16"/>
        <v/>
      </c>
      <c r="J247" s="25" t="str">
        <f t="shared" si="17"/>
        <v/>
      </c>
      <c r="K247" s="25" t="str">
        <f>IF(C247="","",IFERROR(INDEX(Catalogue!$K$6:$K$55,MATCH(C247,Catalogue!$B$6:$B$55,0)),""))</f>
        <v/>
      </c>
      <c r="L247" s="25" t="str">
        <f t="shared" si="18"/>
        <v/>
      </c>
      <c r="M247" s="28" t="str">
        <f>IF(OR(E247="",K247=""),"",IF(N(G247)=0,"Pas de vente aujourd’hui",IF(J247&lt;K247*Paramètres!$B$11,"Rentable",IF(J247&lt;=K247,"Juste rentable","Perte"))))</f>
        <v/>
      </c>
      <c r="N247" s="24" t="str">
        <f t="shared" si="19"/>
        <v/>
      </c>
    </row>
    <row r="248" spans="1:14" x14ac:dyDescent="0.25">
      <c r="A248" s="38"/>
      <c r="B248" s="18"/>
      <c r="C248" s="18"/>
      <c r="D248" s="18"/>
      <c r="E248" s="19"/>
      <c r="F248" s="20"/>
      <c r="G248" s="20"/>
      <c r="H248" s="25" t="str">
        <f t="shared" si="15"/>
        <v/>
      </c>
      <c r="I248" s="39" t="str">
        <f t="shared" si="16"/>
        <v/>
      </c>
      <c r="J248" s="25" t="str">
        <f t="shared" si="17"/>
        <v/>
      </c>
      <c r="K248" s="25" t="str">
        <f>IF(C248="","",IFERROR(INDEX(Catalogue!$K$6:$K$55,MATCH(C248,Catalogue!$B$6:$B$55,0)),""))</f>
        <v/>
      </c>
      <c r="L248" s="25" t="str">
        <f t="shared" si="18"/>
        <v/>
      </c>
      <c r="M248" s="28" t="str">
        <f>IF(OR(E248="",K248=""),"",IF(N(G248)=0,"Pas de vente aujourd’hui",IF(J248&lt;K248*Paramètres!$B$11,"Rentable",IF(J248&lt;=K248,"Juste rentable","Perte"))))</f>
        <v/>
      </c>
      <c r="N248" s="24" t="str">
        <f t="shared" si="19"/>
        <v/>
      </c>
    </row>
    <row r="249" spans="1:14" x14ac:dyDescent="0.25">
      <c r="A249" s="38"/>
      <c r="B249" s="18"/>
      <c r="C249" s="18"/>
      <c r="D249" s="18"/>
      <c r="E249" s="19"/>
      <c r="F249" s="20"/>
      <c r="G249" s="20"/>
      <c r="H249" s="25" t="str">
        <f t="shared" si="15"/>
        <v/>
      </c>
      <c r="I249" s="39" t="str">
        <f t="shared" si="16"/>
        <v/>
      </c>
      <c r="J249" s="25" t="str">
        <f t="shared" si="17"/>
        <v/>
      </c>
      <c r="K249" s="25" t="str">
        <f>IF(C249="","",IFERROR(INDEX(Catalogue!$K$6:$K$55,MATCH(C249,Catalogue!$B$6:$B$55,0)),""))</f>
        <v/>
      </c>
      <c r="L249" s="25" t="str">
        <f t="shared" si="18"/>
        <v/>
      </c>
      <c r="M249" s="28" t="str">
        <f>IF(OR(E249="",K249=""),"",IF(N(G249)=0,"Pas de vente aujourd’hui",IF(J249&lt;K249*Paramètres!$B$11,"Rentable",IF(J249&lt;=K249,"Juste rentable","Perte"))))</f>
        <v/>
      </c>
      <c r="N249" s="24" t="str">
        <f t="shared" si="19"/>
        <v/>
      </c>
    </row>
    <row r="250" spans="1:14" x14ac:dyDescent="0.25">
      <c r="A250" s="38"/>
      <c r="B250" s="18"/>
      <c r="C250" s="18"/>
      <c r="D250" s="18"/>
      <c r="E250" s="19"/>
      <c r="F250" s="20"/>
      <c r="G250" s="20"/>
      <c r="H250" s="25" t="str">
        <f t="shared" si="15"/>
        <v/>
      </c>
      <c r="I250" s="39" t="str">
        <f t="shared" si="16"/>
        <v/>
      </c>
      <c r="J250" s="25" t="str">
        <f t="shared" si="17"/>
        <v/>
      </c>
      <c r="K250" s="25" t="str">
        <f>IF(C250="","",IFERROR(INDEX(Catalogue!$K$6:$K$55,MATCH(C250,Catalogue!$B$6:$B$55,0)),""))</f>
        <v/>
      </c>
      <c r="L250" s="25" t="str">
        <f t="shared" si="18"/>
        <v/>
      </c>
      <c r="M250" s="28" t="str">
        <f>IF(OR(E250="",K250=""),"",IF(N(G250)=0,"Pas de vente aujourd’hui",IF(J250&lt;K250*Paramètres!$B$11,"Rentable",IF(J250&lt;=K250,"Juste rentable","Perte"))))</f>
        <v/>
      </c>
      <c r="N250" s="24" t="str">
        <f t="shared" si="19"/>
        <v/>
      </c>
    </row>
    <row r="251" spans="1:14" x14ac:dyDescent="0.25">
      <c r="A251" s="38"/>
      <c r="B251" s="18"/>
      <c r="C251" s="18"/>
      <c r="D251" s="18"/>
      <c r="E251" s="19"/>
      <c r="F251" s="20"/>
      <c r="G251" s="20"/>
      <c r="H251" s="25" t="str">
        <f t="shared" si="15"/>
        <v/>
      </c>
      <c r="I251" s="39" t="str">
        <f t="shared" si="16"/>
        <v/>
      </c>
      <c r="J251" s="25" t="str">
        <f t="shared" si="17"/>
        <v/>
      </c>
      <c r="K251" s="25" t="str">
        <f>IF(C251="","",IFERROR(INDEX(Catalogue!$K$6:$K$55,MATCH(C251,Catalogue!$B$6:$B$55,0)),""))</f>
        <v/>
      </c>
      <c r="L251" s="25" t="str">
        <f t="shared" si="18"/>
        <v/>
      </c>
      <c r="M251" s="28" t="str">
        <f>IF(OR(E251="",K251=""),"",IF(N(G251)=0,"Pas de vente aujourd’hui",IF(J251&lt;K251*Paramètres!$B$11,"Rentable",IF(J251&lt;=K251,"Juste rentable","Perte"))))</f>
        <v/>
      </c>
      <c r="N251" s="24" t="str">
        <f t="shared" si="19"/>
        <v/>
      </c>
    </row>
    <row r="252" spans="1:14" x14ac:dyDescent="0.25">
      <c r="A252" s="38"/>
      <c r="B252" s="18"/>
      <c r="C252" s="18"/>
      <c r="D252" s="18"/>
      <c r="E252" s="19"/>
      <c r="F252" s="20"/>
      <c r="G252" s="20"/>
      <c r="H252" s="25" t="str">
        <f t="shared" si="15"/>
        <v/>
      </c>
      <c r="I252" s="39" t="str">
        <f t="shared" si="16"/>
        <v/>
      </c>
      <c r="J252" s="25" t="str">
        <f t="shared" si="17"/>
        <v/>
      </c>
      <c r="K252" s="25" t="str">
        <f>IF(C252="","",IFERROR(INDEX(Catalogue!$K$6:$K$55,MATCH(C252,Catalogue!$B$6:$B$55,0)),""))</f>
        <v/>
      </c>
      <c r="L252" s="25" t="str">
        <f t="shared" si="18"/>
        <v/>
      </c>
      <c r="M252" s="28" t="str">
        <f>IF(OR(E252="",K252=""),"",IF(N(G252)=0,"Pas de vente aujourd’hui",IF(J252&lt;K252*Paramètres!$B$11,"Rentable",IF(J252&lt;=K252,"Juste rentable","Perte"))))</f>
        <v/>
      </c>
      <c r="N252" s="24" t="str">
        <f t="shared" si="19"/>
        <v/>
      </c>
    </row>
    <row r="253" spans="1:14" x14ac:dyDescent="0.25">
      <c r="A253" s="38"/>
      <c r="B253" s="18"/>
      <c r="C253" s="18"/>
      <c r="D253" s="18"/>
      <c r="E253" s="19"/>
      <c r="F253" s="20"/>
      <c r="G253" s="20"/>
      <c r="H253" s="25" t="str">
        <f t="shared" si="15"/>
        <v/>
      </c>
      <c r="I253" s="39" t="str">
        <f t="shared" si="16"/>
        <v/>
      </c>
      <c r="J253" s="25" t="str">
        <f t="shared" si="17"/>
        <v/>
      </c>
      <c r="K253" s="25" t="str">
        <f>IF(C253="","",IFERROR(INDEX(Catalogue!$K$6:$K$55,MATCH(C253,Catalogue!$B$6:$B$55,0)),""))</f>
        <v/>
      </c>
      <c r="L253" s="25" t="str">
        <f t="shared" si="18"/>
        <v/>
      </c>
      <c r="M253" s="28" t="str">
        <f>IF(OR(E253="",K253=""),"",IF(N(G253)=0,"Pas de vente aujourd’hui",IF(J253&lt;K253*Paramètres!$B$11,"Rentable",IF(J253&lt;=K253,"Juste rentable","Perte"))))</f>
        <v/>
      </c>
      <c r="N253" s="24" t="str">
        <f t="shared" si="19"/>
        <v/>
      </c>
    </row>
    <row r="254" spans="1:14" x14ac:dyDescent="0.25">
      <c r="A254" s="38"/>
      <c r="B254" s="18"/>
      <c r="C254" s="18"/>
      <c r="D254" s="18"/>
      <c r="E254" s="19"/>
      <c r="F254" s="20"/>
      <c r="G254" s="20"/>
      <c r="H254" s="25" t="str">
        <f t="shared" si="15"/>
        <v/>
      </c>
      <c r="I254" s="39" t="str">
        <f t="shared" si="16"/>
        <v/>
      </c>
      <c r="J254" s="25" t="str">
        <f t="shared" si="17"/>
        <v/>
      </c>
      <c r="K254" s="25" t="str">
        <f>IF(C254="","",IFERROR(INDEX(Catalogue!$K$6:$K$55,MATCH(C254,Catalogue!$B$6:$B$55,0)),""))</f>
        <v/>
      </c>
      <c r="L254" s="25" t="str">
        <f t="shared" si="18"/>
        <v/>
      </c>
      <c r="M254" s="28" t="str">
        <f>IF(OR(E254="",K254=""),"",IF(N(G254)=0,"Pas de vente aujourd’hui",IF(J254&lt;K254*Paramètres!$B$11,"Rentable",IF(J254&lt;=K254,"Juste rentable","Perte"))))</f>
        <v/>
      </c>
      <c r="N254" s="24" t="str">
        <f t="shared" si="19"/>
        <v/>
      </c>
    </row>
    <row r="255" spans="1:14" x14ac:dyDescent="0.25">
      <c r="A255" s="38"/>
      <c r="B255" s="18"/>
      <c r="C255" s="18"/>
      <c r="D255" s="18"/>
      <c r="E255" s="19"/>
      <c r="F255" s="20"/>
      <c r="G255" s="20"/>
      <c r="H255" s="25" t="str">
        <f t="shared" si="15"/>
        <v/>
      </c>
      <c r="I255" s="39" t="str">
        <f t="shared" si="16"/>
        <v/>
      </c>
      <c r="J255" s="25" t="str">
        <f t="shared" si="17"/>
        <v/>
      </c>
      <c r="K255" s="25" t="str">
        <f>IF(C255="","",IFERROR(INDEX(Catalogue!$K$6:$K$55,MATCH(C255,Catalogue!$B$6:$B$55,0)),""))</f>
        <v/>
      </c>
      <c r="L255" s="25" t="str">
        <f t="shared" si="18"/>
        <v/>
      </c>
      <c r="M255" s="28" t="str">
        <f>IF(OR(E255="",K255=""),"",IF(N(G255)=0,"Pas de vente aujourd’hui",IF(J255&lt;K255*Paramètres!$B$11,"Rentable",IF(J255&lt;=K255,"Juste rentable","Perte"))))</f>
        <v/>
      </c>
      <c r="N255" s="24" t="str">
        <f t="shared" si="19"/>
        <v/>
      </c>
    </row>
    <row r="256" spans="1:14" x14ac:dyDescent="0.25">
      <c r="A256" s="38"/>
      <c r="B256" s="18"/>
      <c r="C256" s="18"/>
      <c r="D256" s="18"/>
      <c r="E256" s="19"/>
      <c r="F256" s="20"/>
      <c r="G256" s="20"/>
      <c r="H256" s="25" t="str">
        <f t="shared" si="15"/>
        <v/>
      </c>
      <c r="I256" s="39" t="str">
        <f t="shared" si="16"/>
        <v/>
      </c>
      <c r="J256" s="25" t="str">
        <f t="shared" si="17"/>
        <v/>
      </c>
      <c r="K256" s="25" t="str">
        <f>IF(C256="","",IFERROR(INDEX(Catalogue!$K$6:$K$55,MATCH(C256,Catalogue!$B$6:$B$55,0)),""))</f>
        <v/>
      </c>
      <c r="L256" s="25" t="str">
        <f t="shared" si="18"/>
        <v/>
      </c>
      <c r="M256" s="28" t="str">
        <f>IF(OR(E256="",K256=""),"",IF(N(G256)=0,"Pas de vente aujourd’hui",IF(J256&lt;K256*Paramètres!$B$11,"Rentable",IF(J256&lt;=K256,"Juste rentable","Perte"))))</f>
        <v/>
      </c>
      <c r="N256" s="24" t="str">
        <f t="shared" si="19"/>
        <v/>
      </c>
    </row>
    <row r="257" spans="1:14" x14ac:dyDescent="0.25">
      <c r="A257" s="38"/>
      <c r="B257" s="18"/>
      <c r="C257" s="18"/>
      <c r="D257" s="18"/>
      <c r="E257" s="19"/>
      <c r="F257" s="20"/>
      <c r="G257" s="20"/>
      <c r="H257" s="25" t="str">
        <f t="shared" si="15"/>
        <v/>
      </c>
      <c r="I257" s="39" t="str">
        <f t="shared" si="16"/>
        <v/>
      </c>
      <c r="J257" s="25" t="str">
        <f t="shared" si="17"/>
        <v/>
      </c>
      <c r="K257" s="25" t="str">
        <f>IF(C257="","",IFERROR(INDEX(Catalogue!$K$6:$K$55,MATCH(C257,Catalogue!$B$6:$B$55,0)),""))</f>
        <v/>
      </c>
      <c r="L257" s="25" t="str">
        <f t="shared" si="18"/>
        <v/>
      </c>
      <c r="M257" s="28" t="str">
        <f>IF(OR(E257="",K257=""),"",IF(N(G257)=0,"Pas de vente aujourd’hui",IF(J257&lt;K257*Paramètres!$B$11,"Rentable",IF(J257&lt;=K257,"Juste rentable","Perte"))))</f>
        <v/>
      </c>
      <c r="N257" s="24" t="str">
        <f t="shared" si="19"/>
        <v/>
      </c>
    </row>
    <row r="258" spans="1:14" x14ac:dyDescent="0.25">
      <c r="A258" s="38"/>
      <c r="B258" s="18"/>
      <c r="C258" s="18"/>
      <c r="D258" s="18"/>
      <c r="E258" s="19"/>
      <c r="F258" s="20"/>
      <c r="G258" s="20"/>
      <c r="H258" s="25" t="str">
        <f t="shared" si="15"/>
        <v/>
      </c>
      <c r="I258" s="39" t="str">
        <f t="shared" si="16"/>
        <v/>
      </c>
      <c r="J258" s="25" t="str">
        <f t="shared" si="17"/>
        <v/>
      </c>
      <c r="K258" s="25" t="str">
        <f>IF(C258="","",IFERROR(INDEX(Catalogue!$K$6:$K$55,MATCH(C258,Catalogue!$B$6:$B$55,0)),""))</f>
        <v/>
      </c>
      <c r="L258" s="25" t="str">
        <f t="shared" si="18"/>
        <v/>
      </c>
      <c r="M258" s="28" t="str">
        <f>IF(OR(E258="",K258=""),"",IF(N(G258)=0,"Pas de vente aujourd’hui",IF(J258&lt;K258*Paramètres!$B$11,"Rentable",IF(J258&lt;=K258,"Juste rentable","Perte"))))</f>
        <v/>
      </c>
      <c r="N258" s="24" t="str">
        <f t="shared" si="19"/>
        <v/>
      </c>
    </row>
    <row r="259" spans="1:14" x14ac:dyDescent="0.25">
      <c r="A259" s="38"/>
      <c r="B259" s="18"/>
      <c r="C259" s="18"/>
      <c r="D259" s="18"/>
      <c r="E259" s="19"/>
      <c r="F259" s="20"/>
      <c r="G259" s="20"/>
      <c r="H259" s="25" t="str">
        <f t="shared" si="15"/>
        <v/>
      </c>
      <c r="I259" s="39" t="str">
        <f t="shared" si="16"/>
        <v/>
      </c>
      <c r="J259" s="25" t="str">
        <f t="shared" si="17"/>
        <v/>
      </c>
      <c r="K259" s="25" t="str">
        <f>IF(C259="","",IFERROR(INDEX(Catalogue!$K$6:$K$55,MATCH(C259,Catalogue!$B$6:$B$55,0)),""))</f>
        <v/>
      </c>
      <c r="L259" s="25" t="str">
        <f t="shared" si="18"/>
        <v/>
      </c>
      <c r="M259" s="28" t="str">
        <f>IF(OR(E259="",K259=""),"",IF(N(G259)=0,"Pas de vente aujourd’hui",IF(J259&lt;K259*Paramètres!$B$11,"Rentable",IF(J259&lt;=K259,"Juste rentable","Perte"))))</f>
        <v/>
      </c>
      <c r="N259" s="24" t="str">
        <f t="shared" si="19"/>
        <v/>
      </c>
    </row>
    <row r="260" spans="1:14" x14ac:dyDescent="0.25">
      <c r="A260" s="38"/>
      <c r="B260" s="18"/>
      <c r="C260" s="18"/>
      <c r="D260" s="18"/>
      <c r="E260" s="19"/>
      <c r="F260" s="20"/>
      <c r="G260" s="20"/>
      <c r="H260" s="25" t="str">
        <f t="shared" si="15"/>
        <v/>
      </c>
      <c r="I260" s="39" t="str">
        <f t="shared" si="16"/>
        <v/>
      </c>
      <c r="J260" s="25" t="str">
        <f t="shared" si="17"/>
        <v/>
      </c>
      <c r="K260" s="25" t="str">
        <f>IF(C260="","",IFERROR(INDEX(Catalogue!$K$6:$K$55,MATCH(C260,Catalogue!$B$6:$B$55,0)),""))</f>
        <v/>
      </c>
      <c r="L260" s="25" t="str">
        <f t="shared" si="18"/>
        <v/>
      </c>
      <c r="M260" s="28" t="str">
        <f>IF(OR(E260="",K260=""),"",IF(N(G260)=0,"Pas de vente aujourd’hui",IF(J260&lt;K260*Paramètres!$B$11,"Rentable",IF(J260&lt;=K260,"Juste rentable","Perte"))))</f>
        <v/>
      </c>
      <c r="N260" s="24" t="str">
        <f t="shared" si="19"/>
        <v/>
      </c>
    </row>
    <row r="261" spans="1:14" x14ac:dyDescent="0.25">
      <c r="A261" s="38"/>
      <c r="B261" s="18"/>
      <c r="C261" s="18"/>
      <c r="D261" s="18"/>
      <c r="E261" s="19"/>
      <c r="F261" s="20"/>
      <c r="G261" s="20"/>
      <c r="H261" s="25" t="str">
        <f t="shared" si="15"/>
        <v/>
      </c>
      <c r="I261" s="39" t="str">
        <f t="shared" si="16"/>
        <v/>
      </c>
      <c r="J261" s="25" t="str">
        <f t="shared" si="17"/>
        <v/>
      </c>
      <c r="K261" s="25" t="str">
        <f>IF(C261="","",IFERROR(INDEX(Catalogue!$K$6:$K$55,MATCH(C261,Catalogue!$B$6:$B$55,0)),""))</f>
        <v/>
      </c>
      <c r="L261" s="25" t="str">
        <f t="shared" si="18"/>
        <v/>
      </c>
      <c r="M261" s="28" t="str">
        <f>IF(OR(E261="",K261=""),"",IF(N(G261)=0,"Pas de vente aujourd’hui",IF(J261&lt;K261*Paramètres!$B$11,"Rentable",IF(J261&lt;=K261,"Juste rentable","Perte"))))</f>
        <v/>
      </c>
      <c r="N261" s="24" t="str">
        <f t="shared" si="19"/>
        <v/>
      </c>
    </row>
    <row r="262" spans="1:14" x14ac:dyDescent="0.25">
      <c r="A262" s="38"/>
      <c r="B262" s="18"/>
      <c r="C262" s="18"/>
      <c r="D262" s="18"/>
      <c r="E262" s="19"/>
      <c r="F262" s="20"/>
      <c r="G262" s="20"/>
      <c r="H262" s="25" t="str">
        <f t="shared" ref="H262:H325" si="20">IF(N(F262)&gt;0,E262/F262,"")</f>
        <v/>
      </c>
      <c r="I262" s="39" t="str">
        <f t="shared" ref="I262:I325" si="21">IF(N(F262)&gt;0,G262/F262,"")</f>
        <v/>
      </c>
      <c r="J262" s="25" t="str">
        <f t="shared" ref="J262:J325" si="22">IF(N(G262)&gt;0,E262/G262,"")</f>
        <v/>
      </c>
      <c r="K262" s="25" t="str">
        <f>IF(C262="","",IFERROR(INDEX(Catalogue!$K$6:$K$55,MATCH(C262,Catalogue!$B$6:$B$55,0)),""))</f>
        <v/>
      </c>
      <c r="L262" s="25" t="str">
        <f t="shared" ref="L262:L325" si="23">IF(OR(E262="",K262=""),"",N(G262)*K262-E262)</f>
        <v/>
      </c>
      <c r="M262" s="28" t="str">
        <f>IF(OR(E262="",K262=""),"",IF(N(G262)=0,"Pas de vente aujourd’hui",IF(J262&lt;K262*Paramètres!$B$11,"Rentable",IF(J262&lt;=K262,"Juste rentable","Perte"))))</f>
        <v/>
      </c>
      <c r="N262" s="24" t="str">
        <f t="shared" ref="N262:N325" si="24">IF(A262="","",DATE(YEAR(A262),MONTH(A262),1))</f>
        <v/>
      </c>
    </row>
    <row r="263" spans="1:14" x14ac:dyDescent="0.25">
      <c r="A263" s="38"/>
      <c r="B263" s="18"/>
      <c r="C263" s="18"/>
      <c r="D263" s="18"/>
      <c r="E263" s="19"/>
      <c r="F263" s="20"/>
      <c r="G263" s="20"/>
      <c r="H263" s="25" t="str">
        <f t="shared" si="20"/>
        <v/>
      </c>
      <c r="I263" s="39" t="str">
        <f t="shared" si="21"/>
        <v/>
      </c>
      <c r="J263" s="25" t="str">
        <f t="shared" si="22"/>
        <v/>
      </c>
      <c r="K263" s="25" t="str">
        <f>IF(C263="","",IFERROR(INDEX(Catalogue!$K$6:$K$55,MATCH(C263,Catalogue!$B$6:$B$55,0)),""))</f>
        <v/>
      </c>
      <c r="L263" s="25" t="str">
        <f t="shared" si="23"/>
        <v/>
      </c>
      <c r="M263" s="28" t="str">
        <f>IF(OR(E263="",K263=""),"",IF(N(G263)=0,"Pas de vente aujourd’hui",IF(J263&lt;K263*Paramètres!$B$11,"Rentable",IF(J263&lt;=K263,"Juste rentable","Perte"))))</f>
        <v/>
      </c>
      <c r="N263" s="24" t="str">
        <f t="shared" si="24"/>
        <v/>
      </c>
    </row>
    <row r="264" spans="1:14" x14ac:dyDescent="0.25">
      <c r="A264" s="38"/>
      <c r="B264" s="18"/>
      <c r="C264" s="18"/>
      <c r="D264" s="18"/>
      <c r="E264" s="19"/>
      <c r="F264" s="20"/>
      <c r="G264" s="20"/>
      <c r="H264" s="25" t="str">
        <f t="shared" si="20"/>
        <v/>
      </c>
      <c r="I264" s="39" t="str">
        <f t="shared" si="21"/>
        <v/>
      </c>
      <c r="J264" s="25" t="str">
        <f t="shared" si="22"/>
        <v/>
      </c>
      <c r="K264" s="25" t="str">
        <f>IF(C264="","",IFERROR(INDEX(Catalogue!$K$6:$K$55,MATCH(C264,Catalogue!$B$6:$B$55,0)),""))</f>
        <v/>
      </c>
      <c r="L264" s="25" t="str">
        <f t="shared" si="23"/>
        <v/>
      </c>
      <c r="M264" s="28" t="str">
        <f>IF(OR(E264="",K264=""),"",IF(N(G264)=0,"Pas de vente aujourd’hui",IF(J264&lt;K264*Paramètres!$B$11,"Rentable",IF(J264&lt;=K264,"Juste rentable","Perte"))))</f>
        <v/>
      </c>
      <c r="N264" s="24" t="str">
        <f t="shared" si="24"/>
        <v/>
      </c>
    </row>
    <row r="265" spans="1:14" x14ac:dyDescent="0.25">
      <c r="A265" s="38"/>
      <c r="B265" s="18"/>
      <c r="C265" s="18"/>
      <c r="D265" s="18"/>
      <c r="E265" s="19"/>
      <c r="F265" s="20"/>
      <c r="G265" s="20"/>
      <c r="H265" s="25" t="str">
        <f t="shared" si="20"/>
        <v/>
      </c>
      <c r="I265" s="39" t="str">
        <f t="shared" si="21"/>
        <v/>
      </c>
      <c r="J265" s="25" t="str">
        <f t="shared" si="22"/>
        <v/>
      </c>
      <c r="K265" s="25" t="str">
        <f>IF(C265="","",IFERROR(INDEX(Catalogue!$K$6:$K$55,MATCH(C265,Catalogue!$B$6:$B$55,0)),""))</f>
        <v/>
      </c>
      <c r="L265" s="25" t="str">
        <f t="shared" si="23"/>
        <v/>
      </c>
      <c r="M265" s="28" t="str">
        <f>IF(OR(E265="",K265=""),"",IF(N(G265)=0,"Pas de vente aujourd’hui",IF(J265&lt;K265*Paramètres!$B$11,"Rentable",IF(J265&lt;=K265,"Juste rentable","Perte"))))</f>
        <v/>
      </c>
      <c r="N265" s="24" t="str">
        <f t="shared" si="24"/>
        <v/>
      </c>
    </row>
    <row r="266" spans="1:14" x14ac:dyDescent="0.25">
      <c r="A266" s="38"/>
      <c r="B266" s="18"/>
      <c r="C266" s="18"/>
      <c r="D266" s="18"/>
      <c r="E266" s="19"/>
      <c r="F266" s="20"/>
      <c r="G266" s="20"/>
      <c r="H266" s="25" t="str">
        <f t="shared" si="20"/>
        <v/>
      </c>
      <c r="I266" s="39" t="str">
        <f t="shared" si="21"/>
        <v/>
      </c>
      <c r="J266" s="25" t="str">
        <f t="shared" si="22"/>
        <v/>
      </c>
      <c r="K266" s="25" t="str">
        <f>IF(C266="","",IFERROR(INDEX(Catalogue!$K$6:$K$55,MATCH(C266,Catalogue!$B$6:$B$55,0)),""))</f>
        <v/>
      </c>
      <c r="L266" s="25" t="str">
        <f t="shared" si="23"/>
        <v/>
      </c>
      <c r="M266" s="28" t="str">
        <f>IF(OR(E266="",K266=""),"",IF(N(G266)=0,"Pas de vente aujourd’hui",IF(J266&lt;K266*Paramètres!$B$11,"Rentable",IF(J266&lt;=K266,"Juste rentable","Perte"))))</f>
        <v/>
      </c>
      <c r="N266" s="24" t="str">
        <f t="shared" si="24"/>
        <v/>
      </c>
    </row>
    <row r="267" spans="1:14" x14ac:dyDescent="0.25">
      <c r="A267" s="38"/>
      <c r="B267" s="18"/>
      <c r="C267" s="18"/>
      <c r="D267" s="18"/>
      <c r="E267" s="19"/>
      <c r="F267" s="20"/>
      <c r="G267" s="20"/>
      <c r="H267" s="25" t="str">
        <f t="shared" si="20"/>
        <v/>
      </c>
      <c r="I267" s="39" t="str">
        <f t="shared" si="21"/>
        <v/>
      </c>
      <c r="J267" s="25" t="str">
        <f t="shared" si="22"/>
        <v/>
      </c>
      <c r="K267" s="25" t="str">
        <f>IF(C267="","",IFERROR(INDEX(Catalogue!$K$6:$K$55,MATCH(C267,Catalogue!$B$6:$B$55,0)),""))</f>
        <v/>
      </c>
      <c r="L267" s="25" t="str">
        <f t="shared" si="23"/>
        <v/>
      </c>
      <c r="M267" s="28" t="str">
        <f>IF(OR(E267="",K267=""),"",IF(N(G267)=0,"Pas de vente aujourd’hui",IF(J267&lt;K267*Paramètres!$B$11,"Rentable",IF(J267&lt;=K267,"Juste rentable","Perte"))))</f>
        <v/>
      </c>
      <c r="N267" s="24" t="str">
        <f t="shared" si="24"/>
        <v/>
      </c>
    </row>
    <row r="268" spans="1:14" x14ac:dyDescent="0.25">
      <c r="A268" s="38"/>
      <c r="B268" s="18"/>
      <c r="C268" s="18"/>
      <c r="D268" s="18"/>
      <c r="E268" s="19"/>
      <c r="F268" s="20"/>
      <c r="G268" s="20"/>
      <c r="H268" s="25" t="str">
        <f t="shared" si="20"/>
        <v/>
      </c>
      <c r="I268" s="39" t="str">
        <f t="shared" si="21"/>
        <v/>
      </c>
      <c r="J268" s="25" t="str">
        <f t="shared" si="22"/>
        <v/>
      </c>
      <c r="K268" s="25" t="str">
        <f>IF(C268="","",IFERROR(INDEX(Catalogue!$K$6:$K$55,MATCH(C268,Catalogue!$B$6:$B$55,0)),""))</f>
        <v/>
      </c>
      <c r="L268" s="25" t="str">
        <f t="shared" si="23"/>
        <v/>
      </c>
      <c r="M268" s="28" t="str">
        <f>IF(OR(E268="",K268=""),"",IF(N(G268)=0,"Pas de vente aujourd’hui",IF(J268&lt;K268*Paramètres!$B$11,"Rentable",IF(J268&lt;=K268,"Juste rentable","Perte"))))</f>
        <v/>
      </c>
      <c r="N268" s="24" t="str">
        <f t="shared" si="24"/>
        <v/>
      </c>
    </row>
    <row r="269" spans="1:14" x14ac:dyDescent="0.25">
      <c r="A269" s="38"/>
      <c r="B269" s="18"/>
      <c r="C269" s="18"/>
      <c r="D269" s="18"/>
      <c r="E269" s="19"/>
      <c r="F269" s="20"/>
      <c r="G269" s="20"/>
      <c r="H269" s="25" t="str">
        <f t="shared" si="20"/>
        <v/>
      </c>
      <c r="I269" s="39" t="str">
        <f t="shared" si="21"/>
        <v/>
      </c>
      <c r="J269" s="25" t="str">
        <f t="shared" si="22"/>
        <v/>
      </c>
      <c r="K269" s="25" t="str">
        <f>IF(C269="","",IFERROR(INDEX(Catalogue!$K$6:$K$55,MATCH(C269,Catalogue!$B$6:$B$55,0)),""))</f>
        <v/>
      </c>
      <c r="L269" s="25" t="str">
        <f t="shared" si="23"/>
        <v/>
      </c>
      <c r="M269" s="28" t="str">
        <f>IF(OR(E269="",K269=""),"",IF(N(G269)=0,"Pas de vente aujourd’hui",IF(J269&lt;K269*Paramètres!$B$11,"Rentable",IF(J269&lt;=K269,"Juste rentable","Perte"))))</f>
        <v/>
      </c>
      <c r="N269" s="24" t="str">
        <f t="shared" si="24"/>
        <v/>
      </c>
    </row>
    <row r="270" spans="1:14" x14ac:dyDescent="0.25">
      <c r="A270" s="38"/>
      <c r="B270" s="18"/>
      <c r="C270" s="18"/>
      <c r="D270" s="18"/>
      <c r="E270" s="19"/>
      <c r="F270" s="20"/>
      <c r="G270" s="20"/>
      <c r="H270" s="25" t="str">
        <f t="shared" si="20"/>
        <v/>
      </c>
      <c r="I270" s="39" t="str">
        <f t="shared" si="21"/>
        <v/>
      </c>
      <c r="J270" s="25" t="str">
        <f t="shared" si="22"/>
        <v/>
      </c>
      <c r="K270" s="25" t="str">
        <f>IF(C270="","",IFERROR(INDEX(Catalogue!$K$6:$K$55,MATCH(C270,Catalogue!$B$6:$B$55,0)),""))</f>
        <v/>
      </c>
      <c r="L270" s="25" t="str">
        <f t="shared" si="23"/>
        <v/>
      </c>
      <c r="M270" s="28" t="str">
        <f>IF(OR(E270="",K270=""),"",IF(N(G270)=0,"Pas de vente aujourd’hui",IF(J270&lt;K270*Paramètres!$B$11,"Rentable",IF(J270&lt;=K270,"Juste rentable","Perte"))))</f>
        <v/>
      </c>
      <c r="N270" s="24" t="str">
        <f t="shared" si="24"/>
        <v/>
      </c>
    </row>
    <row r="271" spans="1:14" x14ac:dyDescent="0.25">
      <c r="A271" s="38"/>
      <c r="B271" s="18"/>
      <c r="C271" s="18"/>
      <c r="D271" s="18"/>
      <c r="E271" s="19"/>
      <c r="F271" s="20"/>
      <c r="G271" s="20"/>
      <c r="H271" s="25" t="str">
        <f t="shared" si="20"/>
        <v/>
      </c>
      <c r="I271" s="39" t="str">
        <f t="shared" si="21"/>
        <v/>
      </c>
      <c r="J271" s="25" t="str">
        <f t="shared" si="22"/>
        <v/>
      </c>
      <c r="K271" s="25" t="str">
        <f>IF(C271="","",IFERROR(INDEX(Catalogue!$K$6:$K$55,MATCH(C271,Catalogue!$B$6:$B$55,0)),""))</f>
        <v/>
      </c>
      <c r="L271" s="25" t="str">
        <f t="shared" si="23"/>
        <v/>
      </c>
      <c r="M271" s="28" t="str">
        <f>IF(OR(E271="",K271=""),"",IF(N(G271)=0,"Pas de vente aujourd’hui",IF(J271&lt;K271*Paramètres!$B$11,"Rentable",IF(J271&lt;=K271,"Juste rentable","Perte"))))</f>
        <v/>
      </c>
      <c r="N271" s="24" t="str">
        <f t="shared" si="24"/>
        <v/>
      </c>
    </row>
    <row r="272" spans="1:14" x14ac:dyDescent="0.25">
      <c r="A272" s="38"/>
      <c r="B272" s="18"/>
      <c r="C272" s="18"/>
      <c r="D272" s="18"/>
      <c r="E272" s="19"/>
      <c r="F272" s="20"/>
      <c r="G272" s="20"/>
      <c r="H272" s="25" t="str">
        <f t="shared" si="20"/>
        <v/>
      </c>
      <c r="I272" s="39" t="str">
        <f t="shared" si="21"/>
        <v/>
      </c>
      <c r="J272" s="25" t="str">
        <f t="shared" si="22"/>
        <v/>
      </c>
      <c r="K272" s="25" t="str">
        <f>IF(C272="","",IFERROR(INDEX(Catalogue!$K$6:$K$55,MATCH(C272,Catalogue!$B$6:$B$55,0)),""))</f>
        <v/>
      </c>
      <c r="L272" s="25" t="str">
        <f t="shared" si="23"/>
        <v/>
      </c>
      <c r="M272" s="28" t="str">
        <f>IF(OR(E272="",K272=""),"",IF(N(G272)=0,"Pas de vente aujourd’hui",IF(J272&lt;K272*Paramètres!$B$11,"Rentable",IF(J272&lt;=K272,"Juste rentable","Perte"))))</f>
        <v/>
      </c>
      <c r="N272" s="24" t="str">
        <f t="shared" si="24"/>
        <v/>
      </c>
    </row>
    <row r="273" spans="1:14" x14ac:dyDescent="0.25">
      <c r="A273" s="38"/>
      <c r="B273" s="18"/>
      <c r="C273" s="18"/>
      <c r="D273" s="18"/>
      <c r="E273" s="19"/>
      <c r="F273" s="20"/>
      <c r="G273" s="20"/>
      <c r="H273" s="25" t="str">
        <f t="shared" si="20"/>
        <v/>
      </c>
      <c r="I273" s="39" t="str">
        <f t="shared" si="21"/>
        <v/>
      </c>
      <c r="J273" s="25" t="str">
        <f t="shared" si="22"/>
        <v/>
      </c>
      <c r="K273" s="25" t="str">
        <f>IF(C273="","",IFERROR(INDEX(Catalogue!$K$6:$K$55,MATCH(C273,Catalogue!$B$6:$B$55,0)),""))</f>
        <v/>
      </c>
      <c r="L273" s="25" t="str">
        <f t="shared" si="23"/>
        <v/>
      </c>
      <c r="M273" s="28" t="str">
        <f>IF(OR(E273="",K273=""),"",IF(N(G273)=0,"Pas de vente aujourd’hui",IF(J273&lt;K273*Paramètres!$B$11,"Rentable",IF(J273&lt;=K273,"Juste rentable","Perte"))))</f>
        <v/>
      </c>
      <c r="N273" s="24" t="str">
        <f t="shared" si="24"/>
        <v/>
      </c>
    </row>
    <row r="274" spans="1:14" x14ac:dyDescent="0.25">
      <c r="A274" s="38"/>
      <c r="B274" s="18"/>
      <c r="C274" s="18"/>
      <c r="D274" s="18"/>
      <c r="E274" s="19"/>
      <c r="F274" s="20"/>
      <c r="G274" s="20"/>
      <c r="H274" s="25" t="str">
        <f t="shared" si="20"/>
        <v/>
      </c>
      <c r="I274" s="39" t="str">
        <f t="shared" si="21"/>
        <v/>
      </c>
      <c r="J274" s="25" t="str">
        <f t="shared" si="22"/>
        <v/>
      </c>
      <c r="K274" s="25" t="str">
        <f>IF(C274="","",IFERROR(INDEX(Catalogue!$K$6:$K$55,MATCH(C274,Catalogue!$B$6:$B$55,0)),""))</f>
        <v/>
      </c>
      <c r="L274" s="25" t="str">
        <f t="shared" si="23"/>
        <v/>
      </c>
      <c r="M274" s="28" t="str">
        <f>IF(OR(E274="",K274=""),"",IF(N(G274)=0,"Pas de vente aujourd’hui",IF(J274&lt;K274*Paramètres!$B$11,"Rentable",IF(J274&lt;=K274,"Juste rentable","Perte"))))</f>
        <v/>
      </c>
      <c r="N274" s="24" t="str">
        <f t="shared" si="24"/>
        <v/>
      </c>
    </row>
    <row r="275" spans="1:14" x14ac:dyDescent="0.25">
      <c r="A275" s="38"/>
      <c r="B275" s="18"/>
      <c r="C275" s="18"/>
      <c r="D275" s="18"/>
      <c r="E275" s="19"/>
      <c r="F275" s="20"/>
      <c r="G275" s="20"/>
      <c r="H275" s="25" t="str">
        <f t="shared" si="20"/>
        <v/>
      </c>
      <c r="I275" s="39" t="str">
        <f t="shared" si="21"/>
        <v/>
      </c>
      <c r="J275" s="25" t="str">
        <f t="shared" si="22"/>
        <v/>
      </c>
      <c r="K275" s="25" t="str">
        <f>IF(C275="","",IFERROR(INDEX(Catalogue!$K$6:$K$55,MATCH(C275,Catalogue!$B$6:$B$55,0)),""))</f>
        <v/>
      </c>
      <c r="L275" s="25" t="str">
        <f t="shared" si="23"/>
        <v/>
      </c>
      <c r="M275" s="28" t="str">
        <f>IF(OR(E275="",K275=""),"",IF(N(G275)=0,"Pas de vente aujourd’hui",IF(J275&lt;K275*Paramètres!$B$11,"Rentable",IF(J275&lt;=K275,"Juste rentable","Perte"))))</f>
        <v/>
      </c>
      <c r="N275" s="24" t="str">
        <f t="shared" si="24"/>
        <v/>
      </c>
    </row>
    <row r="276" spans="1:14" x14ac:dyDescent="0.25">
      <c r="A276" s="38"/>
      <c r="B276" s="18"/>
      <c r="C276" s="18"/>
      <c r="D276" s="18"/>
      <c r="E276" s="19"/>
      <c r="F276" s="20"/>
      <c r="G276" s="20"/>
      <c r="H276" s="25" t="str">
        <f t="shared" si="20"/>
        <v/>
      </c>
      <c r="I276" s="39" t="str">
        <f t="shared" si="21"/>
        <v/>
      </c>
      <c r="J276" s="25" t="str">
        <f t="shared" si="22"/>
        <v/>
      </c>
      <c r="K276" s="25" t="str">
        <f>IF(C276="","",IFERROR(INDEX(Catalogue!$K$6:$K$55,MATCH(C276,Catalogue!$B$6:$B$55,0)),""))</f>
        <v/>
      </c>
      <c r="L276" s="25" t="str">
        <f t="shared" si="23"/>
        <v/>
      </c>
      <c r="M276" s="28" t="str">
        <f>IF(OR(E276="",K276=""),"",IF(N(G276)=0,"Pas de vente aujourd’hui",IF(J276&lt;K276*Paramètres!$B$11,"Rentable",IF(J276&lt;=K276,"Juste rentable","Perte"))))</f>
        <v/>
      </c>
      <c r="N276" s="24" t="str">
        <f t="shared" si="24"/>
        <v/>
      </c>
    </row>
    <row r="277" spans="1:14" x14ac:dyDescent="0.25">
      <c r="A277" s="38"/>
      <c r="B277" s="18"/>
      <c r="C277" s="18"/>
      <c r="D277" s="18"/>
      <c r="E277" s="19"/>
      <c r="F277" s="20"/>
      <c r="G277" s="20"/>
      <c r="H277" s="25" t="str">
        <f t="shared" si="20"/>
        <v/>
      </c>
      <c r="I277" s="39" t="str">
        <f t="shared" si="21"/>
        <v/>
      </c>
      <c r="J277" s="25" t="str">
        <f t="shared" si="22"/>
        <v/>
      </c>
      <c r="K277" s="25" t="str">
        <f>IF(C277="","",IFERROR(INDEX(Catalogue!$K$6:$K$55,MATCH(C277,Catalogue!$B$6:$B$55,0)),""))</f>
        <v/>
      </c>
      <c r="L277" s="25" t="str">
        <f t="shared" si="23"/>
        <v/>
      </c>
      <c r="M277" s="28" t="str">
        <f>IF(OR(E277="",K277=""),"",IF(N(G277)=0,"Pas de vente aujourd’hui",IF(J277&lt;K277*Paramètres!$B$11,"Rentable",IF(J277&lt;=K277,"Juste rentable","Perte"))))</f>
        <v/>
      </c>
      <c r="N277" s="24" t="str">
        <f t="shared" si="24"/>
        <v/>
      </c>
    </row>
    <row r="278" spans="1:14" x14ac:dyDescent="0.25">
      <c r="A278" s="38"/>
      <c r="B278" s="18"/>
      <c r="C278" s="18"/>
      <c r="D278" s="18"/>
      <c r="E278" s="19"/>
      <c r="F278" s="20"/>
      <c r="G278" s="20"/>
      <c r="H278" s="25" t="str">
        <f t="shared" si="20"/>
        <v/>
      </c>
      <c r="I278" s="39" t="str">
        <f t="shared" si="21"/>
        <v/>
      </c>
      <c r="J278" s="25" t="str">
        <f t="shared" si="22"/>
        <v/>
      </c>
      <c r="K278" s="25" t="str">
        <f>IF(C278="","",IFERROR(INDEX(Catalogue!$K$6:$K$55,MATCH(C278,Catalogue!$B$6:$B$55,0)),""))</f>
        <v/>
      </c>
      <c r="L278" s="25" t="str">
        <f t="shared" si="23"/>
        <v/>
      </c>
      <c r="M278" s="28" t="str">
        <f>IF(OR(E278="",K278=""),"",IF(N(G278)=0,"Pas de vente aujourd’hui",IF(J278&lt;K278*Paramètres!$B$11,"Rentable",IF(J278&lt;=K278,"Juste rentable","Perte"))))</f>
        <v/>
      </c>
      <c r="N278" s="24" t="str">
        <f t="shared" si="24"/>
        <v/>
      </c>
    </row>
    <row r="279" spans="1:14" x14ac:dyDescent="0.25">
      <c r="A279" s="38"/>
      <c r="B279" s="18"/>
      <c r="C279" s="18"/>
      <c r="D279" s="18"/>
      <c r="E279" s="19"/>
      <c r="F279" s="20"/>
      <c r="G279" s="20"/>
      <c r="H279" s="25" t="str">
        <f t="shared" si="20"/>
        <v/>
      </c>
      <c r="I279" s="39" t="str">
        <f t="shared" si="21"/>
        <v/>
      </c>
      <c r="J279" s="25" t="str">
        <f t="shared" si="22"/>
        <v/>
      </c>
      <c r="K279" s="25" t="str">
        <f>IF(C279="","",IFERROR(INDEX(Catalogue!$K$6:$K$55,MATCH(C279,Catalogue!$B$6:$B$55,0)),""))</f>
        <v/>
      </c>
      <c r="L279" s="25" t="str">
        <f t="shared" si="23"/>
        <v/>
      </c>
      <c r="M279" s="28" t="str">
        <f>IF(OR(E279="",K279=""),"",IF(N(G279)=0,"Pas de vente aujourd’hui",IF(J279&lt;K279*Paramètres!$B$11,"Rentable",IF(J279&lt;=K279,"Juste rentable","Perte"))))</f>
        <v/>
      </c>
      <c r="N279" s="24" t="str">
        <f t="shared" si="24"/>
        <v/>
      </c>
    </row>
    <row r="280" spans="1:14" x14ac:dyDescent="0.25">
      <c r="A280" s="38"/>
      <c r="B280" s="18"/>
      <c r="C280" s="18"/>
      <c r="D280" s="18"/>
      <c r="E280" s="19"/>
      <c r="F280" s="20"/>
      <c r="G280" s="20"/>
      <c r="H280" s="25" t="str">
        <f t="shared" si="20"/>
        <v/>
      </c>
      <c r="I280" s="39" t="str">
        <f t="shared" si="21"/>
        <v/>
      </c>
      <c r="J280" s="25" t="str">
        <f t="shared" si="22"/>
        <v/>
      </c>
      <c r="K280" s="25" t="str">
        <f>IF(C280="","",IFERROR(INDEX(Catalogue!$K$6:$K$55,MATCH(C280,Catalogue!$B$6:$B$55,0)),""))</f>
        <v/>
      </c>
      <c r="L280" s="25" t="str">
        <f t="shared" si="23"/>
        <v/>
      </c>
      <c r="M280" s="28" t="str">
        <f>IF(OR(E280="",K280=""),"",IF(N(G280)=0,"Pas de vente aujourd’hui",IF(J280&lt;K280*Paramètres!$B$11,"Rentable",IF(J280&lt;=K280,"Juste rentable","Perte"))))</f>
        <v/>
      </c>
      <c r="N280" s="24" t="str">
        <f t="shared" si="24"/>
        <v/>
      </c>
    </row>
    <row r="281" spans="1:14" x14ac:dyDescent="0.25">
      <c r="A281" s="38"/>
      <c r="B281" s="18"/>
      <c r="C281" s="18"/>
      <c r="D281" s="18"/>
      <c r="E281" s="19"/>
      <c r="F281" s="20"/>
      <c r="G281" s="20"/>
      <c r="H281" s="25" t="str">
        <f t="shared" si="20"/>
        <v/>
      </c>
      <c r="I281" s="39" t="str">
        <f t="shared" si="21"/>
        <v/>
      </c>
      <c r="J281" s="25" t="str">
        <f t="shared" si="22"/>
        <v/>
      </c>
      <c r="K281" s="25" t="str">
        <f>IF(C281="","",IFERROR(INDEX(Catalogue!$K$6:$K$55,MATCH(C281,Catalogue!$B$6:$B$55,0)),""))</f>
        <v/>
      </c>
      <c r="L281" s="25" t="str">
        <f t="shared" si="23"/>
        <v/>
      </c>
      <c r="M281" s="28" t="str">
        <f>IF(OR(E281="",K281=""),"",IF(N(G281)=0,"Pas de vente aujourd’hui",IF(J281&lt;K281*Paramètres!$B$11,"Rentable",IF(J281&lt;=K281,"Juste rentable","Perte"))))</f>
        <v/>
      </c>
      <c r="N281" s="24" t="str">
        <f t="shared" si="24"/>
        <v/>
      </c>
    </row>
    <row r="282" spans="1:14" x14ac:dyDescent="0.25">
      <c r="A282" s="38"/>
      <c r="B282" s="18"/>
      <c r="C282" s="18"/>
      <c r="D282" s="18"/>
      <c r="E282" s="19"/>
      <c r="F282" s="20"/>
      <c r="G282" s="20"/>
      <c r="H282" s="25" t="str">
        <f t="shared" si="20"/>
        <v/>
      </c>
      <c r="I282" s="39" t="str">
        <f t="shared" si="21"/>
        <v/>
      </c>
      <c r="J282" s="25" t="str">
        <f t="shared" si="22"/>
        <v/>
      </c>
      <c r="K282" s="25" t="str">
        <f>IF(C282="","",IFERROR(INDEX(Catalogue!$K$6:$K$55,MATCH(C282,Catalogue!$B$6:$B$55,0)),""))</f>
        <v/>
      </c>
      <c r="L282" s="25" t="str">
        <f t="shared" si="23"/>
        <v/>
      </c>
      <c r="M282" s="28" t="str">
        <f>IF(OR(E282="",K282=""),"",IF(N(G282)=0,"Pas de vente aujourd’hui",IF(J282&lt;K282*Paramètres!$B$11,"Rentable",IF(J282&lt;=K282,"Juste rentable","Perte"))))</f>
        <v/>
      </c>
      <c r="N282" s="24" t="str">
        <f t="shared" si="24"/>
        <v/>
      </c>
    </row>
    <row r="283" spans="1:14" x14ac:dyDescent="0.25">
      <c r="A283" s="38"/>
      <c r="B283" s="18"/>
      <c r="C283" s="18"/>
      <c r="D283" s="18"/>
      <c r="E283" s="19"/>
      <c r="F283" s="20"/>
      <c r="G283" s="20"/>
      <c r="H283" s="25" t="str">
        <f t="shared" si="20"/>
        <v/>
      </c>
      <c r="I283" s="39" t="str">
        <f t="shared" si="21"/>
        <v/>
      </c>
      <c r="J283" s="25" t="str">
        <f t="shared" si="22"/>
        <v/>
      </c>
      <c r="K283" s="25" t="str">
        <f>IF(C283="","",IFERROR(INDEX(Catalogue!$K$6:$K$55,MATCH(C283,Catalogue!$B$6:$B$55,0)),""))</f>
        <v/>
      </c>
      <c r="L283" s="25" t="str">
        <f t="shared" si="23"/>
        <v/>
      </c>
      <c r="M283" s="28" t="str">
        <f>IF(OR(E283="",K283=""),"",IF(N(G283)=0,"Pas de vente aujourd’hui",IF(J283&lt;K283*Paramètres!$B$11,"Rentable",IF(J283&lt;=K283,"Juste rentable","Perte"))))</f>
        <v/>
      </c>
      <c r="N283" s="24" t="str">
        <f t="shared" si="24"/>
        <v/>
      </c>
    </row>
    <row r="284" spans="1:14" x14ac:dyDescent="0.25">
      <c r="A284" s="38"/>
      <c r="B284" s="18"/>
      <c r="C284" s="18"/>
      <c r="D284" s="18"/>
      <c r="E284" s="19"/>
      <c r="F284" s="20"/>
      <c r="G284" s="20"/>
      <c r="H284" s="25" t="str">
        <f t="shared" si="20"/>
        <v/>
      </c>
      <c r="I284" s="39" t="str">
        <f t="shared" si="21"/>
        <v/>
      </c>
      <c r="J284" s="25" t="str">
        <f t="shared" si="22"/>
        <v/>
      </c>
      <c r="K284" s="25" t="str">
        <f>IF(C284="","",IFERROR(INDEX(Catalogue!$K$6:$K$55,MATCH(C284,Catalogue!$B$6:$B$55,0)),""))</f>
        <v/>
      </c>
      <c r="L284" s="25" t="str">
        <f t="shared" si="23"/>
        <v/>
      </c>
      <c r="M284" s="28" t="str">
        <f>IF(OR(E284="",K284=""),"",IF(N(G284)=0,"Pas de vente aujourd’hui",IF(J284&lt;K284*Paramètres!$B$11,"Rentable",IF(J284&lt;=K284,"Juste rentable","Perte"))))</f>
        <v/>
      </c>
      <c r="N284" s="24" t="str">
        <f t="shared" si="24"/>
        <v/>
      </c>
    </row>
    <row r="285" spans="1:14" x14ac:dyDescent="0.25">
      <c r="A285" s="38"/>
      <c r="B285" s="18"/>
      <c r="C285" s="18"/>
      <c r="D285" s="18"/>
      <c r="E285" s="19"/>
      <c r="F285" s="20"/>
      <c r="G285" s="20"/>
      <c r="H285" s="25" t="str">
        <f t="shared" si="20"/>
        <v/>
      </c>
      <c r="I285" s="39" t="str">
        <f t="shared" si="21"/>
        <v/>
      </c>
      <c r="J285" s="25" t="str">
        <f t="shared" si="22"/>
        <v/>
      </c>
      <c r="K285" s="25" t="str">
        <f>IF(C285="","",IFERROR(INDEX(Catalogue!$K$6:$K$55,MATCH(C285,Catalogue!$B$6:$B$55,0)),""))</f>
        <v/>
      </c>
      <c r="L285" s="25" t="str">
        <f t="shared" si="23"/>
        <v/>
      </c>
      <c r="M285" s="28" t="str">
        <f>IF(OR(E285="",K285=""),"",IF(N(G285)=0,"Pas de vente aujourd’hui",IF(J285&lt;K285*Paramètres!$B$11,"Rentable",IF(J285&lt;=K285,"Juste rentable","Perte"))))</f>
        <v/>
      </c>
      <c r="N285" s="24" t="str">
        <f t="shared" si="24"/>
        <v/>
      </c>
    </row>
    <row r="286" spans="1:14" x14ac:dyDescent="0.25">
      <c r="A286" s="38"/>
      <c r="B286" s="18"/>
      <c r="C286" s="18"/>
      <c r="D286" s="18"/>
      <c r="E286" s="19"/>
      <c r="F286" s="20"/>
      <c r="G286" s="20"/>
      <c r="H286" s="25" t="str">
        <f t="shared" si="20"/>
        <v/>
      </c>
      <c r="I286" s="39" t="str">
        <f t="shared" si="21"/>
        <v/>
      </c>
      <c r="J286" s="25" t="str">
        <f t="shared" si="22"/>
        <v/>
      </c>
      <c r="K286" s="25" t="str">
        <f>IF(C286="","",IFERROR(INDEX(Catalogue!$K$6:$K$55,MATCH(C286,Catalogue!$B$6:$B$55,0)),""))</f>
        <v/>
      </c>
      <c r="L286" s="25" t="str">
        <f t="shared" si="23"/>
        <v/>
      </c>
      <c r="M286" s="28" t="str">
        <f>IF(OR(E286="",K286=""),"",IF(N(G286)=0,"Pas de vente aujourd’hui",IF(J286&lt;K286*Paramètres!$B$11,"Rentable",IF(J286&lt;=K286,"Juste rentable","Perte"))))</f>
        <v/>
      </c>
      <c r="N286" s="24" t="str">
        <f t="shared" si="24"/>
        <v/>
      </c>
    </row>
    <row r="287" spans="1:14" x14ac:dyDescent="0.25">
      <c r="A287" s="38"/>
      <c r="B287" s="18"/>
      <c r="C287" s="18"/>
      <c r="D287" s="18"/>
      <c r="E287" s="19"/>
      <c r="F287" s="20"/>
      <c r="G287" s="20"/>
      <c r="H287" s="25" t="str">
        <f t="shared" si="20"/>
        <v/>
      </c>
      <c r="I287" s="39" t="str">
        <f t="shared" si="21"/>
        <v/>
      </c>
      <c r="J287" s="25" t="str">
        <f t="shared" si="22"/>
        <v/>
      </c>
      <c r="K287" s="25" t="str">
        <f>IF(C287="","",IFERROR(INDEX(Catalogue!$K$6:$K$55,MATCH(C287,Catalogue!$B$6:$B$55,0)),""))</f>
        <v/>
      </c>
      <c r="L287" s="25" t="str">
        <f t="shared" si="23"/>
        <v/>
      </c>
      <c r="M287" s="28" t="str">
        <f>IF(OR(E287="",K287=""),"",IF(N(G287)=0,"Pas de vente aujourd’hui",IF(J287&lt;K287*Paramètres!$B$11,"Rentable",IF(J287&lt;=K287,"Juste rentable","Perte"))))</f>
        <v/>
      </c>
      <c r="N287" s="24" t="str">
        <f t="shared" si="24"/>
        <v/>
      </c>
    </row>
    <row r="288" spans="1:14" x14ac:dyDescent="0.25">
      <c r="A288" s="38"/>
      <c r="B288" s="18"/>
      <c r="C288" s="18"/>
      <c r="D288" s="18"/>
      <c r="E288" s="19"/>
      <c r="F288" s="20"/>
      <c r="G288" s="20"/>
      <c r="H288" s="25" t="str">
        <f t="shared" si="20"/>
        <v/>
      </c>
      <c r="I288" s="39" t="str">
        <f t="shared" si="21"/>
        <v/>
      </c>
      <c r="J288" s="25" t="str">
        <f t="shared" si="22"/>
        <v/>
      </c>
      <c r="K288" s="25" t="str">
        <f>IF(C288="","",IFERROR(INDEX(Catalogue!$K$6:$K$55,MATCH(C288,Catalogue!$B$6:$B$55,0)),""))</f>
        <v/>
      </c>
      <c r="L288" s="25" t="str">
        <f t="shared" si="23"/>
        <v/>
      </c>
      <c r="M288" s="28" t="str">
        <f>IF(OR(E288="",K288=""),"",IF(N(G288)=0,"Pas de vente aujourd’hui",IF(J288&lt;K288*Paramètres!$B$11,"Rentable",IF(J288&lt;=K288,"Juste rentable","Perte"))))</f>
        <v/>
      </c>
      <c r="N288" s="24" t="str">
        <f t="shared" si="24"/>
        <v/>
      </c>
    </row>
    <row r="289" spans="1:14" x14ac:dyDescent="0.25">
      <c r="A289" s="38"/>
      <c r="B289" s="18"/>
      <c r="C289" s="18"/>
      <c r="D289" s="18"/>
      <c r="E289" s="19"/>
      <c r="F289" s="20"/>
      <c r="G289" s="20"/>
      <c r="H289" s="25" t="str">
        <f t="shared" si="20"/>
        <v/>
      </c>
      <c r="I289" s="39" t="str">
        <f t="shared" si="21"/>
        <v/>
      </c>
      <c r="J289" s="25" t="str">
        <f t="shared" si="22"/>
        <v/>
      </c>
      <c r="K289" s="25" t="str">
        <f>IF(C289="","",IFERROR(INDEX(Catalogue!$K$6:$K$55,MATCH(C289,Catalogue!$B$6:$B$55,0)),""))</f>
        <v/>
      </c>
      <c r="L289" s="25" t="str">
        <f t="shared" si="23"/>
        <v/>
      </c>
      <c r="M289" s="28" t="str">
        <f>IF(OR(E289="",K289=""),"",IF(N(G289)=0,"Pas de vente aujourd’hui",IF(J289&lt;K289*Paramètres!$B$11,"Rentable",IF(J289&lt;=K289,"Juste rentable","Perte"))))</f>
        <v/>
      </c>
      <c r="N289" s="24" t="str">
        <f t="shared" si="24"/>
        <v/>
      </c>
    </row>
    <row r="290" spans="1:14" x14ac:dyDescent="0.25">
      <c r="A290" s="38"/>
      <c r="B290" s="18"/>
      <c r="C290" s="18"/>
      <c r="D290" s="18"/>
      <c r="E290" s="19"/>
      <c r="F290" s="20"/>
      <c r="G290" s="20"/>
      <c r="H290" s="25" t="str">
        <f t="shared" si="20"/>
        <v/>
      </c>
      <c r="I290" s="39" t="str">
        <f t="shared" si="21"/>
        <v/>
      </c>
      <c r="J290" s="25" t="str">
        <f t="shared" si="22"/>
        <v/>
      </c>
      <c r="K290" s="25" t="str">
        <f>IF(C290="","",IFERROR(INDEX(Catalogue!$K$6:$K$55,MATCH(C290,Catalogue!$B$6:$B$55,0)),""))</f>
        <v/>
      </c>
      <c r="L290" s="25" t="str">
        <f t="shared" si="23"/>
        <v/>
      </c>
      <c r="M290" s="28" t="str">
        <f>IF(OR(E290="",K290=""),"",IF(N(G290)=0,"Pas de vente aujourd’hui",IF(J290&lt;K290*Paramètres!$B$11,"Rentable",IF(J290&lt;=K290,"Juste rentable","Perte"))))</f>
        <v/>
      </c>
      <c r="N290" s="24" t="str">
        <f t="shared" si="24"/>
        <v/>
      </c>
    </row>
    <row r="291" spans="1:14" x14ac:dyDescent="0.25">
      <c r="A291" s="38"/>
      <c r="B291" s="18"/>
      <c r="C291" s="18"/>
      <c r="D291" s="18"/>
      <c r="E291" s="19"/>
      <c r="F291" s="20"/>
      <c r="G291" s="20"/>
      <c r="H291" s="25" t="str">
        <f t="shared" si="20"/>
        <v/>
      </c>
      <c r="I291" s="39" t="str">
        <f t="shared" si="21"/>
        <v/>
      </c>
      <c r="J291" s="25" t="str">
        <f t="shared" si="22"/>
        <v/>
      </c>
      <c r="K291" s="25" t="str">
        <f>IF(C291="","",IFERROR(INDEX(Catalogue!$K$6:$K$55,MATCH(C291,Catalogue!$B$6:$B$55,0)),""))</f>
        <v/>
      </c>
      <c r="L291" s="25" t="str">
        <f t="shared" si="23"/>
        <v/>
      </c>
      <c r="M291" s="28" t="str">
        <f>IF(OR(E291="",K291=""),"",IF(N(G291)=0,"Pas de vente aujourd’hui",IF(J291&lt;K291*Paramètres!$B$11,"Rentable",IF(J291&lt;=K291,"Juste rentable","Perte"))))</f>
        <v/>
      </c>
      <c r="N291" s="24" t="str">
        <f t="shared" si="24"/>
        <v/>
      </c>
    </row>
    <row r="292" spans="1:14" x14ac:dyDescent="0.25">
      <c r="A292" s="38"/>
      <c r="B292" s="18"/>
      <c r="C292" s="18"/>
      <c r="D292" s="18"/>
      <c r="E292" s="19"/>
      <c r="F292" s="20"/>
      <c r="G292" s="20"/>
      <c r="H292" s="25" t="str">
        <f t="shared" si="20"/>
        <v/>
      </c>
      <c r="I292" s="39" t="str">
        <f t="shared" si="21"/>
        <v/>
      </c>
      <c r="J292" s="25" t="str">
        <f t="shared" si="22"/>
        <v/>
      </c>
      <c r="K292" s="25" t="str">
        <f>IF(C292="","",IFERROR(INDEX(Catalogue!$K$6:$K$55,MATCH(C292,Catalogue!$B$6:$B$55,0)),""))</f>
        <v/>
      </c>
      <c r="L292" s="25" t="str">
        <f t="shared" si="23"/>
        <v/>
      </c>
      <c r="M292" s="28" t="str">
        <f>IF(OR(E292="",K292=""),"",IF(N(G292)=0,"Pas de vente aujourd’hui",IF(J292&lt;K292*Paramètres!$B$11,"Rentable",IF(J292&lt;=K292,"Juste rentable","Perte"))))</f>
        <v/>
      </c>
      <c r="N292" s="24" t="str">
        <f t="shared" si="24"/>
        <v/>
      </c>
    </row>
    <row r="293" spans="1:14" x14ac:dyDescent="0.25">
      <c r="A293" s="38"/>
      <c r="B293" s="18"/>
      <c r="C293" s="18"/>
      <c r="D293" s="18"/>
      <c r="E293" s="19"/>
      <c r="F293" s="20"/>
      <c r="G293" s="20"/>
      <c r="H293" s="25" t="str">
        <f t="shared" si="20"/>
        <v/>
      </c>
      <c r="I293" s="39" t="str">
        <f t="shared" si="21"/>
        <v/>
      </c>
      <c r="J293" s="25" t="str">
        <f t="shared" si="22"/>
        <v/>
      </c>
      <c r="K293" s="25" t="str">
        <f>IF(C293="","",IFERROR(INDEX(Catalogue!$K$6:$K$55,MATCH(C293,Catalogue!$B$6:$B$55,0)),""))</f>
        <v/>
      </c>
      <c r="L293" s="25" t="str">
        <f t="shared" si="23"/>
        <v/>
      </c>
      <c r="M293" s="28" t="str">
        <f>IF(OR(E293="",K293=""),"",IF(N(G293)=0,"Pas de vente aujourd’hui",IF(J293&lt;K293*Paramètres!$B$11,"Rentable",IF(J293&lt;=K293,"Juste rentable","Perte"))))</f>
        <v/>
      </c>
      <c r="N293" s="24" t="str">
        <f t="shared" si="24"/>
        <v/>
      </c>
    </row>
    <row r="294" spans="1:14" x14ac:dyDescent="0.25">
      <c r="A294" s="38"/>
      <c r="B294" s="18"/>
      <c r="C294" s="18"/>
      <c r="D294" s="18"/>
      <c r="E294" s="19"/>
      <c r="F294" s="20"/>
      <c r="G294" s="20"/>
      <c r="H294" s="25" t="str">
        <f t="shared" si="20"/>
        <v/>
      </c>
      <c r="I294" s="39" t="str">
        <f t="shared" si="21"/>
        <v/>
      </c>
      <c r="J294" s="25" t="str">
        <f t="shared" si="22"/>
        <v/>
      </c>
      <c r="K294" s="25" t="str">
        <f>IF(C294="","",IFERROR(INDEX(Catalogue!$K$6:$K$55,MATCH(C294,Catalogue!$B$6:$B$55,0)),""))</f>
        <v/>
      </c>
      <c r="L294" s="25" t="str">
        <f t="shared" si="23"/>
        <v/>
      </c>
      <c r="M294" s="28" t="str">
        <f>IF(OR(E294="",K294=""),"",IF(N(G294)=0,"Pas de vente aujourd’hui",IF(J294&lt;K294*Paramètres!$B$11,"Rentable",IF(J294&lt;=K294,"Juste rentable","Perte"))))</f>
        <v/>
      </c>
      <c r="N294" s="24" t="str">
        <f t="shared" si="24"/>
        <v/>
      </c>
    </row>
    <row r="295" spans="1:14" x14ac:dyDescent="0.25">
      <c r="A295" s="38"/>
      <c r="B295" s="18"/>
      <c r="C295" s="18"/>
      <c r="D295" s="18"/>
      <c r="E295" s="19"/>
      <c r="F295" s="20"/>
      <c r="G295" s="20"/>
      <c r="H295" s="25" t="str">
        <f t="shared" si="20"/>
        <v/>
      </c>
      <c r="I295" s="39" t="str">
        <f t="shared" si="21"/>
        <v/>
      </c>
      <c r="J295" s="25" t="str">
        <f t="shared" si="22"/>
        <v/>
      </c>
      <c r="K295" s="25" t="str">
        <f>IF(C295="","",IFERROR(INDEX(Catalogue!$K$6:$K$55,MATCH(C295,Catalogue!$B$6:$B$55,0)),""))</f>
        <v/>
      </c>
      <c r="L295" s="25" t="str">
        <f t="shared" si="23"/>
        <v/>
      </c>
      <c r="M295" s="28" t="str">
        <f>IF(OR(E295="",K295=""),"",IF(N(G295)=0,"Pas de vente aujourd’hui",IF(J295&lt;K295*Paramètres!$B$11,"Rentable",IF(J295&lt;=K295,"Juste rentable","Perte"))))</f>
        <v/>
      </c>
      <c r="N295" s="24" t="str">
        <f t="shared" si="24"/>
        <v/>
      </c>
    </row>
    <row r="296" spans="1:14" x14ac:dyDescent="0.25">
      <c r="A296" s="38"/>
      <c r="B296" s="18"/>
      <c r="C296" s="18"/>
      <c r="D296" s="18"/>
      <c r="E296" s="19"/>
      <c r="F296" s="20"/>
      <c r="G296" s="20"/>
      <c r="H296" s="25" t="str">
        <f t="shared" si="20"/>
        <v/>
      </c>
      <c r="I296" s="39" t="str">
        <f t="shared" si="21"/>
        <v/>
      </c>
      <c r="J296" s="25" t="str">
        <f t="shared" si="22"/>
        <v/>
      </c>
      <c r="K296" s="25" t="str">
        <f>IF(C296="","",IFERROR(INDEX(Catalogue!$K$6:$K$55,MATCH(C296,Catalogue!$B$6:$B$55,0)),""))</f>
        <v/>
      </c>
      <c r="L296" s="25" t="str">
        <f t="shared" si="23"/>
        <v/>
      </c>
      <c r="M296" s="28" t="str">
        <f>IF(OR(E296="",K296=""),"",IF(N(G296)=0,"Pas de vente aujourd’hui",IF(J296&lt;K296*Paramètres!$B$11,"Rentable",IF(J296&lt;=K296,"Juste rentable","Perte"))))</f>
        <v/>
      </c>
      <c r="N296" s="24" t="str">
        <f t="shared" si="24"/>
        <v/>
      </c>
    </row>
    <row r="297" spans="1:14" x14ac:dyDescent="0.25">
      <c r="A297" s="38"/>
      <c r="B297" s="18"/>
      <c r="C297" s="18"/>
      <c r="D297" s="18"/>
      <c r="E297" s="19"/>
      <c r="F297" s="20"/>
      <c r="G297" s="20"/>
      <c r="H297" s="25" t="str">
        <f t="shared" si="20"/>
        <v/>
      </c>
      <c r="I297" s="39" t="str">
        <f t="shared" si="21"/>
        <v/>
      </c>
      <c r="J297" s="25" t="str">
        <f t="shared" si="22"/>
        <v/>
      </c>
      <c r="K297" s="25" t="str">
        <f>IF(C297="","",IFERROR(INDEX(Catalogue!$K$6:$K$55,MATCH(C297,Catalogue!$B$6:$B$55,0)),""))</f>
        <v/>
      </c>
      <c r="L297" s="25" t="str">
        <f t="shared" si="23"/>
        <v/>
      </c>
      <c r="M297" s="28" t="str">
        <f>IF(OR(E297="",K297=""),"",IF(N(G297)=0,"Pas de vente aujourd’hui",IF(J297&lt;K297*Paramètres!$B$11,"Rentable",IF(J297&lt;=K297,"Juste rentable","Perte"))))</f>
        <v/>
      </c>
      <c r="N297" s="24" t="str">
        <f t="shared" si="24"/>
        <v/>
      </c>
    </row>
    <row r="298" spans="1:14" x14ac:dyDescent="0.25">
      <c r="A298" s="38"/>
      <c r="B298" s="18"/>
      <c r="C298" s="18"/>
      <c r="D298" s="18"/>
      <c r="E298" s="19"/>
      <c r="F298" s="20"/>
      <c r="G298" s="20"/>
      <c r="H298" s="25" t="str">
        <f t="shared" si="20"/>
        <v/>
      </c>
      <c r="I298" s="39" t="str">
        <f t="shared" si="21"/>
        <v/>
      </c>
      <c r="J298" s="25" t="str">
        <f t="shared" si="22"/>
        <v/>
      </c>
      <c r="K298" s="25" t="str">
        <f>IF(C298="","",IFERROR(INDEX(Catalogue!$K$6:$K$55,MATCH(C298,Catalogue!$B$6:$B$55,0)),""))</f>
        <v/>
      </c>
      <c r="L298" s="25" t="str">
        <f t="shared" si="23"/>
        <v/>
      </c>
      <c r="M298" s="28" t="str">
        <f>IF(OR(E298="",K298=""),"",IF(N(G298)=0,"Pas de vente aujourd’hui",IF(J298&lt;K298*Paramètres!$B$11,"Rentable",IF(J298&lt;=K298,"Juste rentable","Perte"))))</f>
        <v/>
      </c>
      <c r="N298" s="24" t="str">
        <f t="shared" si="24"/>
        <v/>
      </c>
    </row>
    <row r="299" spans="1:14" x14ac:dyDescent="0.25">
      <c r="A299" s="38"/>
      <c r="B299" s="18"/>
      <c r="C299" s="18"/>
      <c r="D299" s="18"/>
      <c r="E299" s="19"/>
      <c r="F299" s="20"/>
      <c r="G299" s="20"/>
      <c r="H299" s="25" t="str">
        <f t="shared" si="20"/>
        <v/>
      </c>
      <c r="I299" s="39" t="str">
        <f t="shared" si="21"/>
        <v/>
      </c>
      <c r="J299" s="25" t="str">
        <f t="shared" si="22"/>
        <v/>
      </c>
      <c r="K299" s="25" t="str">
        <f>IF(C299="","",IFERROR(INDEX(Catalogue!$K$6:$K$55,MATCH(C299,Catalogue!$B$6:$B$55,0)),""))</f>
        <v/>
      </c>
      <c r="L299" s="25" t="str">
        <f t="shared" si="23"/>
        <v/>
      </c>
      <c r="M299" s="28" t="str">
        <f>IF(OR(E299="",K299=""),"",IF(N(G299)=0,"Pas de vente aujourd’hui",IF(J299&lt;K299*Paramètres!$B$11,"Rentable",IF(J299&lt;=K299,"Juste rentable","Perte"))))</f>
        <v/>
      </c>
      <c r="N299" s="24" t="str">
        <f t="shared" si="24"/>
        <v/>
      </c>
    </row>
    <row r="300" spans="1:14" x14ac:dyDescent="0.25">
      <c r="A300" s="38"/>
      <c r="B300" s="18"/>
      <c r="C300" s="18"/>
      <c r="D300" s="18"/>
      <c r="E300" s="19"/>
      <c r="F300" s="20"/>
      <c r="G300" s="20"/>
      <c r="H300" s="25" t="str">
        <f t="shared" si="20"/>
        <v/>
      </c>
      <c r="I300" s="39" t="str">
        <f t="shared" si="21"/>
        <v/>
      </c>
      <c r="J300" s="25" t="str">
        <f t="shared" si="22"/>
        <v/>
      </c>
      <c r="K300" s="25" t="str">
        <f>IF(C300="","",IFERROR(INDEX(Catalogue!$K$6:$K$55,MATCH(C300,Catalogue!$B$6:$B$55,0)),""))</f>
        <v/>
      </c>
      <c r="L300" s="25" t="str">
        <f t="shared" si="23"/>
        <v/>
      </c>
      <c r="M300" s="28" t="str">
        <f>IF(OR(E300="",K300=""),"",IF(N(G300)=0,"Pas de vente aujourd’hui",IF(J300&lt;K300*Paramètres!$B$11,"Rentable",IF(J300&lt;=K300,"Juste rentable","Perte"))))</f>
        <v/>
      </c>
      <c r="N300" s="24" t="str">
        <f t="shared" si="24"/>
        <v/>
      </c>
    </row>
    <row r="301" spans="1:14" x14ac:dyDescent="0.25">
      <c r="A301" s="38"/>
      <c r="B301" s="18"/>
      <c r="C301" s="18"/>
      <c r="D301" s="18"/>
      <c r="E301" s="19"/>
      <c r="F301" s="20"/>
      <c r="G301" s="20"/>
      <c r="H301" s="25" t="str">
        <f t="shared" si="20"/>
        <v/>
      </c>
      <c r="I301" s="39" t="str">
        <f t="shared" si="21"/>
        <v/>
      </c>
      <c r="J301" s="25" t="str">
        <f t="shared" si="22"/>
        <v/>
      </c>
      <c r="K301" s="25" t="str">
        <f>IF(C301="","",IFERROR(INDEX(Catalogue!$K$6:$K$55,MATCH(C301,Catalogue!$B$6:$B$55,0)),""))</f>
        <v/>
      </c>
      <c r="L301" s="25" t="str">
        <f t="shared" si="23"/>
        <v/>
      </c>
      <c r="M301" s="28" t="str">
        <f>IF(OR(E301="",K301=""),"",IF(N(G301)=0,"Pas de vente aujourd’hui",IF(J301&lt;K301*Paramètres!$B$11,"Rentable",IF(J301&lt;=K301,"Juste rentable","Perte"))))</f>
        <v/>
      </c>
      <c r="N301" s="24" t="str">
        <f t="shared" si="24"/>
        <v/>
      </c>
    </row>
    <row r="302" spans="1:14" x14ac:dyDescent="0.25">
      <c r="A302" s="38"/>
      <c r="B302" s="18"/>
      <c r="C302" s="18"/>
      <c r="D302" s="18"/>
      <c r="E302" s="19"/>
      <c r="F302" s="20"/>
      <c r="G302" s="20"/>
      <c r="H302" s="25" t="str">
        <f t="shared" si="20"/>
        <v/>
      </c>
      <c r="I302" s="39" t="str">
        <f t="shared" si="21"/>
        <v/>
      </c>
      <c r="J302" s="25" t="str">
        <f t="shared" si="22"/>
        <v/>
      </c>
      <c r="K302" s="25" t="str">
        <f>IF(C302="","",IFERROR(INDEX(Catalogue!$K$6:$K$55,MATCH(C302,Catalogue!$B$6:$B$55,0)),""))</f>
        <v/>
      </c>
      <c r="L302" s="25" t="str">
        <f t="shared" si="23"/>
        <v/>
      </c>
      <c r="M302" s="28" t="str">
        <f>IF(OR(E302="",K302=""),"",IF(N(G302)=0,"Pas de vente aujourd’hui",IF(J302&lt;K302*Paramètres!$B$11,"Rentable",IF(J302&lt;=K302,"Juste rentable","Perte"))))</f>
        <v/>
      </c>
      <c r="N302" s="24" t="str">
        <f t="shared" si="24"/>
        <v/>
      </c>
    </row>
    <row r="303" spans="1:14" x14ac:dyDescent="0.25">
      <c r="A303" s="38"/>
      <c r="B303" s="18"/>
      <c r="C303" s="18"/>
      <c r="D303" s="18"/>
      <c r="E303" s="19"/>
      <c r="F303" s="20"/>
      <c r="G303" s="20"/>
      <c r="H303" s="25" t="str">
        <f t="shared" si="20"/>
        <v/>
      </c>
      <c r="I303" s="39" t="str">
        <f t="shared" si="21"/>
        <v/>
      </c>
      <c r="J303" s="25" t="str">
        <f t="shared" si="22"/>
        <v/>
      </c>
      <c r="K303" s="25" t="str">
        <f>IF(C303="","",IFERROR(INDEX(Catalogue!$K$6:$K$55,MATCH(C303,Catalogue!$B$6:$B$55,0)),""))</f>
        <v/>
      </c>
      <c r="L303" s="25" t="str">
        <f t="shared" si="23"/>
        <v/>
      </c>
      <c r="M303" s="28" t="str">
        <f>IF(OR(E303="",K303=""),"",IF(N(G303)=0,"Pas de vente aujourd’hui",IF(J303&lt;K303*Paramètres!$B$11,"Rentable",IF(J303&lt;=K303,"Juste rentable","Perte"))))</f>
        <v/>
      </c>
      <c r="N303" s="24" t="str">
        <f t="shared" si="24"/>
        <v/>
      </c>
    </row>
    <row r="304" spans="1:14" x14ac:dyDescent="0.25">
      <c r="A304" s="38"/>
      <c r="B304" s="18"/>
      <c r="C304" s="18"/>
      <c r="D304" s="18"/>
      <c r="E304" s="19"/>
      <c r="F304" s="20"/>
      <c r="G304" s="20"/>
      <c r="H304" s="25" t="str">
        <f t="shared" si="20"/>
        <v/>
      </c>
      <c r="I304" s="39" t="str">
        <f t="shared" si="21"/>
        <v/>
      </c>
      <c r="J304" s="25" t="str">
        <f t="shared" si="22"/>
        <v/>
      </c>
      <c r="K304" s="25" t="str">
        <f>IF(C304="","",IFERROR(INDEX(Catalogue!$K$6:$K$55,MATCH(C304,Catalogue!$B$6:$B$55,0)),""))</f>
        <v/>
      </c>
      <c r="L304" s="25" t="str">
        <f t="shared" si="23"/>
        <v/>
      </c>
      <c r="M304" s="28" t="str">
        <f>IF(OR(E304="",K304=""),"",IF(N(G304)=0,"Pas de vente aujourd’hui",IF(J304&lt;K304*Paramètres!$B$11,"Rentable",IF(J304&lt;=K304,"Juste rentable","Perte"))))</f>
        <v/>
      </c>
      <c r="N304" s="24" t="str">
        <f t="shared" si="24"/>
        <v/>
      </c>
    </row>
    <row r="305" spans="1:14" x14ac:dyDescent="0.25">
      <c r="A305" s="38"/>
      <c r="B305" s="18"/>
      <c r="C305" s="18"/>
      <c r="D305" s="18"/>
      <c r="E305" s="19"/>
      <c r="F305" s="20"/>
      <c r="G305" s="20"/>
      <c r="H305" s="25" t="str">
        <f t="shared" si="20"/>
        <v/>
      </c>
      <c r="I305" s="39" t="str">
        <f t="shared" si="21"/>
        <v/>
      </c>
      <c r="J305" s="25" t="str">
        <f t="shared" si="22"/>
        <v/>
      </c>
      <c r="K305" s="25" t="str">
        <f>IF(C305="","",IFERROR(INDEX(Catalogue!$K$6:$K$55,MATCH(C305,Catalogue!$B$6:$B$55,0)),""))</f>
        <v/>
      </c>
      <c r="L305" s="25" t="str">
        <f t="shared" si="23"/>
        <v/>
      </c>
      <c r="M305" s="28" t="str">
        <f>IF(OR(E305="",K305=""),"",IF(N(G305)=0,"Pas de vente aujourd’hui",IF(J305&lt;K305*Paramètres!$B$11,"Rentable",IF(J305&lt;=K305,"Juste rentable","Perte"))))</f>
        <v/>
      </c>
      <c r="N305" s="24" t="str">
        <f t="shared" si="24"/>
        <v/>
      </c>
    </row>
    <row r="306" spans="1:14" x14ac:dyDescent="0.25">
      <c r="A306" s="38"/>
      <c r="B306" s="18"/>
      <c r="C306" s="18"/>
      <c r="D306" s="18"/>
      <c r="E306" s="19"/>
      <c r="F306" s="20"/>
      <c r="G306" s="20"/>
      <c r="H306" s="25" t="str">
        <f t="shared" si="20"/>
        <v/>
      </c>
      <c r="I306" s="39" t="str">
        <f t="shared" si="21"/>
        <v/>
      </c>
      <c r="J306" s="25" t="str">
        <f t="shared" si="22"/>
        <v/>
      </c>
      <c r="K306" s="25" t="str">
        <f>IF(C306="","",IFERROR(INDEX(Catalogue!$K$6:$K$55,MATCH(C306,Catalogue!$B$6:$B$55,0)),""))</f>
        <v/>
      </c>
      <c r="L306" s="25" t="str">
        <f t="shared" si="23"/>
        <v/>
      </c>
      <c r="M306" s="28" t="str">
        <f>IF(OR(E306="",K306=""),"",IF(N(G306)=0,"Pas de vente aujourd’hui",IF(J306&lt;K306*Paramètres!$B$11,"Rentable",IF(J306&lt;=K306,"Juste rentable","Perte"))))</f>
        <v/>
      </c>
      <c r="N306" s="24" t="str">
        <f t="shared" si="24"/>
        <v/>
      </c>
    </row>
    <row r="307" spans="1:14" x14ac:dyDescent="0.25">
      <c r="A307" s="38"/>
      <c r="B307" s="18"/>
      <c r="C307" s="18"/>
      <c r="D307" s="18"/>
      <c r="E307" s="19"/>
      <c r="F307" s="20"/>
      <c r="G307" s="20"/>
      <c r="H307" s="25" t="str">
        <f t="shared" si="20"/>
        <v/>
      </c>
      <c r="I307" s="39" t="str">
        <f t="shared" si="21"/>
        <v/>
      </c>
      <c r="J307" s="25" t="str">
        <f t="shared" si="22"/>
        <v/>
      </c>
      <c r="K307" s="25" t="str">
        <f>IF(C307="","",IFERROR(INDEX(Catalogue!$K$6:$K$55,MATCH(C307,Catalogue!$B$6:$B$55,0)),""))</f>
        <v/>
      </c>
      <c r="L307" s="25" t="str">
        <f t="shared" si="23"/>
        <v/>
      </c>
      <c r="M307" s="28" t="str">
        <f>IF(OR(E307="",K307=""),"",IF(N(G307)=0,"Pas de vente aujourd’hui",IF(J307&lt;K307*Paramètres!$B$11,"Rentable",IF(J307&lt;=K307,"Juste rentable","Perte"))))</f>
        <v/>
      </c>
      <c r="N307" s="24" t="str">
        <f t="shared" si="24"/>
        <v/>
      </c>
    </row>
    <row r="308" spans="1:14" x14ac:dyDescent="0.25">
      <c r="A308" s="38"/>
      <c r="B308" s="18"/>
      <c r="C308" s="18"/>
      <c r="D308" s="18"/>
      <c r="E308" s="19"/>
      <c r="F308" s="20"/>
      <c r="G308" s="20"/>
      <c r="H308" s="25" t="str">
        <f t="shared" si="20"/>
        <v/>
      </c>
      <c r="I308" s="39" t="str">
        <f t="shared" si="21"/>
        <v/>
      </c>
      <c r="J308" s="25" t="str">
        <f t="shared" si="22"/>
        <v/>
      </c>
      <c r="K308" s="25" t="str">
        <f>IF(C308="","",IFERROR(INDEX(Catalogue!$K$6:$K$55,MATCH(C308,Catalogue!$B$6:$B$55,0)),""))</f>
        <v/>
      </c>
      <c r="L308" s="25" t="str">
        <f t="shared" si="23"/>
        <v/>
      </c>
      <c r="M308" s="28" t="str">
        <f>IF(OR(E308="",K308=""),"",IF(N(G308)=0,"Pas de vente aujourd’hui",IF(J308&lt;K308*Paramètres!$B$11,"Rentable",IF(J308&lt;=K308,"Juste rentable","Perte"))))</f>
        <v/>
      </c>
      <c r="N308" s="24" t="str">
        <f t="shared" si="24"/>
        <v/>
      </c>
    </row>
    <row r="309" spans="1:14" x14ac:dyDescent="0.25">
      <c r="A309" s="38"/>
      <c r="B309" s="18"/>
      <c r="C309" s="18"/>
      <c r="D309" s="18"/>
      <c r="E309" s="19"/>
      <c r="F309" s="20"/>
      <c r="G309" s="20"/>
      <c r="H309" s="25" t="str">
        <f t="shared" si="20"/>
        <v/>
      </c>
      <c r="I309" s="39" t="str">
        <f t="shared" si="21"/>
        <v/>
      </c>
      <c r="J309" s="25" t="str">
        <f t="shared" si="22"/>
        <v/>
      </c>
      <c r="K309" s="25" t="str">
        <f>IF(C309="","",IFERROR(INDEX(Catalogue!$K$6:$K$55,MATCH(C309,Catalogue!$B$6:$B$55,0)),""))</f>
        <v/>
      </c>
      <c r="L309" s="25" t="str">
        <f t="shared" si="23"/>
        <v/>
      </c>
      <c r="M309" s="28" t="str">
        <f>IF(OR(E309="",K309=""),"",IF(N(G309)=0,"Pas de vente aujourd’hui",IF(J309&lt;K309*Paramètres!$B$11,"Rentable",IF(J309&lt;=K309,"Juste rentable","Perte"))))</f>
        <v/>
      </c>
      <c r="N309" s="24" t="str">
        <f t="shared" si="24"/>
        <v/>
      </c>
    </row>
    <row r="310" spans="1:14" x14ac:dyDescent="0.25">
      <c r="A310" s="38"/>
      <c r="B310" s="18"/>
      <c r="C310" s="18"/>
      <c r="D310" s="18"/>
      <c r="E310" s="19"/>
      <c r="F310" s="20"/>
      <c r="G310" s="20"/>
      <c r="H310" s="25" t="str">
        <f t="shared" si="20"/>
        <v/>
      </c>
      <c r="I310" s="39" t="str">
        <f t="shared" si="21"/>
        <v/>
      </c>
      <c r="J310" s="25" t="str">
        <f t="shared" si="22"/>
        <v/>
      </c>
      <c r="K310" s="25" t="str">
        <f>IF(C310="","",IFERROR(INDEX(Catalogue!$K$6:$K$55,MATCH(C310,Catalogue!$B$6:$B$55,0)),""))</f>
        <v/>
      </c>
      <c r="L310" s="25" t="str">
        <f t="shared" si="23"/>
        <v/>
      </c>
      <c r="M310" s="28" t="str">
        <f>IF(OR(E310="",K310=""),"",IF(N(G310)=0,"Pas de vente aujourd’hui",IF(J310&lt;K310*Paramètres!$B$11,"Rentable",IF(J310&lt;=K310,"Juste rentable","Perte"))))</f>
        <v/>
      </c>
      <c r="N310" s="24" t="str">
        <f t="shared" si="24"/>
        <v/>
      </c>
    </row>
    <row r="311" spans="1:14" x14ac:dyDescent="0.25">
      <c r="A311" s="38"/>
      <c r="B311" s="18"/>
      <c r="C311" s="18"/>
      <c r="D311" s="18"/>
      <c r="E311" s="19"/>
      <c r="F311" s="20"/>
      <c r="G311" s="20"/>
      <c r="H311" s="25" t="str">
        <f t="shared" si="20"/>
        <v/>
      </c>
      <c r="I311" s="39" t="str">
        <f t="shared" si="21"/>
        <v/>
      </c>
      <c r="J311" s="25" t="str">
        <f t="shared" si="22"/>
        <v/>
      </c>
      <c r="K311" s="25" t="str">
        <f>IF(C311="","",IFERROR(INDEX(Catalogue!$K$6:$K$55,MATCH(C311,Catalogue!$B$6:$B$55,0)),""))</f>
        <v/>
      </c>
      <c r="L311" s="25" t="str">
        <f t="shared" si="23"/>
        <v/>
      </c>
      <c r="M311" s="28" t="str">
        <f>IF(OR(E311="",K311=""),"",IF(N(G311)=0,"Pas de vente aujourd’hui",IF(J311&lt;K311*Paramètres!$B$11,"Rentable",IF(J311&lt;=K311,"Juste rentable","Perte"))))</f>
        <v/>
      </c>
      <c r="N311" s="24" t="str">
        <f t="shared" si="24"/>
        <v/>
      </c>
    </row>
    <row r="312" spans="1:14" x14ac:dyDescent="0.25">
      <c r="A312" s="38"/>
      <c r="B312" s="18"/>
      <c r="C312" s="18"/>
      <c r="D312" s="18"/>
      <c r="E312" s="19"/>
      <c r="F312" s="20"/>
      <c r="G312" s="20"/>
      <c r="H312" s="25" t="str">
        <f t="shared" si="20"/>
        <v/>
      </c>
      <c r="I312" s="39" t="str">
        <f t="shared" si="21"/>
        <v/>
      </c>
      <c r="J312" s="25" t="str">
        <f t="shared" si="22"/>
        <v/>
      </c>
      <c r="K312" s="25" t="str">
        <f>IF(C312="","",IFERROR(INDEX(Catalogue!$K$6:$K$55,MATCH(C312,Catalogue!$B$6:$B$55,0)),""))</f>
        <v/>
      </c>
      <c r="L312" s="25" t="str">
        <f t="shared" si="23"/>
        <v/>
      </c>
      <c r="M312" s="28" t="str">
        <f>IF(OR(E312="",K312=""),"",IF(N(G312)=0,"Pas de vente aujourd’hui",IF(J312&lt;K312*Paramètres!$B$11,"Rentable",IF(J312&lt;=K312,"Juste rentable","Perte"))))</f>
        <v/>
      </c>
      <c r="N312" s="24" t="str">
        <f t="shared" si="24"/>
        <v/>
      </c>
    </row>
    <row r="313" spans="1:14" x14ac:dyDescent="0.25">
      <c r="A313" s="38"/>
      <c r="B313" s="18"/>
      <c r="C313" s="18"/>
      <c r="D313" s="18"/>
      <c r="E313" s="19"/>
      <c r="F313" s="20"/>
      <c r="G313" s="20"/>
      <c r="H313" s="25" t="str">
        <f t="shared" si="20"/>
        <v/>
      </c>
      <c r="I313" s="39" t="str">
        <f t="shared" si="21"/>
        <v/>
      </c>
      <c r="J313" s="25" t="str">
        <f t="shared" si="22"/>
        <v/>
      </c>
      <c r="K313" s="25" t="str">
        <f>IF(C313="","",IFERROR(INDEX(Catalogue!$K$6:$K$55,MATCH(C313,Catalogue!$B$6:$B$55,0)),""))</f>
        <v/>
      </c>
      <c r="L313" s="25" t="str">
        <f t="shared" si="23"/>
        <v/>
      </c>
      <c r="M313" s="28" t="str">
        <f>IF(OR(E313="",K313=""),"",IF(N(G313)=0,"Pas de vente aujourd’hui",IF(J313&lt;K313*Paramètres!$B$11,"Rentable",IF(J313&lt;=K313,"Juste rentable","Perte"))))</f>
        <v/>
      </c>
      <c r="N313" s="24" t="str">
        <f t="shared" si="24"/>
        <v/>
      </c>
    </row>
    <row r="314" spans="1:14" x14ac:dyDescent="0.25">
      <c r="A314" s="38"/>
      <c r="B314" s="18"/>
      <c r="C314" s="18"/>
      <c r="D314" s="18"/>
      <c r="E314" s="19"/>
      <c r="F314" s="20"/>
      <c r="G314" s="20"/>
      <c r="H314" s="25" t="str">
        <f t="shared" si="20"/>
        <v/>
      </c>
      <c r="I314" s="39" t="str">
        <f t="shared" si="21"/>
        <v/>
      </c>
      <c r="J314" s="25" t="str">
        <f t="shared" si="22"/>
        <v/>
      </c>
      <c r="K314" s="25" t="str">
        <f>IF(C314="","",IFERROR(INDEX(Catalogue!$K$6:$K$55,MATCH(C314,Catalogue!$B$6:$B$55,0)),""))</f>
        <v/>
      </c>
      <c r="L314" s="25" t="str">
        <f t="shared" si="23"/>
        <v/>
      </c>
      <c r="M314" s="28" t="str">
        <f>IF(OR(E314="",K314=""),"",IF(N(G314)=0,"Pas de vente aujourd’hui",IF(J314&lt;K314*Paramètres!$B$11,"Rentable",IF(J314&lt;=K314,"Juste rentable","Perte"))))</f>
        <v/>
      </c>
      <c r="N314" s="24" t="str">
        <f t="shared" si="24"/>
        <v/>
      </c>
    </row>
    <row r="315" spans="1:14" x14ac:dyDescent="0.25">
      <c r="A315" s="38"/>
      <c r="B315" s="18"/>
      <c r="C315" s="18"/>
      <c r="D315" s="18"/>
      <c r="E315" s="19"/>
      <c r="F315" s="20"/>
      <c r="G315" s="20"/>
      <c r="H315" s="25" t="str">
        <f t="shared" si="20"/>
        <v/>
      </c>
      <c r="I315" s="39" t="str">
        <f t="shared" si="21"/>
        <v/>
      </c>
      <c r="J315" s="25" t="str">
        <f t="shared" si="22"/>
        <v/>
      </c>
      <c r="K315" s="25" t="str">
        <f>IF(C315="","",IFERROR(INDEX(Catalogue!$K$6:$K$55,MATCH(C315,Catalogue!$B$6:$B$55,0)),""))</f>
        <v/>
      </c>
      <c r="L315" s="25" t="str">
        <f t="shared" si="23"/>
        <v/>
      </c>
      <c r="M315" s="28" t="str">
        <f>IF(OR(E315="",K315=""),"",IF(N(G315)=0,"Pas de vente aujourd’hui",IF(J315&lt;K315*Paramètres!$B$11,"Rentable",IF(J315&lt;=K315,"Juste rentable","Perte"))))</f>
        <v/>
      </c>
      <c r="N315" s="24" t="str">
        <f t="shared" si="24"/>
        <v/>
      </c>
    </row>
    <row r="316" spans="1:14" x14ac:dyDescent="0.25">
      <c r="A316" s="38"/>
      <c r="B316" s="18"/>
      <c r="C316" s="18"/>
      <c r="D316" s="18"/>
      <c r="E316" s="19"/>
      <c r="F316" s="20"/>
      <c r="G316" s="20"/>
      <c r="H316" s="25" t="str">
        <f t="shared" si="20"/>
        <v/>
      </c>
      <c r="I316" s="39" t="str">
        <f t="shared" si="21"/>
        <v/>
      </c>
      <c r="J316" s="25" t="str">
        <f t="shared" si="22"/>
        <v/>
      </c>
      <c r="K316" s="25" t="str">
        <f>IF(C316="","",IFERROR(INDEX(Catalogue!$K$6:$K$55,MATCH(C316,Catalogue!$B$6:$B$55,0)),""))</f>
        <v/>
      </c>
      <c r="L316" s="25" t="str">
        <f t="shared" si="23"/>
        <v/>
      </c>
      <c r="M316" s="28" t="str">
        <f>IF(OR(E316="",K316=""),"",IF(N(G316)=0,"Pas de vente aujourd’hui",IF(J316&lt;K316*Paramètres!$B$11,"Rentable",IF(J316&lt;=K316,"Juste rentable","Perte"))))</f>
        <v/>
      </c>
      <c r="N316" s="24" t="str">
        <f t="shared" si="24"/>
        <v/>
      </c>
    </row>
    <row r="317" spans="1:14" x14ac:dyDescent="0.25">
      <c r="A317" s="38"/>
      <c r="B317" s="18"/>
      <c r="C317" s="18"/>
      <c r="D317" s="18"/>
      <c r="E317" s="19"/>
      <c r="F317" s="20"/>
      <c r="G317" s="20"/>
      <c r="H317" s="25" t="str">
        <f t="shared" si="20"/>
        <v/>
      </c>
      <c r="I317" s="39" t="str">
        <f t="shared" si="21"/>
        <v/>
      </c>
      <c r="J317" s="25" t="str">
        <f t="shared" si="22"/>
        <v/>
      </c>
      <c r="K317" s="25" t="str">
        <f>IF(C317="","",IFERROR(INDEX(Catalogue!$K$6:$K$55,MATCH(C317,Catalogue!$B$6:$B$55,0)),""))</f>
        <v/>
      </c>
      <c r="L317" s="25" t="str">
        <f t="shared" si="23"/>
        <v/>
      </c>
      <c r="M317" s="28" t="str">
        <f>IF(OR(E317="",K317=""),"",IF(N(G317)=0,"Pas de vente aujourd’hui",IF(J317&lt;K317*Paramètres!$B$11,"Rentable",IF(J317&lt;=K317,"Juste rentable","Perte"))))</f>
        <v/>
      </c>
      <c r="N317" s="24" t="str">
        <f t="shared" si="24"/>
        <v/>
      </c>
    </row>
    <row r="318" spans="1:14" x14ac:dyDescent="0.25">
      <c r="A318" s="38"/>
      <c r="B318" s="18"/>
      <c r="C318" s="18"/>
      <c r="D318" s="18"/>
      <c r="E318" s="19"/>
      <c r="F318" s="20"/>
      <c r="G318" s="20"/>
      <c r="H318" s="25" t="str">
        <f t="shared" si="20"/>
        <v/>
      </c>
      <c r="I318" s="39" t="str">
        <f t="shared" si="21"/>
        <v/>
      </c>
      <c r="J318" s="25" t="str">
        <f t="shared" si="22"/>
        <v/>
      </c>
      <c r="K318" s="25" t="str">
        <f>IF(C318="","",IFERROR(INDEX(Catalogue!$K$6:$K$55,MATCH(C318,Catalogue!$B$6:$B$55,0)),""))</f>
        <v/>
      </c>
      <c r="L318" s="25" t="str">
        <f t="shared" si="23"/>
        <v/>
      </c>
      <c r="M318" s="28" t="str">
        <f>IF(OR(E318="",K318=""),"",IF(N(G318)=0,"Pas de vente aujourd’hui",IF(J318&lt;K318*Paramètres!$B$11,"Rentable",IF(J318&lt;=K318,"Juste rentable","Perte"))))</f>
        <v/>
      </c>
      <c r="N318" s="24" t="str">
        <f t="shared" si="24"/>
        <v/>
      </c>
    </row>
    <row r="319" spans="1:14" x14ac:dyDescent="0.25">
      <c r="A319" s="38"/>
      <c r="B319" s="18"/>
      <c r="C319" s="18"/>
      <c r="D319" s="18"/>
      <c r="E319" s="19"/>
      <c r="F319" s="20"/>
      <c r="G319" s="20"/>
      <c r="H319" s="25" t="str">
        <f t="shared" si="20"/>
        <v/>
      </c>
      <c r="I319" s="39" t="str">
        <f t="shared" si="21"/>
        <v/>
      </c>
      <c r="J319" s="25" t="str">
        <f t="shared" si="22"/>
        <v/>
      </c>
      <c r="K319" s="25" t="str">
        <f>IF(C319="","",IFERROR(INDEX(Catalogue!$K$6:$K$55,MATCH(C319,Catalogue!$B$6:$B$55,0)),""))</f>
        <v/>
      </c>
      <c r="L319" s="25" t="str">
        <f t="shared" si="23"/>
        <v/>
      </c>
      <c r="M319" s="28" t="str">
        <f>IF(OR(E319="",K319=""),"",IF(N(G319)=0,"Pas de vente aujourd’hui",IF(J319&lt;K319*Paramètres!$B$11,"Rentable",IF(J319&lt;=K319,"Juste rentable","Perte"))))</f>
        <v/>
      </c>
      <c r="N319" s="24" t="str">
        <f t="shared" si="24"/>
        <v/>
      </c>
    </row>
    <row r="320" spans="1:14" x14ac:dyDescent="0.25">
      <c r="A320" s="38"/>
      <c r="B320" s="18"/>
      <c r="C320" s="18"/>
      <c r="D320" s="18"/>
      <c r="E320" s="19"/>
      <c r="F320" s="20"/>
      <c r="G320" s="20"/>
      <c r="H320" s="25" t="str">
        <f t="shared" si="20"/>
        <v/>
      </c>
      <c r="I320" s="39" t="str">
        <f t="shared" si="21"/>
        <v/>
      </c>
      <c r="J320" s="25" t="str">
        <f t="shared" si="22"/>
        <v/>
      </c>
      <c r="K320" s="25" t="str">
        <f>IF(C320="","",IFERROR(INDEX(Catalogue!$K$6:$K$55,MATCH(C320,Catalogue!$B$6:$B$55,0)),""))</f>
        <v/>
      </c>
      <c r="L320" s="25" t="str">
        <f t="shared" si="23"/>
        <v/>
      </c>
      <c r="M320" s="28" t="str">
        <f>IF(OR(E320="",K320=""),"",IF(N(G320)=0,"Pas de vente aujourd’hui",IF(J320&lt;K320*Paramètres!$B$11,"Rentable",IF(J320&lt;=K320,"Juste rentable","Perte"))))</f>
        <v/>
      </c>
      <c r="N320" s="24" t="str">
        <f t="shared" si="24"/>
        <v/>
      </c>
    </row>
    <row r="321" spans="1:14" x14ac:dyDescent="0.25">
      <c r="A321" s="38"/>
      <c r="B321" s="18"/>
      <c r="C321" s="18"/>
      <c r="D321" s="18"/>
      <c r="E321" s="19"/>
      <c r="F321" s="20"/>
      <c r="G321" s="20"/>
      <c r="H321" s="25" t="str">
        <f t="shared" si="20"/>
        <v/>
      </c>
      <c r="I321" s="39" t="str">
        <f t="shared" si="21"/>
        <v/>
      </c>
      <c r="J321" s="25" t="str">
        <f t="shared" si="22"/>
        <v/>
      </c>
      <c r="K321" s="25" t="str">
        <f>IF(C321="","",IFERROR(INDEX(Catalogue!$K$6:$K$55,MATCH(C321,Catalogue!$B$6:$B$55,0)),""))</f>
        <v/>
      </c>
      <c r="L321" s="25" t="str">
        <f t="shared" si="23"/>
        <v/>
      </c>
      <c r="M321" s="28" t="str">
        <f>IF(OR(E321="",K321=""),"",IF(N(G321)=0,"Pas de vente aujourd’hui",IF(J321&lt;K321*Paramètres!$B$11,"Rentable",IF(J321&lt;=K321,"Juste rentable","Perte"))))</f>
        <v/>
      </c>
      <c r="N321" s="24" t="str">
        <f t="shared" si="24"/>
        <v/>
      </c>
    </row>
    <row r="322" spans="1:14" x14ac:dyDescent="0.25">
      <c r="A322" s="38"/>
      <c r="B322" s="18"/>
      <c r="C322" s="18"/>
      <c r="D322" s="18"/>
      <c r="E322" s="19"/>
      <c r="F322" s="20"/>
      <c r="G322" s="20"/>
      <c r="H322" s="25" t="str">
        <f t="shared" si="20"/>
        <v/>
      </c>
      <c r="I322" s="39" t="str">
        <f t="shared" si="21"/>
        <v/>
      </c>
      <c r="J322" s="25" t="str">
        <f t="shared" si="22"/>
        <v/>
      </c>
      <c r="K322" s="25" t="str">
        <f>IF(C322="","",IFERROR(INDEX(Catalogue!$K$6:$K$55,MATCH(C322,Catalogue!$B$6:$B$55,0)),""))</f>
        <v/>
      </c>
      <c r="L322" s="25" t="str">
        <f t="shared" si="23"/>
        <v/>
      </c>
      <c r="M322" s="28" t="str">
        <f>IF(OR(E322="",K322=""),"",IF(N(G322)=0,"Pas de vente aujourd’hui",IF(J322&lt;K322*Paramètres!$B$11,"Rentable",IF(J322&lt;=K322,"Juste rentable","Perte"))))</f>
        <v/>
      </c>
      <c r="N322" s="24" t="str">
        <f t="shared" si="24"/>
        <v/>
      </c>
    </row>
    <row r="323" spans="1:14" x14ac:dyDescent="0.25">
      <c r="A323" s="38"/>
      <c r="B323" s="18"/>
      <c r="C323" s="18"/>
      <c r="D323" s="18"/>
      <c r="E323" s="19"/>
      <c r="F323" s="20"/>
      <c r="G323" s="20"/>
      <c r="H323" s="25" t="str">
        <f t="shared" si="20"/>
        <v/>
      </c>
      <c r="I323" s="39" t="str">
        <f t="shared" si="21"/>
        <v/>
      </c>
      <c r="J323" s="25" t="str">
        <f t="shared" si="22"/>
        <v/>
      </c>
      <c r="K323" s="25" t="str">
        <f>IF(C323="","",IFERROR(INDEX(Catalogue!$K$6:$K$55,MATCH(C323,Catalogue!$B$6:$B$55,0)),""))</f>
        <v/>
      </c>
      <c r="L323" s="25" t="str">
        <f t="shared" si="23"/>
        <v/>
      </c>
      <c r="M323" s="28" t="str">
        <f>IF(OR(E323="",K323=""),"",IF(N(G323)=0,"Pas de vente aujourd’hui",IF(J323&lt;K323*Paramètres!$B$11,"Rentable",IF(J323&lt;=K323,"Juste rentable","Perte"))))</f>
        <v/>
      </c>
      <c r="N323" s="24" t="str">
        <f t="shared" si="24"/>
        <v/>
      </c>
    </row>
    <row r="324" spans="1:14" x14ac:dyDescent="0.25">
      <c r="A324" s="38"/>
      <c r="B324" s="18"/>
      <c r="C324" s="18"/>
      <c r="D324" s="18"/>
      <c r="E324" s="19"/>
      <c r="F324" s="20"/>
      <c r="G324" s="20"/>
      <c r="H324" s="25" t="str">
        <f t="shared" si="20"/>
        <v/>
      </c>
      <c r="I324" s="39" t="str">
        <f t="shared" si="21"/>
        <v/>
      </c>
      <c r="J324" s="25" t="str">
        <f t="shared" si="22"/>
        <v/>
      </c>
      <c r="K324" s="25" t="str">
        <f>IF(C324="","",IFERROR(INDEX(Catalogue!$K$6:$K$55,MATCH(C324,Catalogue!$B$6:$B$55,0)),""))</f>
        <v/>
      </c>
      <c r="L324" s="25" t="str">
        <f t="shared" si="23"/>
        <v/>
      </c>
      <c r="M324" s="28" t="str">
        <f>IF(OR(E324="",K324=""),"",IF(N(G324)=0,"Pas de vente aujourd’hui",IF(J324&lt;K324*Paramètres!$B$11,"Rentable",IF(J324&lt;=K324,"Juste rentable","Perte"))))</f>
        <v/>
      </c>
      <c r="N324" s="24" t="str">
        <f t="shared" si="24"/>
        <v/>
      </c>
    </row>
    <row r="325" spans="1:14" x14ac:dyDescent="0.25">
      <c r="A325" s="38"/>
      <c r="B325" s="18"/>
      <c r="C325" s="18"/>
      <c r="D325" s="18"/>
      <c r="E325" s="19"/>
      <c r="F325" s="20"/>
      <c r="G325" s="20"/>
      <c r="H325" s="25" t="str">
        <f t="shared" si="20"/>
        <v/>
      </c>
      <c r="I325" s="39" t="str">
        <f t="shared" si="21"/>
        <v/>
      </c>
      <c r="J325" s="25" t="str">
        <f t="shared" si="22"/>
        <v/>
      </c>
      <c r="K325" s="25" t="str">
        <f>IF(C325="","",IFERROR(INDEX(Catalogue!$K$6:$K$55,MATCH(C325,Catalogue!$B$6:$B$55,0)),""))</f>
        <v/>
      </c>
      <c r="L325" s="25" t="str">
        <f t="shared" si="23"/>
        <v/>
      </c>
      <c r="M325" s="28" t="str">
        <f>IF(OR(E325="",K325=""),"",IF(N(G325)=0,"Pas de vente aujourd’hui",IF(J325&lt;K325*Paramètres!$B$11,"Rentable",IF(J325&lt;=K325,"Juste rentable","Perte"))))</f>
        <v/>
      </c>
      <c r="N325" s="24" t="str">
        <f t="shared" si="24"/>
        <v/>
      </c>
    </row>
    <row r="326" spans="1:14" x14ac:dyDescent="0.25">
      <c r="A326" s="38"/>
      <c r="B326" s="18"/>
      <c r="C326" s="18"/>
      <c r="D326" s="18"/>
      <c r="E326" s="19"/>
      <c r="F326" s="20"/>
      <c r="G326" s="20"/>
      <c r="H326" s="25" t="str">
        <f t="shared" ref="H326:H370" si="25">IF(N(F326)&gt;0,E326/F326,"")</f>
        <v/>
      </c>
      <c r="I326" s="39" t="str">
        <f t="shared" ref="I326:I370" si="26">IF(N(F326)&gt;0,G326/F326,"")</f>
        <v/>
      </c>
      <c r="J326" s="25" t="str">
        <f t="shared" ref="J326:J370" si="27">IF(N(G326)&gt;0,E326/G326,"")</f>
        <v/>
      </c>
      <c r="K326" s="25" t="str">
        <f>IF(C326="","",IFERROR(INDEX(Catalogue!$K$6:$K$55,MATCH(C326,Catalogue!$B$6:$B$55,0)),""))</f>
        <v/>
      </c>
      <c r="L326" s="25" t="str">
        <f t="shared" ref="L326:L389" si="28">IF(OR(E326="",K326=""),"",N(G326)*K326-E326)</f>
        <v/>
      </c>
      <c r="M326" s="28" t="str">
        <f>IF(OR(E326="",K326=""),"",IF(N(G326)=0,"Pas de vente aujourd’hui",IF(J326&lt;K326*Paramètres!$B$11,"Rentable",IF(J326&lt;=K326,"Juste rentable","Perte"))))</f>
        <v/>
      </c>
      <c r="N326" s="24" t="str">
        <f t="shared" ref="N326:N370" si="29">IF(A326="","",DATE(YEAR(A326),MONTH(A326),1))</f>
        <v/>
      </c>
    </row>
    <row r="327" spans="1:14" x14ac:dyDescent="0.25">
      <c r="A327" s="38"/>
      <c r="B327" s="18"/>
      <c r="C327" s="18"/>
      <c r="D327" s="18"/>
      <c r="E327" s="19"/>
      <c r="F327" s="20"/>
      <c r="G327" s="20"/>
      <c r="H327" s="25" t="str">
        <f t="shared" si="25"/>
        <v/>
      </c>
      <c r="I327" s="39" t="str">
        <f t="shared" si="26"/>
        <v/>
      </c>
      <c r="J327" s="25" t="str">
        <f t="shared" si="27"/>
        <v/>
      </c>
      <c r="K327" s="25" t="str">
        <f>IF(C327="","",IFERROR(INDEX(Catalogue!$K$6:$K$55,MATCH(C327,Catalogue!$B$6:$B$55,0)),""))</f>
        <v/>
      </c>
      <c r="L327" s="25" t="str">
        <f t="shared" si="28"/>
        <v/>
      </c>
      <c r="M327" s="28" t="str">
        <f>IF(OR(E327="",K327=""),"",IF(N(G327)=0,"Pas de vente aujourd’hui",IF(J327&lt;K327*Paramètres!$B$11,"Rentable",IF(J327&lt;=K327,"Juste rentable","Perte"))))</f>
        <v/>
      </c>
      <c r="N327" s="24" t="str">
        <f t="shared" si="29"/>
        <v/>
      </c>
    </row>
    <row r="328" spans="1:14" x14ac:dyDescent="0.25">
      <c r="A328" s="38"/>
      <c r="B328" s="18"/>
      <c r="C328" s="18"/>
      <c r="D328" s="18"/>
      <c r="E328" s="19"/>
      <c r="F328" s="20"/>
      <c r="G328" s="20"/>
      <c r="H328" s="25" t="str">
        <f t="shared" si="25"/>
        <v/>
      </c>
      <c r="I328" s="39" t="str">
        <f t="shared" si="26"/>
        <v/>
      </c>
      <c r="J328" s="25" t="str">
        <f t="shared" si="27"/>
        <v/>
      </c>
      <c r="K328" s="25" t="str">
        <f>IF(C328="","",IFERROR(INDEX(Catalogue!$K$6:$K$55,MATCH(C328,Catalogue!$B$6:$B$55,0)),""))</f>
        <v/>
      </c>
      <c r="L328" s="25" t="str">
        <f t="shared" si="28"/>
        <v/>
      </c>
      <c r="M328" s="28" t="str">
        <f>IF(OR(E328="",K328=""),"",IF(N(G328)=0,"Pas de vente aujourd’hui",IF(J328&lt;K328*Paramètres!$B$11,"Rentable",IF(J328&lt;=K328,"Juste rentable","Perte"))))</f>
        <v/>
      </c>
      <c r="N328" s="24" t="str">
        <f t="shared" si="29"/>
        <v/>
      </c>
    </row>
    <row r="329" spans="1:14" x14ac:dyDescent="0.25">
      <c r="A329" s="38"/>
      <c r="B329" s="18"/>
      <c r="C329" s="18"/>
      <c r="D329" s="18"/>
      <c r="E329" s="19"/>
      <c r="F329" s="20"/>
      <c r="G329" s="20"/>
      <c r="H329" s="25" t="str">
        <f t="shared" si="25"/>
        <v/>
      </c>
      <c r="I329" s="39" t="str">
        <f t="shared" si="26"/>
        <v/>
      </c>
      <c r="J329" s="25" t="str">
        <f t="shared" si="27"/>
        <v/>
      </c>
      <c r="K329" s="25" t="str">
        <f>IF(C329="","",IFERROR(INDEX(Catalogue!$K$6:$K$55,MATCH(C329,Catalogue!$B$6:$B$55,0)),""))</f>
        <v/>
      </c>
      <c r="L329" s="25" t="str">
        <f t="shared" si="28"/>
        <v/>
      </c>
      <c r="M329" s="28" t="str">
        <f>IF(OR(E329="",K329=""),"",IF(N(G329)=0,"Pas de vente aujourd’hui",IF(J329&lt;K329*Paramètres!$B$11,"Rentable",IF(J329&lt;=K329,"Juste rentable","Perte"))))</f>
        <v/>
      </c>
      <c r="N329" s="24" t="str">
        <f t="shared" si="29"/>
        <v/>
      </c>
    </row>
    <row r="330" spans="1:14" x14ac:dyDescent="0.25">
      <c r="A330" s="38"/>
      <c r="B330" s="18"/>
      <c r="C330" s="18"/>
      <c r="D330" s="18"/>
      <c r="E330" s="19"/>
      <c r="F330" s="20"/>
      <c r="G330" s="20"/>
      <c r="H330" s="25" t="str">
        <f t="shared" si="25"/>
        <v/>
      </c>
      <c r="I330" s="39" t="str">
        <f t="shared" si="26"/>
        <v/>
      </c>
      <c r="J330" s="25" t="str">
        <f t="shared" si="27"/>
        <v/>
      </c>
      <c r="K330" s="25" t="str">
        <f>IF(C330="","",IFERROR(INDEX(Catalogue!$K$6:$K$55,MATCH(C330,Catalogue!$B$6:$B$55,0)),""))</f>
        <v/>
      </c>
      <c r="L330" s="25" t="str">
        <f t="shared" si="28"/>
        <v/>
      </c>
      <c r="M330" s="28" t="str">
        <f>IF(OR(E330="",K330=""),"",IF(N(G330)=0,"Pas de vente aujourd’hui",IF(J330&lt;K330*Paramètres!$B$11,"Rentable",IF(J330&lt;=K330,"Juste rentable","Perte"))))</f>
        <v/>
      </c>
      <c r="N330" s="24" t="str">
        <f t="shared" si="29"/>
        <v/>
      </c>
    </row>
    <row r="331" spans="1:14" x14ac:dyDescent="0.25">
      <c r="A331" s="38"/>
      <c r="B331" s="18"/>
      <c r="C331" s="18"/>
      <c r="D331" s="18"/>
      <c r="E331" s="19"/>
      <c r="F331" s="20"/>
      <c r="G331" s="20"/>
      <c r="H331" s="25" t="str">
        <f t="shared" si="25"/>
        <v/>
      </c>
      <c r="I331" s="39" t="str">
        <f t="shared" si="26"/>
        <v/>
      </c>
      <c r="J331" s="25" t="str">
        <f t="shared" si="27"/>
        <v/>
      </c>
      <c r="K331" s="25" t="str">
        <f>IF(C331="","",IFERROR(INDEX(Catalogue!$K$6:$K$55,MATCH(C331,Catalogue!$B$6:$B$55,0)),""))</f>
        <v/>
      </c>
      <c r="L331" s="25" t="str">
        <f t="shared" si="28"/>
        <v/>
      </c>
      <c r="M331" s="28" t="str">
        <f>IF(OR(E331="",K331=""),"",IF(N(G331)=0,"Pas de vente aujourd’hui",IF(J331&lt;K331*Paramètres!$B$11,"Rentable",IF(J331&lt;=K331,"Juste rentable","Perte"))))</f>
        <v/>
      </c>
      <c r="N331" s="24" t="str">
        <f t="shared" si="29"/>
        <v/>
      </c>
    </row>
    <row r="332" spans="1:14" x14ac:dyDescent="0.25">
      <c r="A332" s="38"/>
      <c r="B332" s="18"/>
      <c r="C332" s="18"/>
      <c r="D332" s="18"/>
      <c r="E332" s="19"/>
      <c r="F332" s="20"/>
      <c r="G332" s="20"/>
      <c r="H332" s="25" t="str">
        <f t="shared" si="25"/>
        <v/>
      </c>
      <c r="I332" s="39" t="str">
        <f t="shared" si="26"/>
        <v/>
      </c>
      <c r="J332" s="25" t="str">
        <f t="shared" si="27"/>
        <v/>
      </c>
      <c r="K332" s="25" t="str">
        <f>IF(C332="","",IFERROR(INDEX(Catalogue!$K$6:$K$55,MATCH(C332,Catalogue!$B$6:$B$55,0)),""))</f>
        <v/>
      </c>
      <c r="L332" s="25" t="str">
        <f t="shared" si="28"/>
        <v/>
      </c>
      <c r="M332" s="28" t="str">
        <f>IF(OR(E332="",K332=""),"",IF(N(G332)=0,"Pas de vente aujourd’hui",IF(J332&lt;K332*Paramètres!$B$11,"Rentable",IF(J332&lt;=K332,"Juste rentable","Perte"))))</f>
        <v/>
      </c>
      <c r="N332" s="24" t="str">
        <f t="shared" si="29"/>
        <v/>
      </c>
    </row>
    <row r="333" spans="1:14" x14ac:dyDescent="0.25">
      <c r="A333" s="38"/>
      <c r="B333" s="18"/>
      <c r="C333" s="18"/>
      <c r="D333" s="18"/>
      <c r="E333" s="19"/>
      <c r="F333" s="20"/>
      <c r="G333" s="20"/>
      <c r="H333" s="25" t="str">
        <f t="shared" si="25"/>
        <v/>
      </c>
      <c r="I333" s="39" t="str">
        <f t="shared" si="26"/>
        <v/>
      </c>
      <c r="J333" s="25" t="str">
        <f t="shared" si="27"/>
        <v/>
      </c>
      <c r="K333" s="25" t="str">
        <f>IF(C333="","",IFERROR(INDEX(Catalogue!$K$6:$K$55,MATCH(C333,Catalogue!$B$6:$B$55,0)),""))</f>
        <v/>
      </c>
      <c r="L333" s="25" t="str">
        <f t="shared" si="28"/>
        <v/>
      </c>
      <c r="M333" s="28" t="str">
        <f>IF(OR(E333="",K333=""),"",IF(N(G333)=0,"Pas de vente aujourd’hui",IF(J333&lt;K333*Paramètres!$B$11,"Rentable",IF(J333&lt;=K333,"Juste rentable","Perte"))))</f>
        <v/>
      </c>
      <c r="N333" s="24" t="str">
        <f t="shared" si="29"/>
        <v/>
      </c>
    </row>
    <row r="334" spans="1:14" x14ac:dyDescent="0.25">
      <c r="A334" s="38"/>
      <c r="B334" s="18"/>
      <c r="C334" s="18"/>
      <c r="D334" s="18"/>
      <c r="E334" s="19"/>
      <c r="F334" s="20"/>
      <c r="G334" s="20"/>
      <c r="H334" s="25" t="str">
        <f t="shared" si="25"/>
        <v/>
      </c>
      <c r="I334" s="39" t="str">
        <f t="shared" si="26"/>
        <v/>
      </c>
      <c r="J334" s="25" t="str">
        <f t="shared" si="27"/>
        <v/>
      </c>
      <c r="K334" s="25" t="str">
        <f>IF(C334="","",IFERROR(INDEX(Catalogue!$K$6:$K$55,MATCH(C334,Catalogue!$B$6:$B$55,0)),""))</f>
        <v/>
      </c>
      <c r="L334" s="25" t="str">
        <f t="shared" si="28"/>
        <v/>
      </c>
      <c r="M334" s="28" t="str">
        <f>IF(OR(E334="",K334=""),"",IF(N(G334)=0,"Pas de vente aujourd’hui",IF(J334&lt;K334*Paramètres!$B$11,"Rentable",IF(J334&lt;=K334,"Juste rentable","Perte"))))</f>
        <v/>
      </c>
      <c r="N334" s="24" t="str">
        <f t="shared" si="29"/>
        <v/>
      </c>
    </row>
    <row r="335" spans="1:14" x14ac:dyDescent="0.25">
      <c r="A335" s="38"/>
      <c r="B335" s="18"/>
      <c r="C335" s="18"/>
      <c r="D335" s="18"/>
      <c r="E335" s="19"/>
      <c r="F335" s="20"/>
      <c r="G335" s="20"/>
      <c r="H335" s="25" t="str">
        <f t="shared" si="25"/>
        <v/>
      </c>
      <c r="I335" s="39" t="str">
        <f t="shared" si="26"/>
        <v/>
      </c>
      <c r="J335" s="25" t="str">
        <f t="shared" si="27"/>
        <v/>
      </c>
      <c r="K335" s="25" t="str">
        <f>IF(C335="","",IFERROR(INDEX(Catalogue!$K$6:$K$55,MATCH(C335,Catalogue!$B$6:$B$55,0)),""))</f>
        <v/>
      </c>
      <c r="L335" s="25" t="str">
        <f t="shared" si="28"/>
        <v/>
      </c>
      <c r="M335" s="28" t="str">
        <f>IF(OR(E335="",K335=""),"",IF(N(G335)=0,"Pas de vente aujourd’hui",IF(J335&lt;K335*Paramètres!$B$11,"Rentable",IF(J335&lt;=K335,"Juste rentable","Perte"))))</f>
        <v/>
      </c>
      <c r="N335" s="24" t="str">
        <f t="shared" si="29"/>
        <v/>
      </c>
    </row>
    <row r="336" spans="1:14" x14ac:dyDescent="0.25">
      <c r="A336" s="38"/>
      <c r="B336" s="18"/>
      <c r="C336" s="18"/>
      <c r="D336" s="18"/>
      <c r="E336" s="19"/>
      <c r="F336" s="20"/>
      <c r="G336" s="20"/>
      <c r="H336" s="25" t="str">
        <f t="shared" si="25"/>
        <v/>
      </c>
      <c r="I336" s="39" t="str">
        <f t="shared" si="26"/>
        <v/>
      </c>
      <c r="J336" s="25" t="str">
        <f t="shared" si="27"/>
        <v/>
      </c>
      <c r="K336" s="25" t="str">
        <f>IF(C336="","",IFERROR(INDEX(Catalogue!$K$6:$K$55,MATCH(C336,Catalogue!$B$6:$B$55,0)),""))</f>
        <v/>
      </c>
      <c r="L336" s="25" t="str">
        <f t="shared" si="28"/>
        <v/>
      </c>
      <c r="M336" s="28" t="str">
        <f>IF(OR(E336="",K336=""),"",IF(N(G336)=0,"Pas de vente aujourd’hui",IF(J336&lt;K336*Paramètres!$B$11,"Rentable",IF(J336&lt;=K336,"Juste rentable","Perte"))))</f>
        <v/>
      </c>
      <c r="N336" s="24" t="str">
        <f t="shared" si="29"/>
        <v/>
      </c>
    </row>
    <row r="337" spans="1:14" x14ac:dyDescent="0.25">
      <c r="A337" s="38"/>
      <c r="B337" s="18"/>
      <c r="C337" s="18"/>
      <c r="D337" s="18"/>
      <c r="E337" s="19"/>
      <c r="F337" s="20"/>
      <c r="G337" s="20"/>
      <c r="H337" s="25" t="str">
        <f t="shared" si="25"/>
        <v/>
      </c>
      <c r="I337" s="39" t="str">
        <f t="shared" si="26"/>
        <v/>
      </c>
      <c r="J337" s="25" t="str">
        <f t="shared" si="27"/>
        <v/>
      </c>
      <c r="K337" s="25" t="str">
        <f>IF(C337="","",IFERROR(INDEX(Catalogue!$K$6:$K$55,MATCH(C337,Catalogue!$B$6:$B$55,0)),""))</f>
        <v/>
      </c>
      <c r="L337" s="25" t="str">
        <f t="shared" si="28"/>
        <v/>
      </c>
      <c r="M337" s="28" t="str">
        <f>IF(OR(E337="",K337=""),"",IF(N(G337)=0,"Pas de vente aujourd’hui",IF(J337&lt;K337*Paramètres!$B$11,"Rentable",IF(J337&lt;=K337,"Juste rentable","Perte"))))</f>
        <v/>
      </c>
      <c r="N337" s="24" t="str">
        <f t="shared" si="29"/>
        <v/>
      </c>
    </row>
    <row r="338" spans="1:14" x14ac:dyDescent="0.25">
      <c r="A338" s="38"/>
      <c r="B338" s="18"/>
      <c r="C338" s="18"/>
      <c r="D338" s="18"/>
      <c r="E338" s="19"/>
      <c r="F338" s="20"/>
      <c r="G338" s="20"/>
      <c r="H338" s="25" t="str">
        <f t="shared" si="25"/>
        <v/>
      </c>
      <c r="I338" s="39" t="str">
        <f t="shared" si="26"/>
        <v/>
      </c>
      <c r="J338" s="25" t="str">
        <f t="shared" si="27"/>
        <v/>
      </c>
      <c r="K338" s="25" t="str">
        <f>IF(C338="","",IFERROR(INDEX(Catalogue!$K$6:$K$55,MATCH(C338,Catalogue!$B$6:$B$55,0)),""))</f>
        <v/>
      </c>
      <c r="L338" s="25" t="str">
        <f t="shared" si="28"/>
        <v/>
      </c>
      <c r="M338" s="28" t="str">
        <f>IF(OR(E338="",K338=""),"",IF(N(G338)=0,"Pas de vente aujourd’hui",IF(J338&lt;K338*Paramètres!$B$11,"Rentable",IF(J338&lt;=K338,"Juste rentable","Perte"))))</f>
        <v/>
      </c>
      <c r="N338" s="24" t="str">
        <f t="shared" si="29"/>
        <v/>
      </c>
    </row>
    <row r="339" spans="1:14" x14ac:dyDescent="0.25">
      <c r="A339" s="38"/>
      <c r="B339" s="18"/>
      <c r="C339" s="18"/>
      <c r="D339" s="18"/>
      <c r="E339" s="19"/>
      <c r="F339" s="20"/>
      <c r="G339" s="20"/>
      <c r="H339" s="25" t="str">
        <f t="shared" si="25"/>
        <v/>
      </c>
      <c r="I339" s="39" t="str">
        <f t="shared" si="26"/>
        <v/>
      </c>
      <c r="J339" s="25" t="str">
        <f t="shared" si="27"/>
        <v/>
      </c>
      <c r="K339" s="25" t="str">
        <f>IF(C339="","",IFERROR(INDEX(Catalogue!$K$6:$K$55,MATCH(C339,Catalogue!$B$6:$B$55,0)),""))</f>
        <v/>
      </c>
      <c r="L339" s="25" t="str">
        <f t="shared" si="28"/>
        <v/>
      </c>
      <c r="M339" s="28" t="str">
        <f>IF(OR(E339="",K339=""),"",IF(N(G339)=0,"Pas de vente aujourd’hui",IF(J339&lt;K339*Paramètres!$B$11,"Rentable",IF(J339&lt;=K339,"Juste rentable","Perte"))))</f>
        <v/>
      </c>
      <c r="N339" s="24" t="str">
        <f t="shared" si="29"/>
        <v/>
      </c>
    </row>
    <row r="340" spans="1:14" x14ac:dyDescent="0.25">
      <c r="A340" s="38"/>
      <c r="B340" s="18"/>
      <c r="C340" s="18"/>
      <c r="D340" s="18"/>
      <c r="E340" s="19"/>
      <c r="F340" s="20"/>
      <c r="G340" s="20"/>
      <c r="H340" s="25" t="str">
        <f t="shared" si="25"/>
        <v/>
      </c>
      <c r="I340" s="39" t="str">
        <f t="shared" si="26"/>
        <v/>
      </c>
      <c r="J340" s="25" t="str">
        <f t="shared" si="27"/>
        <v/>
      </c>
      <c r="K340" s="25" t="str">
        <f>IF(C340="","",IFERROR(INDEX(Catalogue!$K$6:$K$55,MATCH(C340,Catalogue!$B$6:$B$55,0)),""))</f>
        <v/>
      </c>
      <c r="L340" s="25" t="str">
        <f t="shared" si="28"/>
        <v/>
      </c>
      <c r="M340" s="28" t="str">
        <f>IF(OR(E340="",K340=""),"",IF(N(G340)=0,"Pas de vente aujourd’hui",IF(J340&lt;K340*Paramètres!$B$11,"Rentable",IF(J340&lt;=K340,"Juste rentable","Perte"))))</f>
        <v/>
      </c>
      <c r="N340" s="24" t="str">
        <f t="shared" si="29"/>
        <v/>
      </c>
    </row>
    <row r="341" spans="1:14" x14ac:dyDescent="0.25">
      <c r="A341" s="38"/>
      <c r="B341" s="18"/>
      <c r="C341" s="18"/>
      <c r="D341" s="18"/>
      <c r="E341" s="19"/>
      <c r="F341" s="20"/>
      <c r="G341" s="20"/>
      <c r="H341" s="25" t="str">
        <f t="shared" si="25"/>
        <v/>
      </c>
      <c r="I341" s="39" t="str">
        <f t="shared" si="26"/>
        <v/>
      </c>
      <c r="J341" s="25" t="str">
        <f t="shared" si="27"/>
        <v/>
      </c>
      <c r="K341" s="25" t="str">
        <f>IF(C341="","",IFERROR(INDEX(Catalogue!$K$6:$K$55,MATCH(C341,Catalogue!$B$6:$B$55,0)),""))</f>
        <v/>
      </c>
      <c r="L341" s="25" t="str">
        <f t="shared" si="28"/>
        <v/>
      </c>
      <c r="M341" s="28" t="str">
        <f>IF(OR(E341="",K341=""),"",IF(N(G341)=0,"Pas de vente aujourd’hui",IF(J341&lt;K341*Paramètres!$B$11,"Rentable",IF(J341&lt;=K341,"Juste rentable","Perte"))))</f>
        <v/>
      </c>
      <c r="N341" s="24" t="str">
        <f t="shared" si="29"/>
        <v/>
      </c>
    </row>
    <row r="342" spans="1:14" x14ac:dyDescent="0.25">
      <c r="A342" s="38"/>
      <c r="B342" s="18"/>
      <c r="C342" s="18"/>
      <c r="D342" s="18"/>
      <c r="E342" s="19"/>
      <c r="F342" s="20"/>
      <c r="G342" s="20"/>
      <c r="H342" s="25" t="str">
        <f t="shared" si="25"/>
        <v/>
      </c>
      <c r="I342" s="39" t="str">
        <f t="shared" si="26"/>
        <v/>
      </c>
      <c r="J342" s="25" t="str">
        <f t="shared" si="27"/>
        <v/>
      </c>
      <c r="K342" s="25" t="str">
        <f>IF(C342="","",IFERROR(INDEX(Catalogue!$K$6:$K$55,MATCH(C342,Catalogue!$B$6:$B$55,0)),""))</f>
        <v/>
      </c>
      <c r="L342" s="25" t="str">
        <f t="shared" si="28"/>
        <v/>
      </c>
      <c r="M342" s="28" t="str">
        <f>IF(OR(E342="",K342=""),"",IF(N(G342)=0,"Pas de vente aujourd’hui",IF(J342&lt;K342*Paramètres!$B$11,"Rentable",IF(J342&lt;=K342,"Juste rentable","Perte"))))</f>
        <v/>
      </c>
      <c r="N342" s="24" t="str">
        <f t="shared" si="29"/>
        <v/>
      </c>
    </row>
    <row r="343" spans="1:14" x14ac:dyDescent="0.25">
      <c r="A343" s="38"/>
      <c r="B343" s="18"/>
      <c r="C343" s="18"/>
      <c r="D343" s="18"/>
      <c r="E343" s="19"/>
      <c r="F343" s="20"/>
      <c r="G343" s="20"/>
      <c r="H343" s="25" t="str">
        <f t="shared" si="25"/>
        <v/>
      </c>
      <c r="I343" s="39" t="str">
        <f t="shared" si="26"/>
        <v/>
      </c>
      <c r="J343" s="25" t="str">
        <f t="shared" si="27"/>
        <v/>
      </c>
      <c r="K343" s="25" t="str">
        <f>IF(C343="","",IFERROR(INDEX(Catalogue!$K$6:$K$55,MATCH(C343,Catalogue!$B$6:$B$55,0)),""))</f>
        <v/>
      </c>
      <c r="L343" s="25" t="str">
        <f t="shared" si="28"/>
        <v/>
      </c>
      <c r="M343" s="28" t="str">
        <f>IF(OR(E343="",K343=""),"",IF(N(G343)=0,"Pas de vente aujourd’hui",IF(J343&lt;K343*Paramètres!$B$11,"Rentable",IF(J343&lt;=K343,"Juste rentable","Perte"))))</f>
        <v/>
      </c>
      <c r="N343" s="24" t="str">
        <f t="shared" si="29"/>
        <v/>
      </c>
    </row>
    <row r="344" spans="1:14" x14ac:dyDescent="0.25">
      <c r="A344" s="38"/>
      <c r="B344" s="18"/>
      <c r="C344" s="18"/>
      <c r="D344" s="18"/>
      <c r="E344" s="19"/>
      <c r="F344" s="20"/>
      <c r="G344" s="20"/>
      <c r="H344" s="25" t="str">
        <f t="shared" si="25"/>
        <v/>
      </c>
      <c r="I344" s="39" t="str">
        <f t="shared" si="26"/>
        <v/>
      </c>
      <c r="J344" s="25" t="str">
        <f t="shared" si="27"/>
        <v/>
      </c>
      <c r="K344" s="25" t="str">
        <f>IF(C344="","",IFERROR(INDEX(Catalogue!$K$6:$K$55,MATCH(C344,Catalogue!$B$6:$B$55,0)),""))</f>
        <v/>
      </c>
      <c r="L344" s="25" t="str">
        <f t="shared" si="28"/>
        <v/>
      </c>
      <c r="M344" s="28" t="str">
        <f>IF(OR(E344="",K344=""),"",IF(N(G344)=0,"Pas de vente aujourd’hui",IF(J344&lt;K344*Paramètres!$B$11,"Rentable",IF(J344&lt;=K344,"Juste rentable","Perte"))))</f>
        <v/>
      </c>
      <c r="N344" s="24" t="str">
        <f t="shared" si="29"/>
        <v/>
      </c>
    </row>
    <row r="345" spans="1:14" x14ac:dyDescent="0.25">
      <c r="A345" s="38"/>
      <c r="B345" s="18"/>
      <c r="C345" s="18"/>
      <c r="D345" s="18"/>
      <c r="E345" s="19"/>
      <c r="F345" s="20"/>
      <c r="G345" s="20"/>
      <c r="H345" s="25" t="str">
        <f t="shared" si="25"/>
        <v/>
      </c>
      <c r="I345" s="39" t="str">
        <f t="shared" si="26"/>
        <v/>
      </c>
      <c r="J345" s="25" t="str">
        <f t="shared" si="27"/>
        <v/>
      </c>
      <c r="K345" s="25" t="str">
        <f>IF(C345="","",IFERROR(INDEX(Catalogue!$K$6:$K$55,MATCH(C345,Catalogue!$B$6:$B$55,0)),""))</f>
        <v/>
      </c>
      <c r="L345" s="25" t="str">
        <f t="shared" si="28"/>
        <v/>
      </c>
      <c r="M345" s="28" t="str">
        <f>IF(OR(E345="",K345=""),"",IF(N(G345)=0,"Pas de vente aujourd’hui",IF(J345&lt;K345*Paramètres!$B$11,"Rentable",IF(J345&lt;=K345,"Juste rentable","Perte"))))</f>
        <v/>
      </c>
      <c r="N345" s="24" t="str">
        <f t="shared" si="29"/>
        <v/>
      </c>
    </row>
    <row r="346" spans="1:14" x14ac:dyDescent="0.25">
      <c r="A346" s="38"/>
      <c r="B346" s="18"/>
      <c r="C346" s="18"/>
      <c r="D346" s="18"/>
      <c r="E346" s="19"/>
      <c r="F346" s="20"/>
      <c r="G346" s="20"/>
      <c r="H346" s="25" t="str">
        <f t="shared" si="25"/>
        <v/>
      </c>
      <c r="I346" s="39" t="str">
        <f t="shared" si="26"/>
        <v/>
      </c>
      <c r="J346" s="25" t="str">
        <f t="shared" si="27"/>
        <v/>
      </c>
      <c r="K346" s="25" t="str">
        <f>IF(C346="","",IFERROR(INDEX(Catalogue!$K$6:$K$55,MATCH(C346,Catalogue!$B$6:$B$55,0)),""))</f>
        <v/>
      </c>
      <c r="L346" s="25" t="str">
        <f t="shared" si="28"/>
        <v/>
      </c>
      <c r="M346" s="28" t="str">
        <f>IF(OR(E346="",K346=""),"",IF(N(G346)=0,"Pas de vente aujourd’hui",IF(J346&lt;K346*Paramètres!$B$11,"Rentable",IF(J346&lt;=K346,"Juste rentable","Perte"))))</f>
        <v/>
      </c>
      <c r="N346" s="24" t="str">
        <f t="shared" si="29"/>
        <v/>
      </c>
    </row>
    <row r="347" spans="1:14" x14ac:dyDescent="0.25">
      <c r="A347" s="38"/>
      <c r="B347" s="18"/>
      <c r="C347" s="18"/>
      <c r="D347" s="18"/>
      <c r="E347" s="19"/>
      <c r="F347" s="20"/>
      <c r="G347" s="20"/>
      <c r="H347" s="25" t="str">
        <f t="shared" si="25"/>
        <v/>
      </c>
      <c r="I347" s="39" t="str">
        <f t="shared" si="26"/>
        <v/>
      </c>
      <c r="J347" s="25" t="str">
        <f t="shared" si="27"/>
        <v/>
      </c>
      <c r="K347" s="25" t="str">
        <f>IF(C347="","",IFERROR(INDEX(Catalogue!$K$6:$K$55,MATCH(C347,Catalogue!$B$6:$B$55,0)),""))</f>
        <v/>
      </c>
      <c r="L347" s="25" t="str">
        <f t="shared" si="28"/>
        <v/>
      </c>
      <c r="M347" s="28" t="str">
        <f>IF(OR(E347="",K347=""),"",IF(N(G347)=0,"Pas de vente aujourd’hui",IF(J347&lt;K347*Paramètres!$B$11,"Rentable",IF(J347&lt;=K347,"Juste rentable","Perte"))))</f>
        <v/>
      </c>
      <c r="N347" s="24" t="str">
        <f t="shared" si="29"/>
        <v/>
      </c>
    </row>
    <row r="348" spans="1:14" x14ac:dyDescent="0.25">
      <c r="A348" s="38"/>
      <c r="B348" s="18"/>
      <c r="C348" s="18"/>
      <c r="D348" s="18"/>
      <c r="E348" s="19"/>
      <c r="F348" s="20"/>
      <c r="G348" s="20"/>
      <c r="H348" s="25" t="str">
        <f t="shared" si="25"/>
        <v/>
      </c>
      <c r="I348" s="39" t="str">
        <f t="shared" si="26"/>
        <v/>
      </c>
      <c r="J348" s="25" t="str">
        <f t="shared" si="27"/>
        <v/>
      </c>
      <c r="K348" s="25" t="str">
        <f>IF(C348="","",IFERROR(INDEX(Catalogue!$K$6:$K$55,MATCH(C348,Catalogue!$B$6:$B$55,0)),""))</f>
        <v/>
      </c>
      <c r="L348" s="25" t="str">
        <f t="shared" si="28"/>
        <v/>
      </c>
      <c r="M348" s="28" t="str">
        <f>IF(OR(E348="",K348=""),"",IF(N(G348)=0,"Pas de vente aujourd’hui",IF(J348&lt;K348*Paramètres!$B$11,"Rentable",IF(J348&lt;=K348,"Juste rentable","Perte"))))</f>
        <v/>
      </c>
      <c r="N348" s="24" t="str">
        <f t="shared" si="29"/>
        <v/>
      </c>
    </row>
    <row r="349" spans="1:14" x14ac:dyDescent="0.25">
      <c r="A349" s="38"/>
      <c r="B349" s="18"/>
      <c r="C349" s="18"/>
      <c r="D349" s="18"/>
      <c r="E349" s="19"/>
      <c r="F349" s="20"/>
      <c r="G349" s="20"/>
      <c r="H349" s="25" t="str">
        <f t="shared" si="25"/>
        <v/>
      </c>
      <c r="I349" s="39" t="str">
        <f t="shared" si="26"/>
        <v/>
      </c>
      <c r="J349" s="25" t="str">
        <f t="shared" si="27"/>
        <v/>
      </c>
      <c r="K349" s="25" t="str">
        <f>IF(C349="","",IFERROR(INDEX(Catalogue!$K$6:$K$55,MATCH(C349,Catalogue!$B$6:$B$55,0)),""))</f>
        <v/>
      </c>
      <c r="L349" s="25" t="str">
        <f t="shared" si="28"/>
        <v/>
      </c>
      <c r="M349" s="28" t="str">
        <f>IF(OR(E349="",K349=""),"",IF(N(G349)=0,"Pas de vente aujourd’hui",IF(J349&lt;K349*Paramètres!$B$11,"Rentable",IF(J349&lt;=K349,"Juste rentable","Perte"))))</f>
        <v/>
      </c>
      <c r="N349" s="24" t="str">
        <f t="shared" si="29"/>
        <v/>
      </c>
    </row>
    <row r="350" spans="1:14" x14ac:dyDescent="0.25">
      <c r="A350" s="38"/>
      <c r="B350" s="18"/>
      <c r="C350" s="18"/>
      <c r="D350" s="18"/>
      <c r="E350" s="19"/>
      <c r="F350" s="20"/>
      <c r="G350" s="20"/>
      <c r="H350" s="25" t="str">
        <f t="shared" si="25"/>
        <v/>
      </c>
      <c r="I350" s="39" t="str">
        <f t="shared" si="26"/>
        <v/>
      </c>
      <c r="J350" s="25" t="str">
        <f t="shared" si="27"/>
        <v/>
      </c>
      <c r="K350" s="25" t="str">
        <f>IF(C350="","",IFERROR(INDEX(Catalogue!$K$6:$K$55,MATCH(C350,Catalogue!$B$6:$B$55,0)),""))</f>
        <v/>
      </c>
      <c r="L350" s="25" t="str">
        <f t="shared" si="28"/>
        <v/>
      </c>
      <c r="M350" s="28" t="str">
        <f>IF(OR(E350="",K350=""),"",IF(N(G350)=0,"Pas de vente aujourd’hui",IF(J350&lt;K350*Paramètres!$B$11,"Rentable",IF(J350&lt;=K350,"Juste rentable","Perte"))))</f>
        <v/>
      </c>
      <c r="N350" s="24" t="str">
        <f t="shared" si="29"/>
        <v/>
      </c>
    </row>
    <row r="351" spans="1:14" x14ac:dyDescent="0.25">
      <c r="A351" s="38"/>
      <c r="B351" s="18"/>
      <c r="C351" s="18"/>
      <c r="D351" s="18"/>
      <c r="E351" s="19"/>
      <c r="F351" s="20"/>
      <c r="G351" s="20"/>
      <c r="H351" s="25" t="str">
        <f t="shared" si="25"/>
        <v/>
      </c>
      <c r="I351" s="39" t="str">
        <f t="shared" si="26"/>
        <v/>
      </c>
      <c r="J351" s="25" t="str">
        <f t="shared" si="27"/>
        <v/>
      </c>
      <c r="K351" s="25" t="str">
        <f>IF(C351="","",IFERROR(INDEX(Catalogue!$K$6:$K$55,MATCH(C351,Catalogue!$B$6:$B$55,0)),""))</f>
        <v/>
      </c>
      <c r="L351" s="25" t="str">
        <f t="shared" si="28"/>
        <v/>
      </c>
      <c r="M351" s="28" t="str">
        <f>IF(OR(E351="",K351=""),"",IF(N(G351)=0,"Pas de vente aujourd’hui",IF(J351&lt;K351*Paramètres!$B$11,"Rentable",IF(J351&lt;=K351,"Juste rentable","Perte"))))</f>
        <v/>
      </c>
      <c r="N351" s="24" t="str">
        <f t="shared" si="29"/>
        <v/>
      </c>
    </row>
    <row r="352" spans="1:14" x14ac:dyDescent="0.25">
      <c r="A352" s="38"/>
      <c r="B352" s="18"/>
      <c r="C352" s="18"/>
      <c r="D352" s="18"/>
      <c r="E352" s="19"/>
      <c r="F352" s="20"/>
      <c r="G352" s="20"/>
      <c r="H352" s="25" t="str">
        <f t="shared" si="25"/>
        <v/>
      </c>
      <c r="I352" s="39" t="str">
        <f t="shared" si="26"/>
        <v/>
      </c>
      <c r="J352" s="25" t="str">
        <f t="shared" si="27"/>
        <v/>
      </c>
      <c r="K352" s="25" t="str">
        <f>IF(C352="","",IFERROR(INDEX(Catalogue!$K$6:$K$55,MATCH(C352,Catalogue!$B$6:$B$55,0)),""))</f>
        <v/>
      </c>
      <c r="L352" s="25" t="str">
        <f t="shared" si="28"/>
        <v/>
      </c>
      <c r="M352" s="28" t="str">
        <f>IF(OR(E352="",K352=""),"",IF(N(G352)=0,"Pas de vente aujourd’hui",IF(J352&lt;K352*Paramètres!$B$11,"Rentable",IF(J352&lt;=K352,"Juste rentable","Perte"))))</f>
        <v/>
      </c>
      <c r="N352" s="24" t="str">
        <f t="shared" si="29"/>
        <v/>
      </c>
    </row>
    <row r="353" spans="1:14" x14ac:dyDescent="0.25">
      <c r="A353" s="38"/>
      <c r="B353" s="18"/>
      <c r="C353" s="18"/>
      <c r="D353" s="18"/>
      <c r="E353" s="19"/>
      <c r="F353" s="20"/>
      <c r="G353" s="20"/>
      <c r="H353" s="25" t="str">
        <f t="shared" si="25"/>
        <v/>
      </c>
      <c r="I353" s="39" t="str">
        <f t="shared" si="26"/>
        <v/>
      </c>
      <c r="J353" s="25" t="str">
        <f t="shared" si="27"/>
        <v/>
      </c>
      <c r="K353" s="25" t="str">
        <f>IF(C353="","",IFERROR(INDEX(Catalogue!$K$6:$K$55,MATCH(C353,Catalogue!$B$6:$B$55,0)),""))</f>
        <v/>
      </c>
      <c r="L353" s="25" t="str">
        <f t="shared" si="28"/>
        <v/>
      </c>
      <c r="M353" s="28" t="str">
        <f>IF(OR(E353="",K353=""),"",IF(N(G353)=0,"Pas de vente aujourd’hui",IF(J353&lt;K353*Paramètres!$B$11,"Rentable",IF(J353&lt;=K353,"Juste rentable","Perte"))))</f>
        <v/>
      </c>
      <c r="N353" s="24" t="str">
        <f t="shared" si="29"/>
        <v/>
      </c>
    </row>
    <row r="354" spans="1:14" x14ac:dyDescent="0.25">
      <c r="A354" s="38"/>
      <c r="B354" s="18"/>
      <c r="C354" s="18"/>
      <c r="D354" s="18"/>
      <c r="E354" s="19"/>
      <c r="F354" s="20"/>
      <c r="G354" s="20"/>
      <c r="H354" s="25" t="str">
        <f t="shared" si="25"/>
        <v/>
      </c>
      <c r="I354" s="39" t="str">
        <f t="shared" si="26"/>
        <v/>
      </c>
      <c r="J354" s="25" t="str">
        <f t="shared" si="27"/>
        <v/>
      </c>
      <c r="K354" s="25" t="str">
        <f>IF(C354="","",IFERROR(INDEX(Catalogue!$K$6:$K$55,MATCH(C354,Catalogue!$B$6:$B$55,0)),""))</f>
        <v/>
      </c>
      <c r="L354" s="25" t="str">
        <f t="shared" si="28"/>
        <v/>
      </c>
      <c r="M354" s="28" t="str">
        <f>IF(OR(E354="",K354=""),"",IF(N(G354)=0,"Pas de vente aujourd’hui",IF(J354&lt;K354*Paramètres!$B$11,"Rentable",IF(J354&lt;=K354,"Juste rentable","Perte"))))</f>
        <v/>
      </c>
      <c r="N354" s="24" t="str">
        <f t="shared" si="29"/>
        <v/>
      </c>
    </row>
    <row r="355" spans="1:14" x14ac:dyDescent="0.25">
      <c r="A355" s="38"/>
      <c r="B355" s="18"/>
      <c r="C355" s="18"/>
      <c r="D355" s="18"/>
      <c r="E355" s="19"/>
      <c r="F355" s="20"/>
      <c r="G355" s="20"/>
      <c r="H355" s="25" t="str">
        <f t="shared" si="25"/>
        <v/>
      </c>
      <c r="I355" s="39" t="str">
        <f t="shared" si="26"/>
        <v/>
      </c>
      <c r="J355" s="25" t="str">
        <f t="shared" si="27"/>
        <v/>
      </c>
      <c r="K355" s="25" t="str">
        <f>IF(C355="","",IFERROR(INDEX(Catalogue!$K$6:$K$55,MATCH(C355,Catalogue!$B$6:$B$55,0)),""))</f>
        <v/>
      </c>
      <c r="L355" s="25" t="str">
        <f t="shared" si="28"/>
        <v/>
      </c>
      <c r="M355" s="28" t="str">
        <f>IF(OR(E355="",K355=""),"",IF(N(G355)=0,"Pas de vente aujourd’hui",IF(J355&lt;K355*Paramètres!$B$11,"Rentable",IF(J355&lt;=K355,"Juste rentable","Perte"))))</f>
        <v/>
      </c>
      <c r="N355" s="24" t="str">
        <f t="shared" si="29"/>
        <v/>
      </c>
    </row>
    <row r="356" spans="1:14" x14ac:dyDescent="0.25">
      <c r="A356" s="38"/>
      <c r="B356" s="18"/>
      <c r="C356" s="18"/>
      <c r="D356" s="18"/>
      <c r="E356" s="19"/>
      <c r="F356" s="20"/>
      <c r="G356" s="20"/>
      <c r="H356" s="25" t="str">
        <f t="shared" si="25"/>
        <v/>
      </c>
      <c r="I356" s="39" t="str">
        <f t="shared" si="26"/>
        <v/>
      </c>
      <c r="J356" s="25" t="str">
        <f t="shared" si="27"/>
        <v/>
      </c>
      <c r="K356" s="25" t="str">
        <f>IF(C356="","",IFERROR(INDEX(Catalogue!$K$6:$K$55,MATCH(C356,Catalogue!$B$6:$B$55,0)),""))</f>
        <v/>
      </c>
      <c r="L356" s="25" t="str">
        <f t="shared" si="28"/>
        <v/>
      </c>
      <c r="M356" s="28" t="str">
        <f>IF(OR(E356="",K356=""),"",IF(N(G356)=0,"Pas de vente aujourd’hui",IF(J356&lt;K356*Paramètres!$B$11,"Rentable",IF(J356&lt;=K356,"Juste rentable","Perte"))))</f>
        <v/>
      </c>
      <c r="N356" s="24" t="str">
        <f t="shared" si="29"/>
        <v/>
      </c>
    </row>
    <row r="357" spans="1:14" x14ac:dyDescent="0.25">
      <c r="A357" s="38"/>
      <c r="B357" s="18"/>
      <c r="C357" s="18"/>
      <c r="D357" s="18"/>
      <c r="E357" s="19"/>
      <c r="F357" s="20"/>
      <c r="G357" s="20"/>
      <c r="H357" s="25" t="str">
        <f t="shared" si="25"/>
        <v/>
      </c>
      <c r="I357" s="39" t="str">
        <f t="shared" si="26"/>
        <v/>
      </c>
      <c r="J357" s="25" t="str">
        <f t="shared" si="27"/>
        <v/>
      </c>
      <c r="K357" s="25" t="str">
        <f>IF(C357="","",IFERROR(INDEX(Catalogue!$K$6:$K$55,MATCH(C357,Catalogue!$B$6:$B$55,0)),""))</f>
        <v/>
      </c>
      <c r="L357" s="25" t="str">
        <f t="shared" si="28"/>
        <v/>
      </c>
      <c r="M357" s="28" t="str">
        <f>IF(OR(E357="",K357=""),"",IF(N(G357)=0,"Pas de vente aujourd’hui",IF(J357&lt;K357*Paramètres!$B$11,"Rentable",IF(J357&lt;=K357,"Juste rentable","Perte"))))</f>
        <v/>
      </c>
      <c r="N357" s="24" t="str">
        <f t="shared" si="29"/>
        <v/>
      </c>
    </row>
    <row r="358" spans="1:14" x14ac:dyDescent="0.25">
      <c r="A358" s="38"/>
      <c r="B358" s="18"/>
      <c r="C358" s="18"/>
      <c r="D358" s="18"/>
      <c r="E358" s="19"/>
      <c r="F358" s="20"/>
      <c r="G358" s="20"/>
      <c r="H358" s="25" t="str">
        <f t="shared" si="25"/>
        <v/>
      </c>
      <c r="I358" s="39" t="str">
        <f t="shared" si="26"/>
        <v/>
      </c>
      <c r="J358" s="25" t="str">
        <f t="shared" si="27"/>
        <v/>
      </c>
      <c r="K358" s="25" t="str">
        <f>IF(C358="","",IFERROR(INDEX(Catalogue!$K$6:$K$55,MATCH(C358,Catalogue!$B$6:$B$55,0)),""))</f>
        <v/>
      </c>
      <c r="L358" s="25" t="str">
        <f t="shared" si="28"/>
        <v/>
      </c>
      <c r="M358" s="28" t="str">
        <f>IF(OR(E358="",K358=""),"",IF(N(G358)=0,"Pas de vente aujourd’hui",IF(J358&lt;K358*Paramètres!$B$11,"Rentable",IF(J358&lt;=K358,"Juste rentable","Perte"))))</f>
        <v/>
      </c>
      <c r="N358" s="24" t="str">
        <f t="shared" si="29"/>
        <v/>
      </c>
    </row>
    <row r="359" spans="1:14" x14ac:dyDescent="0.25">
      <c r="A359" s="38"/>
      <c r="B359" s="18"/>
      <c r="C359" s="18"/>
      <c r="D359" s="18"/>
      <c r="E359" s="19"/>
      <c r="F359" s="20"/>
      <c r="G359" s="20"/>
      <c r="H359" s="25" t="str">
        <f t="shared" si="25"/>
        <v/>
      </c>
      <c r="I359" s="39" t="str">
        <f t="shared" si="26"/>
        <v/>
      </c>
      <c r="J359" s="25" t="str">
        <f t="shared" si="27"/>
        <v/>
      </c>
      <c r="K359" s="25" t="str">
        <f>IF(C359="","",IFERROR(INDEX(Catalogue!$K$6:$K$55,MATCH(C359,Catalogue!$B$6:$B$55,0)),""))</f>
        <v/>
      </c>
      <c r="L359" s="25" t="str">
        <f t="shared" si="28"/>
        <v/>
      </c>
      <c r="M359" s="28" t="str">
        <f>IF(OR(E359="",K359=""),"",IF(N(G359)=0,"Pas de vente aujourd’hui",IF(J359&lt;K359*Paramètres!$B$11,"Rentable",IF(J359&lt;=K359,"Juste rentable","Perte"))))</f>
        <v/>
      </c>
      <c r="N359" s="24" t="str">
        <f t="shared" si="29"/>
        <v/>
      </c>
    </row>
    <row r="360" spans="1:14" x14ac:dyDescent="0.25">
      <c r="A360" s="38"/>
      <c r="B360" s="18"/>
      <c r="C360" s="18"/>
      <c r="D360" s="18"/>
      <c r="E360" s="19"/>
      <c r="F360" s="20"/>
      <c r="G360" s="20"/>
      <c r="H360" s="25" t="str">
        <f t="shared" si="25"/>
        <v/>
      </c>
      <c r="I360" s="39" t="str">
        <f t="shared" si="26"/>
        <v/>
      </c>
      <c r="J360" s="25" t="str">
        <f t="shared" si="27"/>
        <v/>
      </c>
      <c r="K360" s="25" t="str">
        <f>IF(C360="","",IFERROR(INDEX(Catalogue!$K$6:$K$55,MATCH(C360,Catalogue!$B$6:$B$55,0)),""))</f>
        <v/>
      </c>
      <c r="L360" s="25" t="str">
        <f t="shared" si="28"/>
        <v/>
      </c>
      <c r="M360" s="28" t="str">
        <f>IF(OR(E360="",K360=""),"",IF(N(G360)=0,"Pas de vente aujourd’hui",IF(J360&lt;K360*Paramètres!$B$11,"Rentable",IF(J360&lt;=K360,"Juste rentable","Perte"))))</f>
        <v/>
      </c>
      <c r="N360" s="24" t="str">
        <f t="shared" si="29"/>
        <v/>
      </c>
    </row>
    <row r="361" spans="1:14" x14ac:dyDescent="0.25">
      <c r="A361" s="38"/>
      <c r="B361" s="18"/>
      <c r="C361" s="18"/>
      <c r="D361" s="18"/>
      <c r="E361" s="19"/>
      <c r="F361" s="20"/>
      <c r="G361" s="20"/>
      <c r="H361" s="25" t="str">
        <f t="shared" si="25"/>
        <v/>
      </c>
      <c r="I361" s="39" t="str">
        <f t="shared" si="26"/>
        <v/>
      </c>
      <c r="J361" s="25" t="str">
        <f t="shared" si="27"/>
        <v/>
      </c>
      <c r="K361" s="25" t="str">
        <f>IF(C361="","",IFERROR(INDEX(Catalogue!$K$6:$K$55,MATCH(C361,Catalogue!$B$6:$B$55,0)),""))</f>
        <v/>
      </c>
      <c r="L361" s="25" t="str">
        <f t="shared" si="28"/>
        <v/>
      </c>
      <c r="M361" s="28" t="str">
        <f>IF(OR(E361="",K361=""),"",IF(N(G361)=0,"Pas de vente aujourd’hui",IF(J361&lt;K361*Paramètres!$B$11,"Rentable",IF(J361&lt;=K361,"Juste rentable","Perte"))))</f>
        <v/>
      </c>
      <c r="N361" s="24" t="str">
        <f t="shared" si="29"/>
        <v/>
      </c>
    </row>
    <row r="362" spans="1:14" x14ac:dyDescent="0.25">
      <c r="A362" s="38"/>
      <c r="B362" s="18"/>
      <c r="C362" s="18"/>
      <c r="D362" s="18"/>
      <c r="E362" s="19"/>
      <c r="F362" s="20"/>
      <c r="G362" s="20"/>
      <c r="H362" s="25" t="str">
        <f t="shared" si="25"/>
        <v/>
      </c>
      <c r="I362" s="39" t="str">
        <f t="shared" si="26"/>
        <v/>
      </c>
      <c r="J362" s="25" t="str">
        <f t="shared" si="27"/>
        <v/>
      </c>
      <c r="K362" s="25" t="str">
        <f>IF(C362="","",IFERROR(INDEX(Catalogue!$K$6:$K$55,MATCH(C362,Catalogue!$B$6:$B$55,0)),""))</f>
        <v/>
      </c>
      <c r="L362" s="25" t="str">
        <f t="shared" si="28"/>
        <v/>
      </c>
      <c r="M362" s="28" t="str">
        <f>IF(OR(E362="",K362=""),"",IF(N(G362)=0,"Pas de vente aujourd’hui",IF(J362&lt;K362*Paramètres!$B$11,"Rentable",IF(J362&lt;=K362,"Juste rentable","Perte"))))</f>
        <v/>
      </c>
      <c r="N362" s="24" t="str">
        <f t="shared" si="29"/>
        <v/>
      </c>
    </row>
    <row r="363" spans="1:14" x14ac:dyDescent="0.25">
      <c r="A363" s="38"/>
      <c r="B363" s="18"/>
      <c r="C363" s="18"/>
      <c r="D363" s="18"/>
      <c r="E363" s="19"/>
      <c r="F363" s="20"/>
      <c r="G363" s="20"/>
      <c r="H363" s="25" t="str">
        <f t="shared" si="25"/>
        <v/>
      </c>
      <c r="I363" s="39" t="str">
        <f t="shared" si="26"/>
        <v/>
      </c>
      <c r="J363" s="25" t="str">
        <f t="shared" si="27"/>
        <v/>
      </c>
      <c r="K363" s="25" t="str">
        <f>IF(C363="","",IFERROR(INDEX(Catalogue!$K$6:$K$55,MATCH(C363,Catalogue!$B$6:$B$55,0)),""))</f>
        <v/>
      </c>
      <c r="L363" s="25" t="str">
        <f t="shared" si="28"/>
        <v/>
      </c>
      <c r="M363" s="28" t="str">
        <f>IF(OR(E363="",K363=""),"",IF(N(G363)=0,"Pas de vente aujourd’hui",IF(J363&lt;K363*Paramètres!$B$11,"Rentable",IF(J363&lt;=K363,"Juste rentable","Perte"))))</f>
        <v/>
      </c>
      <c r="N363" s="24" t="str">
        <f t="shared" si="29"/>
        <v/>
      </c>
    </row>
    <row r="364" spans="1:14" x14ac:dyDescent="0.25">
      <c r="A364" s="38"/>
      <c r="B364" s="18"/>
      <c r="C364" s="18"/>
      <c r="D364" s="18"/>
      <c r="E364" s="19"/>
      <c r="F364" s="20"/>
      <c r="G364" s="20"/>
      <c r="H364" s="25" t="str">
        <f t="shared" si="25"/>
        <v/>
      </c>
      <c r="I364" s="39" t="str">
        <f t="shared" si="26"/>
        <v/>
      </c>
      <c r="J364" s="25" t="str">
        <f t="shared" si="27"/>
        <v/>
      </c>
      <c r="K364" s="25" t="str">
        <f>IF(C364="","",IFERROR(INDEX(Catalogue!$K$6:$K$55,MATCH(C364,Catalogue!$B$6:$B$55,0)),""))</f>
        <v/>
      </c>
      <c r="L364" s="25" t="str">
        <f t="shared" si="28"/>
        <v/>
      </c>
      <c r="M364" s="28" t="str">
        <f>IF(OR(E364="",K364=""),"",IF(N(G364)=0,"Pas de vente aujourd’hui",IF(J364&lt;K364*Paramètres!$B$11,"Rentable",IF(J364&lt;=K364,"Juste rentable","Perte"))))</f>
        <v/>
      </c>
      <c r="N364" s="24" t="str">
        <f t="shared" si="29"/>
        <v/>
      </c>
    </row>
    <row r="365" spans="1:14" x14ac:dyDescent="0.25">
      <c r="A365" s="38"/>
      <c r="B365" s="18"/>
      <c r="C365" s="18"/>
      <c r="D365" s="18"/>
      <c r="E365" s="19"/>
      <c r="F365" s="20"/>
      <c r="G365" s="20"/>
      <c r="H365" s="25" t="str">
        <f t="shared" si="25"/>
        <v/>
      </c>
      <c r="I365" s="39" t="str">
        <f t="shared" si="26"/>
        <v/>
      </c>
      <c r="J365" s="25" t="str">
        <f t="shared" si="27"/>
        <v/>
      </c>
      <c r="K365" s="25" t="str">
        <f>IF(C365="","",IFERROR(INDEX(Catalogue!$K$6:$K$55,MATCH(C365,Catalogue!$B$6:$B$55,0)),""))</f>
        <v/>
      </c>
      <c r="L365" s="25" t="str">
        <f t="shared" si="28"/>
        <v/>
      </c>
      <c r="M365" s="28" t="str">
        <f>IF(OR(E365="",K365=""),"",IF(N(G365)=0,"Pas de vente aujourd’hui",IF(J365&lt;K365*Paramètres!$B$11,"Rentable",IF(J365&lt;=K365,"Juste rentable","Perte"))))</f>
        <v/>
      </c>
      <c r="N365" s="24" t="str">
        <f t="shared" si="29"/>
        <v/>
      </c>
    </row>
    <row r="366" spans="1:14" x14ac:dyDescent="0.25">
      <c r="A366" s="38"/>
      <c r="B366" s="18"/>
      <c r="C366" s="18"/>
      <c r="D366" s="18"/>
      <c r="E366" s="19"/>
      <c r="F366" s="20"/>
      <c r="G366" s="20"/>
      <c r="H366" s="25" t="str">
        <f t="shared" si="25"/>
        <v/>
      </c>
      <c r="I366" s="39" t="str">
        <f t="shared" si="26"/>
        <v/>
      </c>
      <c r="J366" s="25" t="str">
        <f t="shared" si="27"/>
        <v/>
      </c>
      <c r="K366" s="25" t="str">
        <f>IF(C366="","",IFERROR(INDEX(Catalogue!$K$6:$K$55,MATCH(C366,Catalogue!$B$6:$B$55,0)),""))</f>
        <v/>
      </c>
      <c r="L366" s="25" t="str">
        <f t="shared" si="28"/>
        <v/>
      </c>
      <c r="M366" s="28" t="str">
        <f>IF(OR(E366="",K366=""),"",IF(N(G366)=0,"Pas de vente aujourd’hui",IF(J366&lt;K366*Paramètres!$B$11,"Rentable",IF(J366&lt;=K366,"Juste rentable","Perte"))))</f>
        <v/>
      </c>
      <c r="N366" s="24" t="str">
        <f t="shared" si="29"/>
        <v/>
      </c>
    </row>
    <row r="367" spans="1:14" x14ac:dyDescent="0.25">
      <c r="A367" s="38"/>
      <c r="B367" s="18"/>
      <c r="C367" s="18"/>
      <c r="D367" s="18"/>
      <c r="E367" s="19"/>
      <c r="F367" s="20"/>
      <c r="G367" s="20"/>
      <c r="H367" s="25" t="str">
        <f t="shared" si="25"/>
        <v/>
      </c>
      <c r="I367" s="39" t="str">
        <f t="shared" si="26"/>
        <v/>
      </c>
      <c r="J367" s="25" t="str">
        <f t="shared" si="27"/>
        <v/>
      </c>
      <c r="K367" s="25" t="str">
        <f>IF(C367="","",IFERROR(INDEX(Catalogue!$K$6:$K$55,MATCH(C367,Catalogue!$B$6:$B$55,0)),""))</f>
        <v/>
      </c>
      <c r="L367" s="25" t="str">
        <f t="shared" si="28"/>
        <v/>
      </c>
      <c r="M367" s="28" t="str">
        <f>IF(OR(E367="",K367=""),"",IF(N(G367)=0,"Pas de vente aujourd’hui",IF(J367&lt;K367*Paramètres!$B$11,"Rentable",IF(J367&lt;=K367,"Juste rentable","Perte"))))</f>
        <v/>
      </c>
      <c r="N367" s="24" t="str">
        <f t="shared" si="29"/>
        <v/>
      </c>
    </row>
    <row r="368" spans="1:14" x14ac:dyDescent="0.25">
      <c r="A368" s="38"/>
      <c r="B368" s="18"/>
      <c r="C368" s="18"/>
      <c r="D368" s="18"/>
      <c r="E368" s="19"/>
      <c r="F368" s="20"/>
      <c r="G368" s="20"/>
      <c r="H368" s="25" t="str">
        <f t="shared" si="25"/>
        <v/>
      </c>
      <c r="I368" s="39" t="str">
        <f t="shared" si="26"/>
        <v/>
      </c>
      <c r="J368" s="25" t="str">
        <f t="shared" si="27"/>
        <v/>
      </c>
      <c r="K368" s="25" t="str">
        <f>IF(C368="","",IFERROR(INDEX(Catalogue!$K$6:$K$55,MATCH(C368,Catalogue!$B$6:$B$55,0)),""))</f>
        <v/>
      </c>
      <c r="L368" s="25" t="str">
        <f t="shared" si="28"/>
        <v/>
      </c>
      <c r="M368" s="28" t="str">
        <f>IF(OR(E368="",K368=""),"",IF(N(G368)=0,"Pas de vente aujourd’hui",IF(J368&lt;K368*Paramètres!$B$11,"Rentable",IF(J368&lt;=K368,"Juste rentable","Perte"))))</f>
        <v/>
      </c>
      <c r="N368" s="24" t="str">
        <f t="shared" si="29"/>
        <v/>
      </c>
    </row>
    <row r="369" spans="1:14" x14ac:dyDescent="0.25">
      <c r="A369" s="38"/>
      <c r="B369" s="18"/>
      <c r="C369" s="18"/>
      <c r="D369" s="18"/>
      <c r="E369" s="19"/>
      <c r="F369" s="20"/>
      <c r="G369" s="20"/>
      <c r="H369" s="25" t="str">
        <f t="shared" si="25"/>
        <v/>
      </c>
      <c r="I369" s="39" t="str">
        <f t="shared" si="26"/>
        <v/>
      </c>
      <c r="J369" s="25" t="str">
        <f t="shared" si="27"/>
        <v/>
      </c>
      <c r="K369" s="25" t="str">
        <f>IF(C369="","",IFERROR(INDEX(Catalogue!$K$6:$K$55,MATCH(C369,Catalogue!$B$6:$B$55,0)),""))</f>
        <v/>
      </c>
      <c r="L369" s="25" t="str">
        <f t="shared" si="28"/>
        <v/>
      </c>
      <c r="M369" s="28" t="str">
        <f>IF(OR(E369="",K369=""),"",IF(N(G369)=0,"Pas de vente aujourd’hui",IF(J369&lt;K369*Paramètres!$B$11,"Rentable",IF(J369&lt;=K369,"Juste rentable","Perte"))))</f>
        <v/>
      </c>
      <c r="N369" s="24" t="str">
        <f t="shared" si="29"/>
        <v/>
      </c>
    </row>
    <row r="370" spans="1:14" x14ac:dyDescent="0.25">
      <c r="A370" s="38"/>
      <c r="B370" s="18"/>
      <c r="C370" s="18"/>
      <c r="D370" s="18"/>
      <c r="E370" s="19"/>
      <c r="F370" s="20"/>
      <c r="G370" s="20"/>
      <c r="H370" s="25" t="str">
        <f t="shared" si="25"/>
        <v/>
      </c>
      <c r="I370" s="39" t="str">
        <f t="shared" si="26"/>
        <v/>
      </c>
      <c r="J370" s="25" t="str">
        <f t="shared" si="27"/>
        <v/>
      </c>
      <c r="K370" s="25" t="str">
        <f>IF(C370="","",IFERROR(INDEX(Catalogue!$K$6:$K$55,MATCH(C370,Catalogue!$B$6:$B$55,0)),""))</f>
        <v/>
      </c>
      <c r="L370" s="25" t="str">
        <f t="shared" si="28"/>
        <v/>
      </c>
      <c r="M370" s="28" t="str">
        <f>IF(OR(E370="",K370=""),"",IF(N(G370)=0,"Pas de vente aujourd’hui",IF(J370&lt;K370*Paramètres!$B$11,"Rentable",IF(J370&lt;=K370,"Juste rentable","Perte"))))</f>
        <v/>
      </c>
      <c r="N370" s="24" t="str">
        <f t="shared" si="29"/>
        <v/>
      </c>
    </row>
  </sheetData>
  <conditionalFormatting sqref="M6:M370">
    <cfRule type="cellIs" dxfId="32" priority="2" operator="equal">
      <formula>"Rentable"</formula>
    </cfRule>
    <cfRule type="cellIs" dxfId="31" priority="3" operator="equal">
      <formula>"Juste rentable"</formula>
    </cfRule>
    <cfRule type="cellIs" dxfId="30" priority="4" operator="equal">
      <formula>"Perte"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500-000000000000}">
          <x14:formula1>
            <xm:f>Catalogue!$B$6:$B$55</xm:f>
          </x14:formula1>
          <x14:formula2>
            <xm:f>0</xm:f>
          </x14:formula2>
          <xm:sqref>C6:C370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2F6DB5"/>
  </sheetPr>
  <dimension ref="A1:M37"/>
  <sheetViews>
    <sheetView showGridLines="0" zoomScaleNormal="100" workbookViewId="0"/>
  </sheetViews>
  <sheetFormatPr baseColWidth="10" defaultColWidth="8.7109375" defaultRowHeight="15" x14ac:dyDescent="0.25"/>
  <cols>
    <col min="1" max="1" width="26" customWidth="1"/>
    <col min="2" max="2" width="22" customWidth="1"/>
    <col min="3" max="3" width="9" customWidth="1"/>
    <col min="4" max="4" width="13" customWidth="1"/>
    <col min="5" max="5" width="10" customWidth="1"/>
    <col min="6" max="6" width="9" customWidth="1"/>
    <col min="7" max="9" width="11" customWidth="1"/>
    <col min="10" max="10" width="12" customWidth="1"/>
    <col min="11" max="11" width="13" customWidth="1"/>
    <col min="12" max="12" width="28" customWidth="1"/>
    <col min="13" max="13" width="46" customWidth="1"/>
  </cols>
  <sheetData>
    <row r="1" spans="1:13" ht="20.25" x14ac:dyDescent="0.3">
      <c r="A1" s="13" t="s">
        <v>191</v>
      </c>
    </row>
    <row r="2" spans="1:13" x14ac:dyDescent="0.25">
      <c r="A2" s="3" t="s">
        <v>192</v>
      </c>
    </row>
    <row r="3" spans="1:13" x14ac:dyDescent="0.25">
      <c r="A3" s="4" t="s">
        <v>2</v>
      </c>
    </row>
    <row r="5" spans="1:13" ht="39.75" customHeight="1" x14ac:dyDescent="0.25">
      <c r="A5" s="14" t="s">
        <v>178</v>
      </c>
      <c r="B5" s="14" t="s">
        <v>179</v>
      </c>
      <c r="C5" s="14" t="s">
        <v>193</v>
      </c>
      <c r="D5" s="14" t="s">
        <v>194</v>
      </c>
      <c r="E5" s="14" t="s">
        <v>182</v>
      </c>
      <c r="F5" s="14" t="s">
        <v>18</v>
      </c>
      <c r="G5" s="14" t="s">
        <v>161</v>
      </c>
      <c r="H5" s="14" t="s">
        <v>162</v>
      </c>
      <c r="I5" s="14" t="s">
        <v>164</v>
      </c>
      <c r="J5" s="14" t="s">
        <v>111</v>
      </c>
      <c r="K5" s="14" t="s">
        <v>195</v>
      </c>
      <c r="L5" s="14" t="s">
        <v>144</v>
      </c>
      <c r="M5" s="14" t="s">
        <v>196</v>
      </c>
    </row>
    <row r="6" spans="1:13" ht="25.5" x14ac:dyDescent="0.25">
      <c r="A6" s="18" t="s">
        <v>186</v>
      </c>
      <c r="B6" s="28" t="str">
        <f>IF(A6="","",IFERROR(INDEX('Suivi pubs'!$C$6:$C$370,MATCH(A6,'Suivi pubs'!$B$6:$B$370,0)),"Nom introuvable"))</f>
        <v>Pagne wax 6 yards</v>
      </c>
      <c r="C6" s="29">
        <f>IF(A6="","",COUNTIFS('Suivi pubs'!$B$6:$B$370,A6))</f>
        <v>5</v>
      </c>
      <c r="D6" s="25">
        <f>IF(A6="","",SUMIFS('Suivi pubs'!$E$6:$E$370,'Suivi pubs'!$B$6:$B$370,A6))</f>
        <v>7500</v>
      </c>
      <c r="E6" s="29">
        <f>IF(A6="","",SUMIFS('Suivi pubs'!$F$6:$F$370,'Suivi pubs'!$B$6:$B$370,A6))</f>
        <v>37</v>
      </c>
      <c r="F6" s="29">
        <f>IF(A6="","",SUMIFS('Suivi pubs'!$G$6:$G$370,'Suivi pubs'!$B$6:$B$370,A6))</f>
        <v>6</v>
      </c>
      <c r="G6" s="25">
        <f t="shared" ref="G6:G35" si="0">IF(OR(A6="",N(E6)=0),"",D6/E6)</f>
        <v>202.70270270270271</v>
      </c>
      <c r="H6" s="39">
        <f t="shared" ref="H6:H35" si="1">IF(OR(A6="",N(E6)=0),"",F6/E6)</f>
        <v>0.16216216216216217</v>
      </c>
      <c r="I6" s="25">
        <f t="shared" ref="I6:I35" si="2">IF(OR(A6="",N(F6)=0),"",D6/F6)</f>
        <v>1250</v>
      </c>
      <c r="J6" s="25">
        <f>IF(A6="","",IFERROR(INDEX(Catalogue!$K$6:$K$55,MATCH(B6,Catalogue!$B$6:$B$55,0)),""))</f>
        <v>4200</v>
      </c>
      <c r="K6" s="25">
        <f t="shared" ref="K6:K35" si="3">IF(OR(A6="",J6=""),"",F6*J6-D6)</f>
        <v>17700</v>
      </c>
      <c r="L6" s="28" t="str">
        <f>IF(OR(A6="",J6=""),"",IF(C6&lt;Paramètres!$B$12,"Trop tôt : laisse tourner 3 à 4 jours",IF(F6=0,IF(D6&gt;=J6,"Couper","Améliorer (aucune vente)"),IF(I6&lt;J6*Paramètres!$B$11,"Augmenter (+20 à 30 %)",IF(I6&lt;=J6,"Améliorer","Couper")))))</f>
        <v>Augmenter (+20 à 30 %)</v>
      </c>
      <c r="M6" s="40" t="str">
        <f>IF(OR(A6="",C6=0),"",IF(E6=0,"Pas de messages : revois l’accroche, le visuel ou le ciblage (chapitre 7)",IF(H6&lt;Paramètres!$B$13,"Beaucoup de messages, peu de ventes : conversation, prix ou confiance (chapitre 9)","Conversion correcte : continue de tester de nouvelles versions")))</f>
        <v>Conversion correcte : continue de tester de nouvelles versions</v>
      </c>
    </row>
    <row r="7" spans="1:13" ht="25.5" x14ac:dyDescent="0.25">
      <c r="A7" s="18" t="s">
        <v>188</v>
      </c>
      <c r="B7" s="28" t="str">
        <f>IF(A7="","",IFERROR(INDEX('Suivi pubs'!$C$6:$C$370,MATCH(A7,'Suivi pubs'!$B$6:$B$370,0)),"Nom introuvable"))</f>
        <v>Pagne wax 6 yards</v>
      </c>
      <c r="C7" s="29">
        <f>IF(A7="","",COUNTIFS('Suivi pubs'!$B$6:$B$370,A7))</f>
        <v>3</v>
      </c>
      <c r="D7" s="25">
        <f>IF(A7="","",SUMIFS('Suivi pubs'!$E$6:$E$370,'Suivi pubs'!$B$6:$B$370,A7))</f>
        <v>4500</v>
      </c>
      <c r="E7" s="29">
        <f>IF(A7="","",SUMIFS('Suivi pubs'!$F$6:$F$370,'Suivi pubs'!$B$6:$B$370,A7))</f>
        <v>12</v>
      </c>
      <c r="F7" s="29">
        <f>IF(A7="","",SUMIFS('Suivi pubs'!$G$6:$G$370,'Suivi pubs'!$B$6:$B$370,A7))</f>
        <v>1</v>
      </c>
      <c r="G7" s="25">
        <f t="shared" si="0"/>
        <v>375</v>
      </c>
      <c r="H7" s="39">
        <f t="shared" si="1"/>
        <v>8.3333333333333329E-2</v>
      </c>
      <c r="I7" s="25">
        <f t="shared" si="2"/>
        <v>4500</v>
      </c>
      <c r="J7" s="25">
        <f>IF(A7="","",IFERROR(INDEX(Catalogue!$K$6:$K$55,MATCH(B7,Catalogue!$B$6:$B$55,0)),""))</f>
        <v>4200</v>
      </c>
      <c r="K7" s="25">
        <f t="shared" si="3"/>
        <v>-300</v>
      </c>
      <c r="L7" s="28" t="str">
        <f>IF(OR(A7="",J7=""),"",IF(C7&lt;Paramètres!$B$12,"Trop tôt : laisse tourner 3 à 4 jours",IF(F7=0,IF(D7&gt;=J7,"Couper","Améliorer (aucune vente)"),IF(I7&lt;J7*Paramètres!$B$11,"Augmenter (+20 à 30 %)",IF(I7&lt;=J7,"Améliorer","Couper")))))</f>
        <v>Couper</v>
      </c>
      <c r="M7" s="40" t="str">
        <f>IF(OR(A7="",C7=0),"",IF(E7=0,"Pas de messages : revois l’accroche, le visuel ou le ciblage (chapitre 7)",IF(H7&lt;Paramètres!$B$13,"Beaucoup de messages, peu de ventes : conversation, prix ou confiance (chapitre 9)","Conversion correcte : continue de tester de nouvelles versions")))</f>
        <v>Beaucoup de messages, peu de ventes : conversation, prix ou confiance (chapitre 9)</v>
      </c>
    </row>
    <row r="8" spans="1:13" ht="25.5" x14ac:dyDescent="0.25">
      <c r="A8" s="18" t="s">
        <v>190</v>
      </c>
      <c r="B8" s="28" t="str">
        <f>IF(A8="","",IFERROR(INDEX('Suivi pubs'!$C$6:$C$370,MATCH(A8,'Suivi pubs'!$B$6:$B$370,0)),"Nom introuvable"))</f>
        <v>Foulard assorti</v>
      </c>
      <c r="C8" s="29">
        <f>IF(A8="","",COUNTIFS('Suivi pubs'!$B$6:$B$370,A8))</f>
        <v>3</v>
      </c>
      <c r="D8" s="25">
        <f>IF(A8="","",SUMIFS('Suivi pubs'!$E$6:$E$370,'Suivi pubs'!$B$6:$B$370,A8))</f>
        <v>6000</v>
      </c>
      <c r="E8" s="29">
        <f>IF(A8="","",SUMIFS('Suivi pubs'!$F$6:$F$370,'Suivi pubs'!$B$6:$B$370,A8))</f>
        <v>12</v>
      </c>
      <c r="F8" s="29">
        <f>IF(A8="","",SUMIFS('Suivi pubs'!$G$6:$G$370,'Suivi pubs'!$B$6:$B$370,A8))</f>
        <v>1</v>
      </c>
      <c r="G8" s="25">
        <f t="shared" si="0"/>
        <v>500</v>
      </c>
      <c r="H8" s="39">
        <f t="shared" si="1"/>
        <v>8.3333333333333329E-2</v>
      </c>
      <c r="I8" s="25">
        <f t="shared" si="2"/>
        <v>6000</v>
      </c>
      <c r="J8" s="25">
        <f>IF(A8="","",IFERROR(INDEX(Catalogue!$K$6:$K$55,MATCH(B8,Catalogue!$B$6:$B$55,0)),""))</f>
        <v>2150</v>
      </c>
      <c r="K8" s="25">
        <f t="shared" si="3"/>
        <v>-3850</v>
      </c>
      <c r="L8" s="28" t="str">
        <f>IF(OR(A8="",J8=""),"",IF(C8&lt;Paramètres!$B$12,"Trop tôt : laisse tourner 3 à 4 jours",IF(F8=0,IF(D8&gt;=J8,"Couper","Améliorer (aucune vente)"),IF(I8&lt;J8*Paramètres!$B$11,"Augmenter (+20 à 30 %)",IF(I8&lt;=J8,"Améliorer","Couper")))))</f>
        <v>Couper</v>
      </c>
      <c r="M8" s="40" t="str">
        <f>IF(OR(A8="",C8=0),"",IF(E8=0,"Pas de messages : revois l’accroche, le visuel ou le ciblage (chapitre 7)",IF(H8&lt;Paramètres!$B$13,"Beaucoup de messages, peu de ventes : conversation, prix ou confiance (chapitre 9)","Conversion correcte : continue de tester de nouvelles versions")))</f>
        <v>Beaucoup de messages, peu de ventes : conversation, prix ou confiance (chapitre 9)</v>
      </c>
    </row>
    <row r="9" spans="1:13" x14ac:dyDescent="0.25">
      <c r="A9" s="18"/>
      <c r="B9" s="28" t="str">
        <f>IF(A9="","",IFERROR(INDEX('Suivi pubs'!$C$6:$C$370,MATCH(A9,'Suivi pubs'!$B$6:$B$370,0)),"Nom introuvable"))</f>
        <v/>
      </c>
      <c r="C9" s="29" t="str">
        <f>IF(A9="","",COUNTIFS('Suivi pubs'!$B$6:$B$370,A9))</f>
        <v/>
      </c>
      <c r="D9" s="25" t="str">
        <f>IF(A9="","",SUMIFS('Suivi pubs'!$E$6:$E$370,'Suivi pubs'!$B$6:$B$370,A9))</f>
        <v/>
      </c>
      <c r="E9" s="29" t="str">
        <f>IF(A9="","",SUMIFS('Suivi pubs'!$F$6:$F$370,'Suivi pubs'!$B$6:$B$370,A9))</f>
        <v/>
      </c>
      <c r="F9" s="29" t="str">
        <f>IF(A9="","",SUMIFS('Suivi pubs'!$G$6:$G$370,'Suivi pubs'!$B$6:$B$370,A9))</f>
        <v/>
      </c>
      <c r="G9" s="25" t="str">
        <f t="shared" si="0"/>
        <v/>
      </c>
      <c r="H9" s="39" t="str">
        <f t="shared" si="1"/>
        <v/>
      </c>
      <c r="I9" s="25" t="str">
        <f t="shared" si="2"/>
        <v/>
      </c>
      <c r="J9" s="25" t="str">
        <f>IF(A9="","",IFERROR(INDEX(Catalogue!$K$6:$K$55,MATCH(B9,Catalogue!$B$6:$B$55,0)),""))</f>
        <v/>
      </c>
      <c r="K9" s="25" t="str">
        <f t="shared" si="3"/>
        <v/>
      </c>
      <c r="L9" s="28" t="str">
        <f>IF(OR(A9="",J9=""),"",IF(C9&lt;Paramètres!$B$12,"Trop tôt : laisse tourner 3 à 4 jours",IF(F9=0,IF(D9&gt;=J9,"Couper","Améliorer (aucune vente)"),IF(I9&lt;J9*Paramètres!$B$11,"Augmenter (+20 à 30 %)",IF(I9&lt;=J9,"Améliorer","Couper")))))</f>
        <v/>
      </c>
      <c r="M9" s="40" t="str">
        <f>IF(OR(A9="",C9=0),"",IF(E9=0,"Pas de messages : revois l’accroche, le visuel ou le ciblage (chapitre 7)",IF(H9&lt;Paramètres!$B$13,"Beaucoup de messages, peu de ventes : conversation, prix ou confiance (chapitre 9)","Conversion correcte : continue de tester de nouvelles versions")))</f>
        <v/>
      </c>
    </row>
    <row r="10" spans="1:13" x14ac:dyDescent="0.25">
      <c r="A10" s="18"/>
      <c r="B10" s="28" t="str">
        <f>IF(A10="","",IFERROR(INDEX('Suivi pubs'!$C$6:$C$370,MATCH(A10,'Suivi pubs'!$B$6:$B$370,0)),"Nom introuvable"))</f>
        <v/>
      </c>
      <c r="C10" s="29" t="str">
        <f>IF(A10="","",COUNTIFS('Suivi pubs'!$B$6:$B$370,A10))</f>
        <v/>
      </c>
      <c r="D10" s="25" t="str">
        <f>IF(A10="","",SUMIFS('Suivi pubs'!$E$6:$E$370,'Suivi pubs'!$B$6:$B$370,A10))</f>
        <v/>
      </c>
      <c r="E10" s="29" t="str">
        <f>IF(A10="","",SUMIFS('Suivi pubs'!$F$6:$F$370,'Suivi pubs'!$B$6:$B$370,A10))</f>
        <v/>
      </c>
      <c r="F10" s="29" t="str">
        <f>IF(A10="","",SUMIFS('Suivi pubs'!$G$6:$G$370,'Suivi pubs'!$B$6:$B$370,A10))</f>
        <v/>
      </c>
      <c r="G10" s="25" t="str">
        <f t="shared" si="0"/>
        <v/>
      </c>
      <c r="H10" s="39" t="str">
        <f t="shared" si="1"/>
        <v/>
      </c>
      <c r="I10" s="25" t="str">
        <f t="shared" si="2"/>
        <v/>
      </c>
      <c r="J10" s="25" t="str">
        <f>IF(A10="","",IFERROR(INDEX(Catalogue!$K$6:$K$55,MATCH(B10,Catalogue!$B$6:$B$55,0)),""))</f>
        <v/>
      </c>
      <c r="K10" s="25" t="str">
        <f t="shared" si="3"/>
        <v/>
      </c>
      <c r="L10" s="28" t="str">
        <f>IF(OR(A10="",J10=""),"",IF(C10&lt;Paramètres!$B$12,"Trop tôt : laisse tourner 3 à 4 jours",IF(F10=0,IF(D10&gt;=J10,"Couper","Améliorer (aucune vente)"),IF(I10&lt;J10*Paramètres!$B$11,"Augmenter (+20 à 30 %)",IF(I10&lt;=J10,"Améliorer","Couper")))))</f>
        <v/>
      </c>
      <c r="M10" s="40" t="str">
        <f>IF(OR(A10="",C10=0),"",IF(E10=0,"Pas de messages : revois l’accroche, le visuel ou le ciblage (chapitre 7)",IF(H10&lt;Paramètres!$B$13,"Beaucoup de messages, peu de ventes : conversation, prix ou confiance (chapitre 9)","Conversion correcte : continue de tester de nouvelles versions")))</f>
        <v/>
      </c>
    </row>
    <row r="11" spans="1:13" x14ac:dyDescent="0.25">
      <c r="A11" s="18"/>
      <c r="B11" s="28" t="str">
        <f>IF(A11="","",IFERROR(INDEX('Suivi pubs'!$C$6:$C$370,MATCH(A11,'Suivi pubs'!$B$6:$B$370,0)),"Nom introuvable"))</f>
        <v/>
      </c>
      <c r="C11" s="29" t="str">
        <f>IF(A11="","",COUNTIFS('Suivi pubs'!$B$6:$B$370,A11))</f>
        <v/>
      </c>
      <c r="D11" s="25" t="str">
        <f>IF(A11="","",SUMIFS('Suivi pubs'!$E$6:$E$370,'Suivi pubs'!$B$6:$B$370,A11))</f>
        <v/>
      </c>
      <c r="E11" s="29" t="str">
        <f>IF(A11="","",SUMIFS('Suivi pubs'!$F$6:$F$370,'Suivi pubs'!$B$6:$B$370,A11))</f>
        <v/>
      </c>
      <c r="F11" s="29" t="str">
        <f>IF(A11="","",SUMIFS('Suivi pubs'!$G$6:$G$370,'Suivi pubs'!$B$6:$B$370,A11))</f>
        <v/>
      </c>
      <c r="G11" s="25" t="str">
        <f t="shared" si="0"/>
        <v/>
      </c>
      <c r="H11" s="39" t="str">
        <f t="shared" si="1"/>
        <v/>
      </c>
      <c r="I11" s="25" t="str">
        <f t="shared" si="2"/>
        <v/>
      </c>
      <c r="J11" s="25" t="str">
        <f>IF(A11="","",IFERROR(INDEX(Catalogue!$K$6:$K$55,MATCH(B11,Catalogue!$B$6:$B$55,0)),""))</f>
        <v/>
      </c>
      <c r="K11" s="25" t="str">
        <f t="shared" si="3"/>
        <v/>
      </c>
      <c r="L11" s="28" t="str">
        <f>IF(OR(A11="",J11=""),"",IF(C11&lt;Paramètres!$B$12,"Trop tôt : laisse tourner 3 à 4 jours",IF(F11=0,IF(D11&gt;=J11,"Couper","Améliorer (aucune vente)"),IF(I11&lt;J11*Paramètres!$B$11,"Augmenter (+20 à 30 %)",IF(I11&lt;=J11,"Améliorer","Couper")))))</f>
        <v/>
      </c>
      <c r="M11" s="40" t="str">
        <f>IF(OR(A11="",C11=0),"",IF(E11=0,"Pas de messages : revois l’accroche, le visuel ou le ciblage (chapitre 7)",IF(H11&lt;Paramètres!$B$13,"Beaucoup de messages, peu de ventes : conversation, prix ou confiance (chapitre 9)","Conversion correcte : continue de tester de nouvelles versions")))</f>
        <v/>
      </c>
    </row>
    <row r="12" spans="1:13" x14ac:dyDescent="0.25">
      <c r="A12" s="18"/>
      <c r="B12" s="28" t="str">
        <f>IF(A12="","",IFERROR(INDEX('Suivi pubs'!$C$6:$C$370,MATCH(A12,'Suivi pubs'!$B$6:$B$370,0)),"Nom introuvable"))</f>
        <v/>
      </c>
      <c r="C12" s="29" t="str">
        <f>IF(A12="","",COUNTIFS('Suivi pubs'!$B$6:$B$370,A12))</f>
        <v/>
      </c>
      <c r="D12" s="25" t="str">
        <f>IF(A12="","",SUMIFS('Suivi pubs'!$E$6:$E$370,'Suivi pubs'!$B$6:$B$370,A12))</f>
        <v/>
      </c>
      <c r="E12" s="29" t="str">
        <f>IF(A12="","",SUMIFS('Suivi pubs'!$F$6:$F$370,'Suivi pubs'!$B$6:$B$370,A12))</f>
        <v/>
      </c>
      <c r="F12" s="29" t="str">
        <f>IF(A12="","",SUMIFS('Suivi pubs'!$G$6:$G$370,'Suivi pubs'!$B$6:$B$370,A12))</f>
        <v/>
      </c>
      <c r="G12" s="25" t="str">
        <f t="shared" si="0"/>
        <v/>
      </c>
      <c r="H12" s="39" t="str">
        <f t="shared" si="1"/>
        <v/>
      </c>
      <c r="I12" s="25" t="str">
        <f t="shared" si="2"/>
        <v/>
      </c>
      <c r="J12" s="25" t="str">
        <f>IF(A12="","",IFERROR(INDEX(Catalogue!$K$6:$K$55,MATCH(B12,Catalogue!$B$6:$B$55,0)),""))</f>
        <v/>
      </c>
      <c r="K12" s="25" t="str">
        <f t="shared" si="3"/>
        <v/>
      </c>
      <c r="L12" s="28" t="str">
        <f>IF(OR(A12="",J12=""),"",IF(C12&lt;Paramètres!$B$12,"Trop tôt : laisse tourner 3 à 4 jours",IF(F12=0,IF(D12&gt;=J12,"Couper","Améliorer (aucune vente)"),IF(I12&lt;J12*Paramètres!$B$11,"Augmenter (+20 à 30 %)",IF(I12&lt;=J12,"Améliorer","Couper")))))</f>
        <v/>
      </c>
      <c r="M12" s="40" t="str">
        <f>IF(OR(A12="",C12=0),"",IF(E12=0,"Pas de messages : revois l’accroche, le visuel ou le ciblage (chapitre 7)",IF(H12&lt;Paramètres!$B$13,"Beaucoup de messages, peu de ventes : conversation, prix ou confiance (chapitre 9)","Conversion correcte : continue de tester de nouvelles versions")))</f>
        <v/>
      </c>
    </row>
    <row r="13" spans="1:13" x14ac:dyDescent="0.25">
      <c r="A13" s="18"/>
      <c r="B13" s="28" t="str">
        <f>IF(A13="","",IFERROR(INDEX('Suivi pubs'!$C$6:$C$370,MATCH(A13,'Suivi pubs'!$B$6:$B$370,0)),"Nom introuvable"))</f>
        <v/>
      </c>
      <c r="C13" s="29" t="str">
        <f>IF(A13="","",COUNTIFS('Suivi pubs'!$B$6:$B$370,A13))</f>
        <v/>
      </c>
      <c r="D13" s="25" t="str">
        <f>IF(A13="","",SUMIFS('Suivi pubs'!$E$6:$E$370,'Suivi pubs'!$B$6:$B$370,A13))</f>
        <v/>
      </c>
      <c r="E13" s="29" t="str">
        <f>IF(A13="","",SUMIFS('Suivi pubs'!$F$6:$F$370,'Suivi pubs'!$B$6:$B$370,A13))</f>
        <v/>
      </c>
      <c r="F13" s="29" t="str">
        <f>IF(A13="","",SUMIFS('Suivi pubs'!$G$6:$G$370,'Suivi pubs'!$B$6:$B$370,A13))</f>
        <v/>
      </c>
      <c r="G13" s="25" t="str">
        <f t="shared" si="0"/>
        <v/>
      </c>
      <c r="H13" s="39" t="str">
        <f t="shared" si="1"/>
        <v/>
      </c>
      <c r="I13" s="25" t="str">
        <f t="shared" si="2"/>
        <v/>
      </c>
      <c r="J13" s="25" t="str">
        <f>IF(A13="","",IFERROR(INDEX(Catalogue!$K$6:$K$55,MATCH(B13,Catalogue!$B$6:$B$55,0)),""))</f>
        <v/>
      </c>
      <c r="K13" s="25" t="str">
        <f t="shared" si="3"/>
        <v/>
      </c>
      <c r="L13" s="28" t="str">
        <f>IF(OR(A13="",J13=""),"",IF(C13&lt;Paramètres!$B$12,"Trop tôt : laisse tourner 3 à 4 jours",IF(F13=0,IF(D13&gt;=J13,"Couper","Améliorer (aucune vente)"),IF(I13&lt;J13*Paramètres!$B$11,"Augmenter (+20 à 30 %)",IF(I13&lt;=J13,"Améliorer","Couper")))))</f>
        <v/>
      </c>
      <c r="M13" s="40" t="str">
        <f>IF(OR(A13="",C13=0),"",IF(E13=0,"Pas de messages : revois l’accroche, le visuel ou le ciblage (chapitre 7)",IF(H13&lt;Paramètres!$B$13,"Beaucoup de messages, peu de ventes : conversation, prix ou confiance (chapitre 9)","Conversion correcte : continue de tester de nouvelles versions")))</f>
        <v/>
      </c>
    </row>
    <row r="14" spans="1:13" x14ac:dyDescent="0.25">
      <c r="A14" s="18"/>
      <c r="B14" s="28" t="str">
        <f>IF(A14="","",IFERROR(INDEX('Suivi pubs'!$C$6:$C$370,MATCH(A14,'Suivi pubs'!$B$6:$B$370,0)),"Nom introuvable"))</f>
        <v/>
      </c>
      <c r="C14" s="29" t="str">
        <f>IF(A14="","",COUNTIFS('Suivi pubs'!$B$6:$B$370,A14))</f>
        <v/>
      </c>
      <c r="D14" s="25" t="str">
        <f>IF(A14="","",SUMIFS('Suivi pubs'!$E$6:$E$370,'Suivi pubs'!$B$6:$B$370,A14))</f>
        <v/>
      </c>
      <c r="E14" s="29" t="str">
        <f>IF(A14="","",SUMIFS('Suivi pubs'!$F$6:$F$370,'Suivi pubs'!$B$6:$B$370,A14))</f>
        <v/>
      </c>
      <c r="F14" s="29" t="str">
        <f>IF(A14="","",SUMIFS('Suivi pubs'!$G$6:$G$370,'Suivi pubs'!$B$6:$B$370,A14))</f>
        <v/>
      </c>
      <c r="G14" s="25" t="str">
        <f t="shared" si="0"/>
        <v/>
      </c>
      <c r="H14" s="39" t="str">
        <f t="shared" si="1"/>
        <v/>
      </c>
      <c r="I14" s="25" t="str">
        <f t="shared" si="2"/>
        <v/>
      </c>
      <c r="J14" s="25" t="str">
        <f>IF(A14="","",IFERROR(INDEX(Catalogue!$K$6:$K$55,MATCH(B14,Catalogue!$B$6:$B$55,0)),""))</f>
        <v/>
      </c>
      <c r="K14" s="25" t="str">
        <f t="shared" si="3"/>
        <v/>
      </c>
      <c r="L14" s="28" t="str">
        <f>IF(OR(A14="",J14=""),"",IF(C14&lt;Paramètres!$B$12,"Trop tôt : laisse tourner 3 à 4 jours",IF(F14=0,IF(D14&gt;=J14,"Couper","Améliorer (aucune vente)"),IF(I14&lt;J14*Paramètres!$B$11,"Augmenter (+20 à 30 %)",IF(I14&lt;=J14,"Améliorer","Couper")))))</f>
        <v/>
      </c>
      <c r="M14" s="40" t="str">
        <f>IF(OR(A14="",C14=0),"",IF(E14=0,"Pas de messages : revois l’accroche, le visuel ou le ciblage (chapitre 7)",IF(H14&lt;Paramètres!$B$13,"Beaucoup de messages, peu de ventes : conversation, prix ou confiance (chapitre 9)","Conversion correcte : continue de tester de nouvelles versions")))</f>
        <v/>
      </c>
    </row>
    <row r="15" spans="1:13" x14ac:dyDescent="0.25">
      <c r="A15" s="18"/>
      <c r="B15" s="28" t="str">
        <f>IF(A15="","",IFERROR(INDEX('Suivi pubs'!$C$6:$C$370,MATCH(A15,'Suivi pubs'!$B$6:$B$370,0)),"Nom introuvable"))</f>
        <v/>
      </c>
      <c r="C15" s="29" t="str">
        <f>IF(A15="","",COUNTIFS('Suivi pubs'!$B$6:$B$370,A15))</f>
        <v/>
      </c>
      <c r="D15" s="25" t="str">
        <f>IF(A15="","",SUMIFS('Suivi pubs'!$E$6:$E$370,'Suivi pubs'!$B$6:$B$370,A15))</f>
        <v/>
      </c>
      <c r="E15" s="29" t="str">
        <f>IF(A15="","",SUMIFS('Suivi pubs'!$F$6:$F$370,'Suivi pubs'!$B$6:$B$370,A15))</f>
        <v/>
      </c>
      <c r="F15" s="29" t="str">
        <f>IF(A15="","",SUMIFS('Suivi pubs'!$G$6:$G$370,'Suivi pubs'!$B$6:$B$370,A15))</f>
        <v/>
      </c>
      <c r="G15" s="25" t="str">
        <f t="shared" si="0"/>
        <v/>
      </c>
      <c r="H15" s="39" t="str">
        <f t="shared" si="1"/>
        <v/>
      </c>
      <c r="I15" s="25" t="str">
        <f t="shared" si="2"/>
        <v/>
      </c>
      <c r="J15" s="25" t="str">
        <f>IF(A15="","",IFERROR(INDEX(Catalogue!$K$6:$K$55,MATCH(B15,Catalogue!$B$6:$B$55,0)),""))</f>
        <v/>
      </c>
      <c r="K15" s="25" t="str">
        <f t="shared" si="3"/>
        <v/>
      </c>
      <c r="L15" s="28" t="str">
        <f>IF(OR(A15="",J15=""),"",IF(C15&lt;Paramètres!$B$12,"Trop tôt : laisse tourner 3 à 4 jours",IF(F15=0,IF(D15&gt;=J15,"Couper","Améliorer (aucune vente)"),IF(I15&lt;J15*Paramètres!$B$11,"Augmenter (+20 à 30 %)",IF(I15&lt;=J15,"Améliorer","Couper")))))</f>
        <v/>
      </c>
      <c r="M15" s="40" t="str">
        <f>IF(OR(A15="",C15=0),"",IF(E15=0,"Pas de messages : revois l’accroche, le visuel ou le ciblage (chapitre 7)",IF(H15&lt;Paramètres!$B$13,"Beaucoup de messages, peu de ventes : conversation, prix ou confiance (chapitre 9)","Conversion correcte : continue de tester de nouvelles versions")))</f>
        <v/>
      </c>
    </row>
    <row r="16" spans="1:13" x14ac:dyDescent="0.25">
      <c r="A16" s="18"/>
      <c r="B16" s="28" t="str">
        <f>IF(A16="","",IFERROR(INDEX('Suivi pubs'!$C$6:$C$370,MATCH(A16,'Suivi pubs'!$B$6:$B$370,0)),"Nom introuvable"))</f>
        <v/>
      </c>
      <c r="C16" s="29" t="str">
        <f>IF(A16="","",COUNTIFS('Suivi pubs'!$B$6:$B$370,A16))</f>
        <v/>
      </c>
      <c r="D16" s="25" t="str">
        <f>IF(A16="","",SUMIFS('Suivi pubs'!$E$6:$E$370,'Suivi pubs'!$B$6:$B$370,A16))</f>
        <v/>
      </c>
      <c r="E16" s="29" t="str">
        <f>IF(A16="","",SUMIFS('Suivi pubs'!$F$6:$F$370,'Suivi pubs'!$B$6:$B$370,A16))</f>
        <v/>
      </c>
      <c r="F16" s="29" t="str">
        <f>IF(A16="","",SUMIFS('Suivi pubs'!$G$6:$G$370,'Suivi pubs'!$B$6:$B$370,A16))</f>
        <v/>
      </c>
      <c r="G16" s="25" t="str">
        <f t="shared" si="0"/>
        <v/>
      </c>
      <c r="H16" s="39" t="str">
        <f t="shared" si="1"/>
        <v/>
      </c>
      <c r="I16" s="25" t="str">
        <f t="shared" si="2"/>
        <v/>
      </c>
      <c r="J16" s="25" t="str">
        <f>IF(A16="","",IFERROR(INDEX(Catalogue!$K$6:$K$55,MATCH(B16,Catalogue!$B$6:$B$55,0)),""))</f>
        <v/>
      </c>
      <c r="K16" s="25" t="str">
        <f t="shared" si="3"/>
        <v/>
      </c>
      <c r="L16" s="28" t="str">
        <f>IF(OR(A16="",J16=""),"",IF(C16&lt;Paramètres!$B$12,"Trop tôt : laisse tourner 3 à 4 jours",IF(F16=0,IF(D16&gt;=J16,"Couper","Améliorer (aucune vente)"),IF(I16&lt;J16*Paramètres!$B$11,"Augmenter (+20 à 30 %)",IF(I16&lt;=J16,"Améliorer","Couper")))))</f>
        <v/>
      </c>
      <c r="M16" s="40" t="str">
        <f>IF(OR(A16="",C16=0),"",IF(E16=0,"Pas de messages : revois l’accroche, le visuel ou le ciblage (chapitre 7)",IF(H16&lt;Paramètres!$B$13,"Beaucoup de messages, peu de ventes : conversation, prix ou confiance (chapitre 9)","Conversion correcte : continue de tester de nouvelles versions")))</f>
        <v/>
      </c>
    </row>
    <row r="17" spans="1:13" x14ac:dyDescent="0.25">
      <c r="A17" s="18"/>
      <c r="B17" s="28" t="str">
        <f>IF(A17="","",IFERROR(INDEX('Suivi pubs'!$C$6:$C$370,MATCH(A17,'Suivi pubs'!$B$6:$B$370,0)),"Nom introuvable"))</f>
        <v/>
      </c>
      <c r="C17" s="29" t="str">
        <f>IF(A17="","",COUNTIFS('Suivi pubs'!$B$6:$B$370,A17))</f>
        <v/>
      </c>
      <c r="D17" s="25" t="str">
        <f>IF(A17="","",SUMIFS('Suivi pubs'!$E$6:$E$370,'Suivi pubs'!$B$6:$B$370,A17))</f>
        <v/>
      </c>
      <c r="E17" s="29" t="str">
        <f>IF(A17="","",SUMIFS('Suivi pubs'!$F$6:$F$370,'Suivi pubs'!$B$6:$B$370,A17))</f>
        <v/>
      </c>
      <c r="F17" s="29" t="str">
        <f>IF(A17="","",SUMIFS('Suivi pubs'!$G$6:$G$370,'Suivi pubs'!$B$6:$B$370,A17))</f>
        <v/>
      </c>
      <c r="G17" s="25" t="str">
        <f t="shared" si="0"/>
        <v/>
      </c>
      <c r="H17" s="39" t="str">
        <f t="shared" si="1"/>
        <v/>
      </c>
      <c r="I17" s="25" t="str">
        <f t="shared" si="2"/>
        <v/>
      </c>
      <c r="J17" s="25" t="str">
        <f>IF(A17="","",IFERROR(INDEX(Catalogue!$K$6:$K$55,MATCH(B17,Catalogue!$B$6:$B$55,0)),""))</f>
        <v/>
      </c>
      <c r="K17" s="25" t="str">
        <f t="shared" si="3"/>
        <v/>
      </c>
      <c r="L17" s="28" t="str">
        <f>IF(OR(A17="",J17=""),"",IF(C17&lt;Paramètres!$B$12,"Trop tôt : laisse tourner 3 à 4 jours",IF(F17=0,IF(D17&gt;=J17,"Couper","Améliorer (aucune vente)"),IF(I17&lt;J17*Paramètres!$B$11,"Augmenter (+20 à 30 %)",IF(I17&lt;=J17,"Améliorer","Couper")))))</f>
        <v/>
      </c>
      <c r="M17" s="40" t="str">
        <f>IF(OR(A17="",C17=0),"",IF(E17=0,"Pas de messages : revois l’accroche, le visuel ou le ciblage (chapitre 7)",IF(H17&lt;Paramètres!$B$13,"Beaucoup de messages, peu de ventes : conversation, prix ou confiance (chapitre 9)","Conversion correcte : continue de tester de nouvelles versions")))</f>
        <v/>
      </c>
    </row>
    <row r="18" spans="1:13" x14ac:dyDescent="0.25">
      <c r="A18" s="18"/>
      <c r="B18" s="28" t="str">
        <f>IF(A18="","",IFERROR(INDEX('Suivi pubs'!$C$6:$C$370,MATCH(A18,'Suivi pubs'!$B$6:$B$370,0)),"Nom introuvable"))</f>
        <v/>
      </c>
      <c r="C18" s="29" t="str">
        <f>IF(A18="","",COUNTIFS('Suivi pubs'!$B$6:$B$370,A18))</f>
        <v/>
      </c>
      <c r="D18" s="25" t="str">
        <f>IF(A18="","",SUMIFS('Suivi pubs'!$E$6:$E$370,'Suivi pubs'!$B$6:$B$370,A18))</f>
        <v/>
      </c>
      <c r="E18" s="29" t="str">
        <f>IF(A18="","",SUMIFS('Suivi pubs'!$F$6:$F$370,'Suivi pubs'!$B$6:$B$370,A18))</f>
        <v/>
      </c>
      <c r="F18" s="29" t="str">
        <f>IF(A18="","",SUMIFS('Suivi pubs'!$G$6:$G$370,'Suivi pubs'!$B$6:$B$370,A18))</f>
        <v/>
      </c>
      <c r="G18" s="25" t="str">
        <f t="shared" si="0"/>
        <v/>
      </c>
      <c r="H18" s="39" t="str">
        <f t="shared" si="1"/>
        <v/>
      </c>
      <c r="I18" s="25" t="str">
        <f t="shared" si="2"/>
        <v/>
      </c>
      <c r="J18" s="25" t="str">
        <f>IF(A18="","",IFERROR(INDEX(Catalogue!$K$6:$K$55,MATCH(B18,Catalogue!$B$6:$B$55,0)),""))</f>
        <v/>
      </c>
      <c r="K18" s="25" t="str">
        <f t="shared" si="3"/>
        <v/>
      </c>
      <c r="L18" s="28" t="str">
        <f>IF(OR(A18="",J18=""),"",IF(C18&lt;Paramètres!$B$12,"Trop tôt : laisse tourner 3 à 4 jours",IF(F18=0,IF(D18&gt;=J18,"Couper","Améliorer (aucune vente)"),IF(I18&lt;J18*Paramètres!$B$11,"Augmenter (+20 à 30 %)",IF(I18&lt;=J18,"Améliorer","Couper")))))</f>
        <v/>
      </c>
      <c r="M18" s="40" t="str">
        <f>IF(OR(A18="",C18=0),"",IF(E18=0,"Pas de messages : revois l’accroche, le visuel ou le ciblage (chapitre 7)",IF(H18&lt;Paramètres!$B$13,"Beaucoup de messages, peu de ventes : conversation, prix ou confiance (chapitre 9)","Conversion correcte : continue de tester de nouvelles versions")))</f>
        <v/>
      </c>
    </row>
    <row r="19" spans="1:13" x14ac:dyDescent="0.25">
      <c r="A19" s="18"/>
      <c r="B19" s="28" t="str">
        <f>IF(A19="","",IFERROR(INDEX('Suivi pubs'!$C$6:$C$370,MATCH(A19,'Suivi pubs'!$B$6:$B$370,0)),"Nom introuvable"))</f>
        <v/>
      </c>
      <c r="C19" s="29" t="str">
        <f>IF(A19="","",COUNTIFS('Suivi pubs'!$B$6:$B$370,A19))</f>
        <v/>
      </c>
      <c r="D19" s="25" t="str">
        <f>IF(A19="","",SUMIFS('Suivi pubs'!$E$6:$E$370,'Suivi pubs'!$B$6:$B$370,A19))</f>
        <v/>
      </c>
      <c r="E19" s="29" t="str">
        <f>IF(A19="","",SUMIFS('Suivi pubs'!$F$6:$F$370,'Suivi pubs'!$B$6:$B$370,A19))</f>
        <v/>
      </c>
      <c r="F19" s="29" t="str">
        <f>IF(A19="","",SUMIFS('Suivi pubs'!$G$6:$G$370,'Suivi pubs'!$B$6:$B$370,A19))</f>
        <v/>
      </c>
      <c r="G19" s="25" t="str">
        <f t="shared" si="0"/>
        <v/>
      </c>
      <c r="H19" s="39" t="str">
        <f t="shared" si="1"/>
        <v/>
      </c>
      <c r="I19" s="25" t="str">
        <f t="shared" si="2"/>
        <v/>
      </c>
      <c r="J19" s="25" t="str">
        <f>IF(A19="","",IFERROR(INDEX(Catalogue!$K$6:$K$55,MATCH(B19,Catalogue!$B$6:$B$55,0)),""))</f>
        <v/>
      </c>
      <c r="K19" s="25" t="str">
        <f t="shared" si="3"/>
        <v/>
      </c>
      <c r="L19" s="28" t="str">
        <f>IF(OR(A19="",J19=""),"",IF(C19&lt;Paramètres!$B$12,"Trop tôt : laisse tourner 3 à 4 jours",IF(F19=0,IF(D19&gt;=J19,"Couper","Améliorer (aucune vente)"),IF(I19&lt;J19*Paramètres!$B$11,"Augmenter (+20 à 30 %)",IF(I19&lt;=J19,"Améliorer","Couper")))))</f>
        <v/>
      </c>
      <c r="M19" s="40" t="str">
        <f>IF(OR(A19="",C19=0),"",IF(E19=0,"Pas de messages : revois l’accroche, le visuel ou le ciblage (chapitre 7)",IF(H19&lt;Paramètres!$B$13,"Beaucoup de messages, peu de ventes : conversation, prix ou confiance (chapitre 9)","Conversion correcte : continue de tester de nouvelles versions")))</f>
        <v/>
      </c>
    </row>
    <row r="20" spans="1:13" x14ac:dyDescent="0.25">
      <c r="A20" s="18"/>
      <c r="B20" s="28" t="str">
        <f>IF(A20="","",IFERROR(INDEX('Suivi pubs'!$C$6:$C$370,MATCH(A20,'Suivi pubs'!$B$6:$B$370,0)),"Nom introuvable"))</f>
        <v/>
      </c>
      <c r="C20" s="29" t="str">
        <f>IF(A20="","",COUNTIFS('Suivi pubs'!$B$6:$B$370,A20))</f>
        <v/>
      </c>
      <c r="D20" s="25" t="str">
        <f>IF(A20="","",SUMIFS('Suivi pubs'!$E$6:$E$370,'Suivi pubs'!$B$6:$B$370,A20))</f>
        <v/>
      </c>
      <c r="E20" s="29" t="str">
        <f>IF(A20="","",SUMIFS('Suivi pubs'!$F$6:$F$370,'Suivi pubs'!$B$6:$B$370,A20))</f>
        <v/>
      </c>
      <c r="F20" s="29" t="str">
        <f>IF(A20="","",SUMIFS('Suivi pubs'!$G$6:$G$370,'Suivi pubs'!$B$6:$B$370,A20))</f>
        <v/>
      </c>
      <c r="G20" s="25" t="str">
        <f t="shared" si="0"/>
        <v/>
      </c>
      <c r="H20" s="39" t="str">
        <f t="shared" si="1"/>
        <v/>
      </c>
      <c r="I20" s="25" t="str">
        <f t="shared" si="2"/>
        <v/>
      </c>
      <c r="J20" s="25" t="str">
        <f>IF(A20="","",IFERROR(INDEX(Catalogue!$K$6:$K$55,MATCH(B20,Catalogue!$B$6:$B$55,0)),""))</f>
        <v/>
      </c>
      <c r="K20" s="25" t="str">
        <f t="shared" si="3"/>
        <v/>
      </c>
      <c r="L20" s="28" t="str">
        <f>IF(OR(A20="",J20=""),"",IF(C20&lt;Paramètres!$B$12,"Trop tôt : laisse tourner 3 à 4 jours",IF(F20=0,IF(D20&gt;=J20,"Couper","Améliorer (aucune vente)"),IF(I20&lt;J20*Paramètres!$B$11,"Augmenter (+20 à 30 %)",IF(I20&lt;=J20,"Améliorer","Couper")))))</f>
        <v/>
      </c>
      <c r="M20" s="40" t="str">
        <f>IF(OR(A20="",C20=0),"",IF(E20=0,"Pas de messages : revois l’accroche, le visuel ou le ciblage (chapitre 7)",IF(H20&lt;Paramètres!$B$13,"Beaucoup de messages, peu de ventes : conversation, prix ou confiance (chapitre 9)","Conversion correcte : continue de tester de nouvelles versions")))</f>
        <v/>
      </c>
    </row>
    <row r="21" spans="1:13" x14ac:dyDescent="0.25">
      <c r="A21" s="18"/>
      <c r="B21" s="28" t="str">
        <f>IF(A21="","",IFERROR(INDEX('Suivi pubs'!$C$6:$C$370,MATCH(A21,'Suivi pubs'!$B$6:$B$370,0)),"Nom introuvable"))</f>
        <v/>
      </c>
      <c r="C21" s="29" t="str">
        <f>IF(A21="","",COUNTIFS('Suivi pubs'!$B$6:$B$370,A21))</f>
        <v/>
      </c>
      <c r="D21" s="25" t="str">
        <f>IF(A21="","",SUMIFS('Suivi pubs'!$E$6:$E$370,'Suivi pubs'!$B$6:$B$370,A21))</f>
        <v/>
      </c>
      <c r="E21" s="29" t="str">
        <f>IF(A21="","",SUMIFS('Suivi pubs'!$F$6:$F$370,'Suivi pubs'!$B$6:$B$370,A21))</f>
        <v/>
      </c>
      <c r="F21" s="29" t="str">
        <f>IF(A21="","",SUMIFS('Suivi pubs'!$G$6:$G$370,'Suivi pubs'!$B$6:$B$370,A21))</f>
        <v/>
      </c>
      <c r="G21" s="25" t="str">
        <f t="shared" si="0"/>
        <v/>
      </c>
      <c r="H21" s="39" t="str">
        <f t="shared" si="1"/>
        <v/>
      </c>
      <c r="I21" s="25" t="str">
        <f t="shared" si="2"/>
        <v/>
      </c>
      <c r="J21" s="25" t="str">
        <f>IF(A21="","",IFERROR(INDEX(Catalogue!$K$6:$K$55,MATCH(B21,Catalogue!$B$6:$B$55,0)),""))</f>
        <v/>
      </c>
      <c r="K21" s="25" t="str">
        <f t="shared" si="3"/>
        <v/>
      </c>
      <c r="L21" s="28" t="str">
        <f>IF(OR(A21="",J21=""),"",IF(C21&lt;Paramètres!$B$12,"Trop tôt : laisse tourner 3 à 4 jours",IF(F21=0,IF(D21&gt;=J21,"Couper","Améliorer (aucune vente)"),IF(I21&lt;J21*Paramètres!$B$11,"Augmenter (+20 à 30 %)",IF(I21&lt;=J21,"Améliorer","Couper")))))</f>
        <v/>
      </c>
      <c r="M21" s="40" t="str">
        <f>IF(OR(A21="",C21=0),"",IF(E21=0,"Pas de messages : revois l’accroche, le visuel ou le ciblage (chapitre 7)",IF(H21&lt;Paramètres!$B$13,"Beaucoup de messages, peu de ventes : conversation, prix ou confiance (chapitre 9)","Conversion correcte : continue de tester de nouvelles versions")))</f>
        <v/>
      </c>
    </row>
    <row r="22" spans="1:13" x14ac:dyDescent="0.25">
      <c r="A22" s="18"/>
      <c r="B22" s="28" t="str">
        <f>IF(A22="","",IFERROR(INDEX('Suivi pubs'!$C$6:$C$370,MATCH(A22,'Suivi pubs'!$B$6:$B$370,0)),"Nom introuvable"))</f>
        <v/>
      </c>
      <c r="C22" s="29" t="str">
        <f>IF(A22="","",COUNTIFS('Suivi pubs'!$B$6:$B$370,A22))</f>
        <v/>
      </c>
      <c r="D22" s="25" t="str">
        <f>IF(A22="","",SUMIFS('Suivi pubs'!$E$6:$E$370,'Suivi pubs'!$B$6:$B$370,A22))</f>
        <v/>
      </c>
      <c r="E22" s="29" t="str">
        <f>IF(A22="","",SUMIFS('Suivi pubs'!$F$6:$F$370,'Suivi pubs'!$B$6:$B$370,A22))</f>
        <v/>
      </c>
      <c r="F22" s="29" t="str">
        <f>IF(A22="","",SUMIFS('Suivi pubs'!$G$6:$G$370,'Suivi pubs'!$B$6:$B$370,A22))</f>
        <v/>
      </c>
      <c r="G22" s="25" t="str">
        <f t="shared" si="0"/>
        <v/>
      </c>
      <c r="H22" s="39" t="str">
        <f t="shared" si="1"/>
        <v/>
      </c>
      <c r="I22" s="25" t="str">
        <f t="shared" si="2"/>
        <v/>
      </c>
      <c r="J22" s="25" t="str">
        <f>IF(A22="","",IFERROR(INDEX(Catalogue!$K$6:$K$55,MATCH(B22,Catalogue!$B$6:$B$55,0)),""))</f>
        <v/>
      </c>
      <c r="K22" s="25" t="str">
        <f t="shared" si="3"/>
        <v/>
      </c>
      <c r="L22" s="28" t="str">
        <f>IF(OR(A22="",J22=""),"",IF(C22&lt;Paramètres!$B$12,"Trop tôt : laisse tourner 3 à 4 jours",IF(F22=0,IF(D22&gt;=J22,"Couper","Améliorer (aucune vente)"),IF(I22&lt;J22*Paramètres!$B$11,"Augmenter (+20 à 30 %)",IF(I22&lt;=J22,"Améliorer","Couper")))))</f>
        <v/>
      </c>
      <c r="M22" s="40" t="str">
        <f>IF(OR(A22="",C22=0),"",IF(E22=0,"Pas de messages : revois l’accroche, le visuel ou le ciblage (chapitre 7)",IF(H22&lt;Paramètres!$B$13,"Beaucoup de messages, peu de ventes : conversation, prix ou confiance (chapitre 9)","Conversion correcte : continue de tester de nouvelles versions")))</f>
        <v/>
      </c>
    </row>
    <row r="23" spans="1:13" x14ac:dyDescent="0.25">
      <c r="A23" s="18"/>
      <c r="B23" s="28" t="str">
        <f>IF(A23="","",IFERROR(INDEX('Suivi pubs'!$C$6:$C$370,MATCH(A23,'Suivi pubs'!$B$6:$B$370,0)),"Nom introuvable"))</f>
        <v/>
      </c>
      <c r="C23" s="29" t="str">
        <f>IF(A23="","",COUNTIFS('Suivi pubs'!$B$6:$B$370,A23))</f>
        <v/>
      </c>
      <c r="D23" s="25" t="str">
        <f>IF(A23="","",SUMIFS('Suivi pubs'!$E$6:$E$370,'Suivi pubs'!$B$6:$B$370,A23))</f>
        <v/>
      </c>
      <c r="E23" s="29" t="str">
        <f>IF(A23="","",SUMIFS('Suivi pubs'!$F$6:$F$370,'Suivi pubs'!$B$6:$B$370,A23))</f>
        <v/>
      </c>
      <c r="F23" s="29" t="str">
        <f>IF(A23="","",SUMIFS('Suivi pubs'!$G$6:$G$370,'Suivi pubs'!$B$6:$B$370,A23))</f>
        <v/>
      </c>
      <c r="G23" s="25" t="str">
        <f t="shared" si="0"/>
        <v/>
      </c>
      <c r="H23" s="39" t="str">
        <f t="shared" si="1"/>
        <v/>
      </c>
      <c r="I23" s="25" t="str">
        <f t="shared" si="2"/>
        <v/>
      </c>
      <c r="J23" s="25" t="str">
        <f>IF(A23="","",IFERROR(INDEX(Catalogue!$K$6:$K$55,MATCH(B23,Catalogue!$B$6:$B$55,0)),""))</f>
        <v/>
      </c>
      <c r="K23" s="25" t="str">
        <f t="shared" si="3"/>
        <v/>
      </c>
      <c r="L23" s="28" t="str">
        <f>IF(OR(A23="",J23=""),"",IF(C23&lt;Paramètres!$B$12,"Trop tôt : laisse tourner 3 à 4 jours",IF(F23=0,IF(D23&gt;=J23,"Couper","Améliorer (aucune vente)"),IF(I23&lt;J23*Paramètres!$B$11,"Augmenter (+20 à 30 %)",IF(I23&lt;=J23,"Améliorer","Couper")))))</f>
        <v/>
      </c>
      <c r="M23" s="40" t="str">
        <f>IF(OR(A23="",C23=0),"",IF(E23=0,"Pas de messages : revois l’accroche, le visuel ou le ciblage (chapitre 7)",IF(H23&lt;Paramètres!$B$13,"Beaucoup de messages, peu de ventes : conversation, prix ou confiance (chapitre 9)","Conversion correcte : continue de tester de nouvelles versions")))</f>
        <v/>
      </c>
    </row>
    <row r="24" spans="1:13" x14ac:dyDescent="0.25">
      <c r="A24" s="18"/>
      <c r="B24" s="28" t="str">
        <f>IF(A24="","",IFERROR(INDEX('Suivi pubs'!$C$6:$C$370,MATCH(A24,'Suivi pubs'!$B$6:$B$370,0)),"Nom introuvable"))</f>
        <v/>
      </c>
      <c r="C24" s="29" t="str">
        <f>IF(A24="","",COUNTIFS('Suivi pubs'!$B$6:$B$370,A24))</f>
        <v/>
      </c>
      <c r="D24" s="25" t="str">
        <f>IF(A24="","",SUMIFS('Suivi pubs'!$E$6:$E$370,'Suivi pubs'!$B$6:$B$370,A24))</f>
        <v/>
      </c>
      <c r="E24" s="29" t="str">
        <f>IF(A24="","",SUMIFS('Suivi pubs'!$F$6:$F$370,'Suivi pubs'!$B$6:$B$370,A24))</f>
        <v/>
      </c>
      <c r="F24" s="29" t="str">
        <f>IF(A24="","",SUMIFS('Suivi pubs'!$G$6:$G$370,'Suivi pubs'!$B$6:$B$370,A24))</f>
        <v/>
      </c>
      <c r="G24" s="25" t="str">
        <f t="shared" si="0"/>
        <v/>
      </c>
      <c r="H24" s="39" t="str">
        <f t="shared" si="1"/>
        <v/>
      </c>
      <c r="I24" s="25" t="str">
        <f t="shared" si="2"/>
        <v/>
      </c>
      <c r="J24" s="25" t="str">
        <f>IF(A24="","",IFERROR(INDEX(Catalogue!$K$6:$K$55,MATCH(B24,Catalogue!$B$6:$B$55,0)),""))</f>
        <v/>
      </c>
      <c r="K24" s="25" t="str">
        <f t="shared" si="3"/>
        <v/>
      </c>
      <c r="L24" s="28" t="str">
        <f>IF(OR(A24="",J24=""),"",IF(C24&lt;Paramètres!$B$12,"Trop tôt : laisse tourner 3 à 4 jours",IF(F24=0,IF(D24&gt;=J24,"Couper","Améliorer (aucune vente)"),IF(I24&lt;J24*Paramètres!$B$11,"Augmenter (+20 à 30 %)",IF(I24&lt;=J24,"Améliorer","Couper")))))</f>
        <v/>
      </c>
      <c r="M24" s="40" t="str">
        <f>IF(OR(A24="",C24=0),"",IF(E24=0,"Pas de messages : revois l’accroche, le visuel ou le ciblage (chapitre 7)",IF(H24&lt;Paramètres!$B$13,"Beaucoup de messages, peu de ventes : conversation, prix ou confiance (chapitre 9)","Conversion correcte : continue de tester de nouvelles versions")))</f>
        <v/>
      </c>
    </row>
    <row r="25" spans="1:13" x14ac:dyDescent="0.25">
      <c r="A25" s="18"/>
      <c r="B25" s="28" t="str">
        <f>IF(A25="","",IFERROR(INDEX('Suivi pubs'!$C$6:$C$370,MATCH(A25,'Suivi pubs'!$B$6:$B$370,0)),"Nom introuvable"))</f>
        <v/>
      </c>
      <c r="C25" s="29" t="str">
        <f>IF(A25="","",COUNTIFS('Suivi pubs'!$B$6:$B$370,A25))</f>
        <v/>
      </c>
      <c r="D25" s="25" t="str">
        <f>IF(A25="","",SUMIFS('Suivi pubs'!$E$6:$E$370,'Suivi pubs'!$B$6:$B$370,A25))</f>
        <v/>
      </c>
      <c r="E25" s="29" t="str">
        <f>IF(A25="","",SUMIFS('Suivi pubs'!$F$6:$F$370,'Suivi pubs'!$B$6:$B$370,A25))</f>
        <v/>
      </c>
      <c r="F25" s="29" t="str">
        <f>IF(A25="","",SUMIFS('Suivi pubs'!$G$6:$G$370,'Suivi pubs'!$B$6:$B$370,A25))</f>
        <v/>
      </c>
      <c r="G25" s="25" t="str">
        <f t="shared" si="0"/>
        <v/>
      </c>
      <c r="H25" s="39" t="str">
        <f t="shared" si="1"/>
        <v/>
      </c>
      <c r="I25" s="25" t="str">
        <f t="shared" si="2"/>
        <v/>
      </c>
      <c r="J25" s="25" t="str">
        <f>IF(A25="","",IFERROR(INDEX(Catalogue!$K$6:$K$55,MATCH(B25,Catalogue!$B$6:$B$55,0)),""))</f>
        <v/>
      </c>
      <c r="K25" s="25" t="str">
        <f t="shared" si="3"/>
        <v/>
      </c>
      <c r="L25" s="28" t="str">
        <f>IF(OR(A25="",J25=""),"",IF(C25&lt;Paramètres!$B$12,"Trop tôt : laisse tourner 3 à 4 jours",IF(F25=0,IF(D25&gt;=J25,"Couper","Améliorer (aucune vente)"),IF(I25&lt;J25*Paramètres!$B$11,"Augmenter (+20 à 30 %)",IF(I25&lt;=J25,"Améliorer","Couper")))))</f>
        <v/>
      </c>
      <c r="M25" s="40" t="str">
        <f>IF(OR(A25="",C25=0),"",IF(E25=0,"Pas de messages : revois l’accroche, le visuel ou le ciblage (chapitre 7)",IF(H25&lt;Paramètres!$B$13,"Beaucoup de messages, peu de ventes : conversation, prix ou confiance (chapitre 9)","Conversion correcte : continue de tester de nouvelles versions")))</f>
        <v/>
      </c>
    </row>
    <row r="26" spans="1:13" x14ac:dyDescent="0.25">
      <c r="A26" s="18"/>
      <c r="B26" s="28" t="str">
        <f>IF(A26="","",IFERROR(INDEX('Suivi pubs'!$C$6:$C$370,MATCH(A26,'Suivi pubs'!$B$6:$B$370,0)),"Nom introuvable"))</f>
        <v/>
      </c>
      <c r="C26" s="29" t="str">
        <f>IF(A26="","",COUNTIFS('Suivi pubs'!$B$6:$B$370,A26))</f>
        <v/>
      </c>
      <c r="D26" s="25" t="str">
        <f>IF(A26="","",SUMIFS('Suivi pubs'!$E$6:$E$370,'Suivi pubs'!$B$6:$B$370,A26))</f>
        <v/>
      </c>
      <c r="E26" s="29" t="str">
        <f>IF(A26="","",SUMIFS('Suivi pubs'!$F$6:$F$370,'Suivi pubs'!$B$6:$B$370,A26))</f>
        <v/>
      </c>
      <c r="F26" s="29" t="str">
        <f>IF(A26="","",SUMIFS('Suivi pubs'!$G$6:$G$370,'Suivi pubs'!$B$6:$B$370,A26))</f>
        <v/>
      </c>
      <c r="G26" s="25" t="str">
        <f t="shared" si="0"/>
        <v/>
      </c>
      <c r="H26" s="39" t="str">
        <f t="shared" si="1"/>
        <v/>
      </c>
      <c r="I26" s="25" t="str">
        <f t="shared" si="2"/>
        <v/>
      </c>
      <c r="J26" s="25" t="str">
        <f>IF(A26="","",IFERROR(INDEX(Catalogue!$K$6:$K$55,MATCH(B26,Catalogue!$B$6:$B$55,0)),""))</f>
        <v/>
      </c>
      <c r="K26" s="25" t="str">
        <f t="shared" si="3"/>
        <v/>
      </c>
      <c r="L26" s="28" t="str">
        <f>IF(OR(A26="",J26=""),"",IF(C26&lt;Paramètres!$B$12,"Trop tôt : laisse tourner 3 à 4 jours",IF(F26=0,IF(D26&gt;=J26,"Couper","Améliorer (aucune vente)"),IF(I26&lt;J26*Paramètres!$B$11,"Augmenter (+20 à 30 %)",IF(I26&lt;=J26,"Améliorer","Couper")))))</f>
        <v/>
      </c>
      <c r="M26" s="40" t="str">
        <f>IF(OR(A26="",C26=0),"",IF(E26=0,"Pas de messages : revois l’accroche, le visuel ou le ciblage (chapitre 7)",IF(H26&lt;Paramètres!$B$13,"Beaucoup de messages, peu de ventes : conversation, prix ou confiance (chapitre 9)","Conversion correcte : continue de tester de nouvelles versions")))</f>
        <v/>
      </c>
    </row>
    <row r="27" spans="1:13" x14ac:dyDescent="0.25">
      <c r="A27" s="18"/>
      <c r="B27" s="28" t="str">
        <f>IF(A27="","",IFERROR(INDEX('Suivi pubs'!$C$6:$C$370,MATCH(A27,'Suivi pubs'!$B$6:$B$370,0)),"Nom introuvable"))</f>
        <v/>
      </c>
      <c r="C27" s="29" t="str">
        <f>IF(A27="","",COUNTIFS('Suivi pubs'!$B$6:$B$370,A27))</f>
        <v/>
      </c>
      <c r="D27" s="25" t="str">
        <f>IF(A27="","",SUMIFS('Suivi pubs'!$E$6:$E$370,'Suivi pubs'!$B$6:$B$370,A27))</f>
        <v/>
      </c>
      <c r="E27" s="29" t="str">
        <f>IF(A27="","",SUMIFS('Suivi pubs'!$F$6:$F$370,'Suivi pubs'!$B$6:$B$370,A27))</f>
        <v/>
      </c>
      <c r="F27" s="29" t="str">
        <f>IF(A27="","",SUMIFS('Suivi pubs'!$G$6:$G$370,'Suivi pubs'!$B$6:$B$370,A27))</f>
        <v/>
      </c>
      <c r="G27" s="25" t="str">
        <f t="shared" si="0"/>
        <v/>
      </c>
      <c r="H27" s="39" t="str">
        <f t="shared" si="1"/>
        <v/>
      </c>
      <c r="I27" s="25" t="str">
        <f t="shared" si="2"/>
        <v/>
      </c>
      <c r="J27" s="25" t="str">
        <f>IF(A27="","",IFERROR(INDEX(Catalogue!$K$6:$K$55,MATCH(B27,Catalogue!$B$6:$B$55,0)),""))</f>
        <v/>
      </c>
      <c r="K27" s="25" t="str">
        <f t="shared" si="3"/>
        <v/>
      </c>
      <c r="L27" s="28" t="str">
        <f>IF(OR(A27="",J27=""),"",IF(C27&lt;Paramètres!$B$12,"Trop tôt : laisse tourner 3 à 4 jours",IF(F27=0,IF(D27&gt;=J27,"Couper","Améliorer (aucune vente)"),IF(I27&lt;J27*Paramètres!$B$11,"Augmenter (+20 à 30 %)",IF(I27&lt;=J27,"Améliorer","Couper")))))</f>
        <v/>
      </c>
      <c r="M27" s="40" t="str">
        <f>IF(OR(A27="",C27=0),"",IF(E27=0,"Pas de messages : revois l’accroche, le visuel ou le ciblage (chapitre 7)",IF(H27&lt;Paramètres!$B$13,"Beaucoup de messages, peu de ventes : conversation, prix ou confiance (chapitre 9)","Conversion correcte : continue de tester de nouvelles versions")))</f>
        <v/>
      </c>
    </row>
    <row r="28" spans="1:13" x14ac:dyDescent="0.25">
      <c r="A28" s="18"/>
      <c r="B28" s="28" t="str">
        <f>IF(A28="","",IFERROR(INDEX('Suivi pubs'!$C$6:$C$370,MATCH(A28,'Suivi pubs'!$B$6:$B$370,0)),"Nom introuvable"))</f>
        <v/>
      </c>
      <c r="C28" s="29" t="str">
        <f>IF(A28="","",COUNTIFS('Suivi pubs'!$B$6:$B$370,A28))</f>
        <v/>
      </c>
      <c r="D28" s="25" t="str">
        <f>IF(A28="","",SUMIFS('Suivi pubs'!$E$6:$E$370,'Suivi pubs'!$B$6:$B$370,A28))</f>
        <v/>
      </c>
      <c r="E28" s="29" t="str">
        <f>IF(A28="","",SUMIFS('Suivi pubs'!$F$6:$F$370,'Suivi pubs'!$B$6:$B$370,A28))</f>
        <v/>
      </c>
      <c r="F28" s="29" t="str">
        <f>IF(A28="","",SUMIFS('Suivi pubs'!$G$6:$G$370,'Suivi pubs'!$B$6:$B$370,A28))</f>
        <v/>
      </c>
      <c r="G28" s="25" t="str">
        <f t="shared" si="0"/>
        <v/>
      </c>
      <c r="H28" s="39" t="str">
        <f t="shared" si="1"/>
        <v/>
      </c>
      <c r="I28" s="25" t="str">
        <f t="shared" si="2"/>
        <v/>
      </c>
      <c r="J28" s="25" t="str">
        <f>IF(A28="","",IFERROR(INDEX(Catalogue!$K$6:$K$55,MATCH(B28,Catalogue!$B$6:$B$55,0)),""))</f>
        <v/>
      </c>
      <c r="K28" s="25" t="str">
        <f t="shared" si="3"/>
        <v/>
      </c>
      <c r="L28" s="28" t="str">
        <f>IF(OR(A28="",J28=""),"",IF(C28&lt;Paramètres!$B$12,"Trop tôt : laisse tourner 3 à 4 jours",IF(F28=0,IF(D28&gt;=J28,"Couper","Améliorer (aucune vente)"),IF(I28&lt;J28*Paramètres!$B$11,"Augmenter (+20 à 30 %)",IF(I28&lt;=J28,"Améliorer","Couper")))))</f>
        <v/>
      </c>
      <c r="M28" s="40" t="str">
        <f>IF(OR(A28="",C28=0),"",IF(E28=0,"Pas de messages : revois l’accroche, le visuel ou le ciblage (chapitre 7)",IF(H28&lt;Paramètres!$B$13,"Beaucoup de messages, peu de ventes : conversation, prix ou confiance (chapitre 9)","Conversion correcte : continue de tester de nouvelles versions")))</f>
        <v/>
      </c>
    </row>
    <row r="29" spans="1:13" x14ac:dyDescent="0.25">
      <c r="A29" s="18"/>
      <c r="B29" s="28" t="str">
        <f>IF(A29="","",IFERROR(INDEX('Suivi pubs'!$C$6:$C$370,MATCH(A29,'Suivi pubs'!$B$6:$B$370,0)),"Nom introuvable"))</f>
        <v/>
      </c>
      <c r="C29" s="29" t="str">
        <f>IF(A29="","",COUNTIFS('Suivi pubs'!$B$6:$B$370,A29))</f>
        <v/>
      </c>
      <c r="D29" s="25" t="str">
        <f>IF(A29="","",SUMIFS('Suivi pubs'!$E$6:$E$370,'Suivi pubs'!$B$6:$B$370,A29))</f>
        <v/>
      </c>
      <c r="E29" s="29" t="str">
        <f>IF(A29="","",SUMIFS('Suivi pubs'!$F$6:$F$370,'Suivi pubs'!$B$6:$B$370,A29))</f>
        <v/>
      </c>
      <c r="F29" s="29" t="str">
        <f>IF(A29="","",SUMIFS('Suivi pubs'!$G$6:$G$370,'Suivi pubs'!$B$6:$B$370,A29))</f>
        <v/>
      </c>
      <c r="G29" s="25" t="str">
        <f t="shared" si="0"/>
        <v/>
      </c>
      <c r="H29" s="39" t="str">
        <f t="shared" si="1"/>
        <v/>
      </c>
      <c r="I29" s="25" t="str">
        <f t="shared" si="2"/>
        <v/>
      </c>
      <c r="J29" s="25" t="str">
        <f>IF(A29="","",IFERROR(INDEX(Catalogue!$K$6:$K$55,MATCH(B29,Catalogue!$B$6:$B$55,0)),""))</f>
        <v/>
      </c>
      <c r="K29" s="25" t="str">
        <f t="shared" si="3"/>
        <v/>
      </c>
      <c r="L29" s="28" t="str">
        <f>IF(OR(A29="",J29=""),"",IF(C29&lt;Paramètres!$B$12,"Trop tôt : laisse tourner 3 à 4 jours",IF(F29=0,IF(D29&gt;=J29,"Couper","Améliorer (aucune vente)"),IF(I29&lt;J29*Paramètres!$B$11,"Augmenter (+20 à 30 %)",IF(I29&lt;=J29,"Améliorer","Couper")))))</f>
        <v/>
      </c>
      <c r="M29" s="40" t="str">
        <f>IF(OR(A29="",C29=0),"",IF(E29=0,"Pas de messages : revois l’accroche, le visuel ou le ciblage (chapitre 7)",IF(H29&lt;Paramètres!$B$13,"Beaucoup de messages, peu de ventes : conversation, prix ou confiance (chapitre 9)","Conversion correcte : continue de tester de nouvelles versions")))</f>
        <v/>
      </c>
    </row>
    <row r="30" spans="1:13" x14ac:dyDescent="0.25">
      <c r="A30" s="18"/>
      <c r="B30" s="28" t="str">
        <f>IF(A30="","",IFERROR(INDEX('Suivi pubs'!$C$6:$C$370,MATCH(A30,'Suivi pubs'!$B$6:$B$370,0)),"Nom introuvable"))</f>
        <v/>
      </c>
      <c r="C30" s="29" t="str">
        <f>IF(A30="","",COUNTIFS('Suivi pubs'!$B$6:$B$370,A30))</f>
        <v/>
      </c>
      <c r="D30" s="25" t="str">
        <f>IF(A30="","",SUMIFS('Suivi pubs'!$E$6:$E$370,'Suivi pubs'!$B$6:$B$370,A30))</f>
        <v/>
      </c>
      <c r="E30" s="29" t="str">
        <f>IF(A30="","",SUMIFS('Suivi pubs'!$F$6:$F$370,'Suivi pubs'!$B$6:$B$370,A30))</f>
        <v/>
      </c>
      <c r="F30" s="29" t="str">
        <f>IF(A30="","",SUMIFS('Suivi pubs'!$G$6:$G$370,'Suivi pubs'!$B$6:$B$370,A30))</f>
        <v/>
      </c>
      <c r="G30" s="25" t="str">
        <f t="shared" si="0"/>
        <v/>
      </c>
      <c r="H30" s="39" t="str">
        <f t="shared" si="1"/>
        <v/>
      </c>
      <c r="I30" s="25" t="str">
        <f t="shared" si="2"/>
        <v/>
      </c>
      <c r="J30" s="25" t="str">
        <f>IF(A30="","",IFERROR(INDEX(Catalogue!$K$6:$K$55,MATCH(B30,Catalogue!$B$6:$B$55,0)),""))</f>
        <v/>
      </c>
      <c r="K30" s="25" t="str">
        <f t="shared" si="3"/>
        <v/>
      </c>
      <c r="L30" s="28" t="str">
        <f>IF(OR(A30="",J30=""),"",IF(C30&lt;Paramètres!$B$12,"Trop tôt : laisse tourner 3 à 4 jours",IF(F30=0,IF(D30&gt;=J30,"Couper","Améliorer (aucune vente)"),IF(I30&lt;J30*Paramètres!$B$11,"Augmenter (+20 à 30 %)",IF(I30&lt;=J30,"Améliorer","Couper")))))</f>
        <v/>
      </c>
      <c r="M30" s="40" t="str">
        <f>IF(OR(A30="",C30=0),"",IF(E30=0,"Pas de messages : revois l’accroche, le visuel ou le ciblage (chapitre 7)",IF(H30&lt;Paramètres!$B$13,"Beaucoup de messages, peu de ventes : conversation, prix ou confiance (chapitre 9)","Conversion correcte : continue de tester de nouvelles versions")))</f>
        <v/>
      </c>
    </row>
    <row r="31" spans="1:13" x14ac:dyDescent="0.25">
      <c r="A31" s="18"/>
      <c r="B31" s="28" t="str">
        <f>IF(A31="","",IFERROR(INDEX('Suivi pubs'!$C$6:$C$370,MATCH(A31,'Suivi pubs'!$B$6:$B$370,0)),"Nom introuvable"))</f>
        <v/>
      </c>
      <c r="C31" s="29" t="str">
        <f>IF(A31="","",COUNTIFS('Suivi pubs'!$B$6:$B$370,A31))</f>
        <v/>
      </c>
      <c r="D31" s="25" t="str">
        <f>IF(A31="","",SUMIFS('Suivi pubs'!$E$6:$E$370,'Suivi pubs'!$B$6:$B$370,A31))</f>
        <v/>
      </c>
      <c r="E31" s="29" t="str">
        <f>IF(A31="","",SUMIFS('Suivi pubs'!$F$6:$F$370,'Suivi pubs'!$B$6:$B$370,A31))</f>
        <v/>
      </c>
      <c r="F31" s="29" t="str">
        <f>IF(A31="","",SUMIFS('Suivi pubs'!$G$6:$G$370,'Suivi pubs'!$B$6:$B$370,A31))</f>
        <v/>
      </c>
      <c r="G31" s="25" t="str">
        <f t="shared" si="0"/>
        <v/>
      </c>
      <c r="H31" s="39" t="str">
        <f t="shared" si="1"/>
        <v/>
      </c>
      <c r="I31" s="25" t="str">
        <f t="shared" si="2"/>
        <v/>
      </c>
      <c r="J31" s="25" t="str">
        <f>IF(A31="","",IFERROR(INDEX(Catalogue!$K$6:$K$55,MATCH(B31,Catalogue!$B$6:$B$55,0)),""))</f>
        <v/>
      </c>
      <c r="K31" s="25" t="str">
        <f t="shared" si="3"/>
        <v/>
      </c>
      <c r="L31" s="28" t="str">
        <f>IF(OR(A31="",J31=""),"",IF(C31&lt;Paramètres!$B$12,"Trop tôt : laisse tourner 3 à 4 jours",IF(F31=0,IF(D31&gt;=J31,"Couper","Améliorer (aucune vente)"),IF(I31&lt;J31*Paramètres!$B$11,"Augmenter (+20 à 30 %)",IF(I31&lt;=J31,"Améliorer","Couper")))))</f>
        <v/>
      </c>
      <c r="M31" s="40" t="str">
        <f>IF(OR(A31="",C31=0),"",IF(E31=0,"Pas de messages : revois l’accroche, le visuel ou le ciblage (chapitre 7)",IF(H31&lt;Paramètres!$B$13,"Beaucoup de messages, peu de ventes : conversation, prix ou confiance (chapitre 9)","Conversion correcte : continue de tester de nouvelles versions")))</f>
        <v/>
      </c>
    </row>
    <row r="32" spans="1:13" x14ac:dyDescent="0.25">
      <c r="A32" s="18"/>
      <c r="B32" s="28" t="str">
        <f>IF(A32="","",IFERROR(INDEX('Suivi pubs'!$C$6:$C$370,MATCH(A32,'Suivi pubs'!$B$6:$B$370,0)),"Nom introuvable"))</f>
        <v/>
      </c>
      <c r="C32" s="29" t="str">
        <f>IF(A32="","",COUNTIFS('Suivi pubs'!$B$6:$B$370,A32))</f>
        <v/>
      </c>
      <c r="D32" s="25" t="str">
        <f>IF(A32="","",SUMIFS('Suivi pubs'!$E$6:$E$370,'Suivi pubs'!$B$6:$B$370,A32))</f>
        <v/>
      </c>
      <c r="E32" s="29" t="str">
        <f>IF(A32="","",SUMIFS('Suivi pubs'!$F$6:$F$370,'Suivi pubs'!$B$6:$B$370,A32))</f>
        <v/>
      </c>
      <c r="F32" s="29" t="str">
        <f>IF(A32="","",SUMIFS('Suivi pubs'!$G$6:$G$370,'Suivi pubs'!$B$6:$B$370,A32))</f>
        <v/>
      </c>
      <c r="G32" s="25" t="str">
        <f t="shared" si="0"/>
        <v/>
      </c>
      <c r="H32" s="39" t="str">
        <f t="shared" si="1"/>
        <v/>
      </c>
      <c r="I32" s="25" t="str">
        <f t="shared" si="2"/>
        <v/>
      </c>
      <c r="J32" s="25" t="str">
        <f>IF(A32="","",IFERROR(INDEX(Catalogue!$K$6:$K$55,MATCH(B32,Catalogue!$B$6:$B$55,0)),""))</f>
        <v/>
      </c>
      <c r="K32" s="25" t="str">
        <f t="shared" si="3"/>
        <v/>
      </c>
      <c r="L32" s="28" t="str">
        <f>IF(OR(A32="",J32=""),"",IF(C32&lt;Paramètres!$B$12,"Trop tôt : laisse tourner 3 à 4 jours",IF(F32=0,IF(D32&gt;=J32,"Couper","Améliorer (aucune vente)"),IF(I32&lt;J32*Paramètres!$B$11,"Augmenter (+20 à 30 %)",IF(I32&lt;=J32,"Améliorer","Couper")))))</f>
        <v/>
      </c>
      <c r="M32" s="40" t="str">
        <f>IF(OR(A32="",C32=0),"",IF(E32=0,"Pas de messages : revois l’accroche, le visuel ou le ciblage (chapitre 7)",IF(H32&lt;Paramètres!$B$13,"Beaucoup de messages, peu de ventes : conversation, prix ou confiance (chapitre 9)","Conversion correcte : continue de tester de nouvelles versions")))</f>
        <v/>
      </c>
    </row>
    <row r="33" spans="1:13" x14ac:dyDescent="0.25">
      <c r="A33" s="18"/>
      <c r="B33" s="28" t="str">
        <f>IF(A33="","",IFERROR(INDEX('Suivi pubs'!$C$6:$C$370,MATCH(A33,'Suivi pubs'!$B$6:$B$370,0)),"Nom introuvable"))</f>
        <v/>
      </c>
      <c r="C33" s="29" t="str">
        <f>IF(A33="","",COUNTIFS('Suivi pubs'!$B$6:$B$370,A33))</f>
        <v/>
      </c>
      <c r="D33" s="25" t="str">
        <f>IF(A33="","",SUMIFS('Suivi pubs'!$E$6:$E$370,'Suivi pubs'!$B$6:$B$370,A33))</f>
        <v/>
      </c>
      <c r="E33" s="29" t="str">
        <f>IF(A33="","",SUMIFS('Suivi pubs'!$F$6:$F$370,'Suivi pubs'!$B$6:$B$370,A33))</f>
        <v/>
      </c>
      <c r="F33" s="29" t="str">
        <f>IF(A33="","",SUMIFS('Suivi pubs'!$G$6:$G$370,'Suivi pubs'!$B$6:$B$370,A33))</f>
        <v/>
      </c>
      <c r="G33" s="25" t="str">
        <f t="shared" si="0"/>
        <v/>
      </c>
      <c r="H33" s="39" t="str">
        <f t="shared" si="1"/>
        <v/>
      </c>
      <c r="I33" s="25" t="str">
        <f t="shared" si="2"/>
        <v/>
      </c>
      <c r="J33" s="25" t="str">
        <f>IF(A33="","",IFERROR(INDEX(Catalogue!$K$6:$K$55,MATCH(B33,Catalogue!$B$6:$B$55,0)),""))</f>
        <v/>
      </c>
      <c r="K33" s="25" t="str">
        <f t="shared" si="3"/>
        <v/>
      </c>
      <c r="L33" s="28" t="str">
        <f>IF(OR(A33="",J33=""),"",IF(C33&lt;Paramètres!$B$12,"Trop tôt : laisse tourner 3 à 4 jours",IF(F33=0,IF(D33&gt;=J33,"Couper","Améliorer (aucune vente)"),IF(I33&lt;J33*Paramètres!$B$11,"Augmenter (+20 à 30 %)",IF(I33&lt;=J33,"Améliorer","Couper")))))</f>
        <v/>
      </c>
      <c r="M33" s="40" t="str">
        <f>IF(OR(A33="",C33=0),"",IF(E33=0,"Pas de messages : revois l’accroche, le visuel ou le ciblage (chapitre 7)",IF(H33&lt;Paramètres!$B$13,"Beaucoup de messages, peu de ventes : conversation, prix ou confiance (chapitre 9)","Conversion correcte : continue de tester de nouvelles versions")))</f>
        <v/>
      </c>
    </row>
    <row r="34" spans="1:13" x14ac:dyDescent="0.25">
      <c r="A34" s="18"/>
      <c r="B34" s="28" t="str">
        <f>IF(A34="","",IFERROR(INDEX('Suivi pubs'!$C$6:$C$370,MATCH(A34,'Suivi pubs'!$B$6:$B$370,0)),"Nom introuvable"))</f>
        <v/>
      </c>
      <c r="C34" s="29" t="str">
        <f>IF(A34="","",COUNTIFS('Suivi pubs'!$B$6:$B$370,A34))</f>
        <v/>
      </c>
      <c r="D34" s="25" t="str">
        <f>IF(A34="","",SUMIFS('Suivi pubs'!$E$6:$E$370,'Suivi pubs'!$B$6:$B$370,A34))</f>
        <v/>
      </c>
      <c r="E34" s="29" t="str">
        <f>IF(A34="","",SUMIFS('Suivi pubs'!$F$6:$F$370,'Suivi pubs'!$B$6:$B$370,A34))</f>
        <v/>
      </c>
      <c r="F34" s="29" t="str">
        <f>IF(A34="","",SUMIFS('Suivi pubs'!$G$6:$G$370,'Suivi pubs'!$B$6:$B$370,A34))</f>
        <v/>
      </c>
      <c r="G34" s="25" t="str">
        <f t="shared" si="0"/>
        <v/>
      </c>
      <c r="H34" s="39" t="str">
        <f t="shared" si="1"/>
        <v/>
      </c>
      <c r="I34" s="25" t="str">
        <f t="shared" si="2"/>
        <v/>
      </c>
      <c r="J34" s="25" t="str">
        <f>IF(A34="","",IFERROR(INDEX(Catalogue!$K$6:$K$55,MATCH(B34,Catalogue!$B$6:$B$55,0)),""))</f>
        <v/>
      </c>
      <c r="K34" s="25" t="str">
        <f t="shared" si="3"/>
        <v/>
      </c>
      <c r="L34" s="28" t="str">
        <f>IF(OR(A34="",J34=""),"",IF(C34&lt;Paramètres!$B$12,"Trop tôt : laisse tourner 3 à 4 jours",IF(F34=0,IF(D34&gt;=J34,"Couper","Améliorer (aucune vente)"),IF(I34&lt;J34*Paramètres!$B$11,"Augmenter (+20 à 30 %)",IF(I34&lt;=J34,"Améliorer","Couper")))))</f>
        <v/>
      </c>
      <c r="M34" s="40" t="str">
        <f>IF(OR(A34="",C34=0),"",IF(E34=0,"Pas de messages : revois l’accroche, le visuel ou le ciblage (chapitre 7)",IF(H34&lt;Paramètres!$B$13,"Beaucoup de messages, peu de ventes : conversation, prix ou confiance (chapitre 9)","Conversion correcte : continue de tester de nouvelles versions")))</f>
        <v/>
      </c>
    </row>
    <row r="35" spans="1:13" x14ac:dyDescent="0.25">
      <c r="A35" s="18"/>
      <c r="B35" s="28" t="str">
        <f>IF(A35="","",IFERROR(INDEX('Suivi pubs'!$C$6:$C$370,MATCH(A35,'Suivi pubs'!$B$6:$B$370,0)),"Nom introuvable"))</f>
        <v/>
      </c>
      <c r="C35" s="29" t="str">
        <f>IF(A35="","",COUNTIFS('Suivi pubs'!$B$6:$B$370,A35))</f>
        <v/>
      </c>
      <c r="D35" s="25" t="str">
        <f>IF(A35="","",SUMIFS('Suivi pubs'!$E$6:$E$370,'Suivi pubs'!$B$6:$B$370,A35))</f>
        <v/>
      </c>
      <c r="E35" s="29" t="str">
        <f>IF(A35="","",SUMIFS('Suivi pubs'!$F$6:$F$370,'Suivi pubs'!$B$6:$B$370,A35))</f>
        <v/>
      </c>
      <c r="F35" s="29" t="str">
        <f>IF(A35="","",SUMIFS('Suivi pubs'!$G$6:$G$370,'Suivi pubs'!$B$6:$B$370,A35))</f>
        <v/>
      </c>
      <c r="G35" s="25" t="str">
        <f t="shared" si="0"/>
        <v/>
      </c>
      <c r="H35" s="39" t="str">
        <f t="shared" si="1"/>
        <v/>
      </c>
      <c r="I35" s="25" t="str">
        <f t="shared" si="2"/>
        <v/>
      </c>
      <c r="J35" s="25" t="str">
        <f>IF(A35="","",IFERROR(INDEX(Catalogue!$K$6:$K$55,MATCH(B35,Catalogue!$B$6:$B$55,0)),""))</f>
        <v/>
      </c>
      <c r="K35" s="25" t="str">
        <f t="shared" si="3"/>
        <v/>
      </c>
      <c r="L35" s="28" t="str">
        <f>IF(OR(A35="",J35=""),"",IF(C35&lt;Paramètres!$B$12,"Trop tôt : laisse tourner 3 à 4 jours",IF(F35=0,IF(D35&gt;=J35,"Couper","Améliorer (aucune vente)"),IF(I35&lt;J35*Paramètres!$B$11,"Augmenter (+20 à 30 %)",IF(I35&lt;=J35,"Améliorer","Couper")))))</f>
        <v/>
      </c>
      <c r="M35" s="40" t="str">
        <f>IF(OR(A35="",C35=0),"",IF(E35=0,"Pas de messages : revois l’accroche, le visuel ou le ciblage (chapitre 7)",IF(H35&lt;Paramètres!$B$13,"Beaucoup de messages, peu de ventes : conversation, prix ou confiance (chapitre 9)","Conversion correcte : continue de tester de nouvelles versions")))</f>
        <v/>
      </c>
    </row>
    <row r="37" spans="1:13" x14ac:dyDescent="0.25">
      <c r="A37" s="32" t="s">
        <v>197</v>
      </c>
    </row>
  </sheetData>
  <conditionalFormatting sqref="L6:L35">
    <cfRule type="expression" dxfId="29" priority="2">
      <formula>ISNUMBER(SEARCH("Augmenter",L6))</formula>
    </cfRule>
    <cfRule type="expression" dxfId="28" priority="3">
      <formula>ISNUMBER(SEARCH("Améliorer",L6))</formula>
    </cfRule>
    <cfRule type="expression" dxfId="27" priority="4">
      <formula>ISNUMBER(SEARCH("Couper",L6))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2F6DB5"/>
  </sheetPr>
  <dimension ref="A1:W505"/>
  <sheetViews>
    <sheetView showGridLines="0" zoomScaleNormal="100" workbookViewId="0">
      <pane xSplit="3" ySplit="5" topLeftCell="D6" activePane="bottomRight" state="frozen"/>
      <selection pane="topRight" activeCell="D1" sqref="D1"/>
      <selection pane="bottomLeft" activeCell="A6" sqref="A6"/>
      <selection pane="bottomRight"/>
    </sheetView>
  </sheetViews>
  <sheetFormatPr baseColWidth="10" defaultColWidth="8.7109375" defaultRowHeight="15" x14ac:dyDescent="0.25"/>
  <cols>
    <col min="1" max="1" width="6" customWidth="1"/>
    <col min="2" max="2" width="11" customWidth="1"/>
    <col min="3" max="3" width="18" customWidth="1"/>
    <col min="4" max="4" width="14" customWidth="1"/>
    <col min="5" max="5" width="18" customWidth="1"/>
    <col min="6" max="6" width="22" customWidth="1"/>
    <col min="7" max="7" width="6" customWidth="1"/>
    <col min="8" max="8" width="10" customWidth="1"/>
    <col min="9" max="9" width="11" customWidth="1"/>
    <col min="10" max="10" width="9" customWidth="1"/>
    <col min="11" max="11" width="12" customWidth="1"/>
    <col min="12" max="12" width="16" customWidth="1"/>
    <col min="13" max="13" width="15" customWidth="1"/>
    <col min="14" max="14" width="17" customWidth="1"/>
    <col min="15" max="16" width="11" customWidth="1"/>
    <col min="17" max="18" width="12" customWidth="1"/>
    <col min="19" max="19" width="8" customWidth="1"/>
    <col min="20" max="21" width="10" customWidth="1"/>
  </cols>
  <sheetData>
    <row r="1" spans="1:23" ht="20.25" x14ac:dyDescent="0.3">
      <c r="A1" s="13" t="s">
        <v>198</v>
      </c>
    </row>
    <row r="2" spans="1:23" x14ac:dyDescent="0.25">
      <c r="A2" s="3" t="s">
        <v>199</v>
      </c>
    </row>
    <row r="3" spans="1:23" x14ac:dyDescent="0.25">
      <c r="A3" s="4" t="s">
        <v>2</v>
      </c>
    </row>
    <row r="5" spans="1:23" ht="43.5" customHeight="1" x14ac:dyDescent="0.25">
      <c r="A5" s="14" t="s">
        <v>200</v>
      </c>
      <c r="B5" s="14" t="s">
        <v>177</v>
      </c>
      <c r="C5" s="14" t="s">
        <v>201</v>
      </c>
      <c r="D5" s="14" t="s">
        <v>202</v>
      </c>
      <c r="E5" s="14" t="s">
        <v>203</v>
      </c>
      <c r="F5" s="14" t="s">
        <v>179</v>
      </c>
      <c r="G5" s="14" t="s">
        <v>204</v>
      </c>
      <c r="H5" s="14" t="s">
        <v>205</v>
      </c>
      <c r="I5" s="14" t="s">
        <v>206</v>
      </c>
      <c r="J5" s="14" t="s">
        <v>207</v>
      </c>
      <c r="K5" s="14" t="s">
        <v>208</v>
      </c>
      <c r="L5" s="14" t="s">
        <v>209</v>
      </c>
      <c r="M5" s="14" t="s">
        <v>210</v>
      </c>
      <c r="N5" s="14" t="s">
        <v>211</v>
      </c>
      <c r="O5" s="14" t="s">
        <v>212</v>
      </c>
      <c r="P5" s="14" t="s">
        <v>213</v>
      </c>
      <c r="Q5" s="14" t="s">
        <v>214</v>
      </c>
      <c r="R5" s="14" t="s">
        <v>215</v>
      </c>
      <c r="S5" s="14" t="s">
        <v>216</v>
      </c>
      <c r="T5" s="14" t="s">
        <v>185</v>
      </c>
      <c r="U5" s="14" t="s">
        <v>217</v>
      </c>
      <c r="W5" s="21" t="s">
        <v>218</v>
      </c>
    </row>
    <row r="6" spans="1:23" x14ac:dyDescent="0.25">
      <c r="A6" s="41">
        <f t="shared" ref="A6:A69" si="0">IF(B6="","",ROW()-5)</f>
        <v>1</v>
      </c>
      <c r="B6" s="38">
        <v>46270</v>
      </c>
      <c r="C6" s="18" t="s">
        <v>219</v>
      </c>
      <c r="D6" s="18" t="s">
        <v>220</v>
      </c>
      <c r="E6" s="18" t="s">
        <v>58</v>
      </c>
      <c r="F6" s="18" t="s">
        <v>124</v>
      </c>
      <c r="G6" s="20">
        <v>1</v>
      </c>
      <c r="H6" s="19"/>
      <c r="I6" s="25">
        <f>IF(F6="","",IF(H6="",IFERROR(INDEX(Catalogue!$I$6:$I$55,MATCH(F6,Catalogue!$B$6:$B$55,0)),0),H6))</f>
        <v>10000</v>
      </c>
      <c r="J6" s="19"/>
      <c r="K6" s="25">
        <f t="shared" ref="K6:K69" si="1">IF(F6="","",N(G6)*I6-N(J6))</f>
        <v>10000</v>
      </c>
      <c r="L6" s="18" t="s">
        <v>55</v>
      </c>
      <c r="M6" s="18" t="s">
        <v>63</v>
      </c>
      <c r="N6" s="18" t="s">
        <v>64</v>
      </c>
      <c r="O6" s="19"/>
      <c r="P6" s="25">
        <f>IF(F6="","",IF(O6="",IFERROR(INDEX(Catalogue!$G$6:$G$55,MATCH(F6,Catalogue!$B$6:$B$55,0)),0),O6))</f>
        <v>1500</v>
      </c>
      <c r="Q6" s="25">
        <f>IF(F6="","",N(G6)*(IFERROR(INDEX(Catalogue!$E$6:$E$55,MATCH(F6,Catalogue!$B$6:$B$55,0)),0)+IFERROR(INDEX(Catalogue!$F$6:$F$55,MATCH(F6,Catalogue!$B$6:$B$55,0)),0)+IFERROR(INDEX(Catalogue!$H$6:$H$55,MATCH(F6,Catalogue!$B$6:$B$55,0)),0)))</f>
        <v>4300</v>
      </c>
      <c r="R6" s="25">
        <f t="shared" ref="R6:R69" si="2">IF(F6="","",IF(M6="Livrée et payée",K6-Q6-P6,IF(M6="Annulée",-N(P6),0)))</f>
        <v>4200</v>
      </c>
      <c r="S6" s="18" t="s">
        <v>221</v>
      </c>
      <c r="T6" s="24">
        <f t="shared" ref="T6:T69" si="3">IF(B6="","",DATE(YEAR(B6),MONTH(B6),1))</f>
        <v>46266</v>
      </c>
      <c r="U6" s="28" t="str">
        <f>IF(D6="","",IF(COUNTIF(D$6:D6,D6)=1,"Nouveau","Fidèle"))</f>
        <v>Nouveau</v>
      </c>
    </row>
    <row r="7" spans="1:23" x14ac:dyDescent="0.25">
      <c r="A7" s="41">
        <f t="shared" si="0"/>
        <v>2</v>
      </c>
      <c r="B7" s="38">
        <v>46273</v>
      </c>
      <c r="C7" s="18" t="s">
        <v>222</v>
      </c>
      <c r="D7" s="18" t="s">
        <v>223</v>
      </c>
      <c r="E7" s="18" t="s">
        <v>72</v>
      </c>
      <c r="F7" s="18" t="s">
        <v>127</v>
      </c>
      <c r="G7" s="20">
        <v>2</v>
      </c>
      <c r="H7" s="19"/>
      <c r="I7" s="25">
        <f>IF(F7="","",IF(H7="",IFERROR(INDEX(Catalogue!$I$6:$I$55,MATCH(F7,Catalogue!$B$6:$B$55,0)),0),H7))</f>
        <v>3500</v>
      </c>
      <c r="J7" s="19"/>
      <c r="K7" s="25">
        <f t="shared" si="1"/>
        <v>7000</v>
      </c>
      <c r="L7" s="18" t="s">
        <v>62</v>
      </c>
      <c r="M7" s="18" t="s">
        <v>63</v>
      </c>
      <c r="N7" s="18" t="s">
        <v>71</v>
      </c>
      <c r="O7" s="19"/>
      <c r="P7" s="25">
        <f>IF(F7="","",IF(O7="",IFERROR(INDEX(Catalogue!$G$6:$G$55,MATCH(F7,Catalogue!$B$6:$B$55,0)),0),O7))</f>
        <v>0</v>
      </c>
      <c r="Q7" s="25">
        <f>IF(F7="","",N(G7)*(IFERROR(INDEX(Catalogue!$E$6:$E$55,MATCH(F7,Catalogue!$B$6:$B$55,0)),0)+IFERROR(INDEX(Catalogue!$F$6:$F$55,MATCH(F7,Catalogue!$B$6:$B$55,0)),0)+IFERROR(INDEX(Catalogue!$H$6:$H$55,MATCH(F7,Catalogue!$B$6:$B$55,0)),0)))</f>
        <v>2700</v>
      </c>
      <c r="R7" s="25">
        <f t="shared" si="2"/>
        <v>4300</v>
      </c>
      <c r="S7" s="18" t="s">
        <v>221</v>
      </c>
      <c r="T7" s="24">
        <f t="shared" si="3"/>
        <v>46266</v>
      </c>
      <c r="U7" s="28" t="str">
        <f>IF(D7="","",IF(COUNTIF(D$6:D7,D7)=1,"Nouveau","Fidèle"))</f>
        <v>Nouveau</v>
      </c>
    </row>
    <row r="8" spans="1:23" x14ac:dyDescent="0.25">
      <c r="A8" s="41">
        <f t="shared" si="0"/>
        <v>3</v>
      </c>
      <c r="B8" s="38">
        <v>46277</v>
      </c>
      <c r="C8" s="18" t="s">
        <v>224</v>
      </c>
      <c r="D8" s="18" t="s">
        <v>225</v>
      </c>
      <c r="E8" s="18" t="s">
        <v>78</v>
      </c>
      <c r="F8" s="18" t="s">
        <v>124</v>
      </c>
      <c r="G8" s="20">
        <v>1</v>
      </c>
      <c r="H8" s="19"/>
      <c r="I8" s="25">
        <f>IF(F8="","",IF(H8="",IFERROR(INDEX(Catalogue!$I$6:$I$55,MATCH(F8,Catalogue!$B$6:$B$55,0)),0),H8))</f>
        <v>10000</v>
      </c>
      <c r="J8" s="19"/>
      <c r="K8" s="25">
        <f t="shared" si="1"/>
        <v>10000</v>
      </c>
      <c r="L8" s="18" t="s">
        <v>75</v>
      </c>
      <c r="M8" s="18" t="s">
        <v>63</v>
      </c>
      <c r="N8" s="18" t="s">
        <v>77</v>
      </c>
      <c r="O8" s="19"/>
      <c r="P8" s="25">
        <f>IF(F8="","",IF(O8="",IFERROR(INDEX(Catalogue!$G$6:$G$55,MATCH(F8,Catalogue!$B$6:$B$55,0)),0),O8))</f>
        <v>1500</v>
      </c>
      <c r="Q8" s="25">
        <f>IF(F8="","",N(G8)*(IFERROR(INDEX(Catalogue!$E$6:$E$55,MATCH(F8,Catalogue!$B$6:$B$55,0)),0)+IFERROR(INDEX(Catalogue!$F$6:$F$55,MATCH(F8,Catalogue!$B$6:$B$55,0)),0)+IFERROR(INDEX(Catalogue!$H$6:$H$55,MATCH(F8,Catalogue!$B$6:$B$55,0)),0)))</f>
        <v>4300</v>
      </c>
      <c r="R8" s="25">
        <f t="shared" si="2"/>
        <v>4200</v>
      </c>
      <c r="S8" s="18" t="s">
        <v>226</v>
      </c>
      <c r="T8" s="24">
        <f t="shared" si="3"/>
        <v>46266</v>
      </c>
      <c r="U8" s="28" t="str">
        <f>IF(D8="","",IF(COUNTIF(D$6:D8,D8)=1,"Nouveau","Fidèle"))</f>
        <v>Nouveau</v>
      </c>
    </row>
    <row r="9" spans="1:23" x14ac:dyDescent="0.25">
      <c r="A9" s="41">
        <f t="shared" si="0"/>
        <v>4</v>
      </c>
      <c r="B9" s="38">
        <v>46283</v>
      </c>
      <c r="C9" s="18" t="s">
        <v>227</v>
      </c>
      <c r="D9" s="18" t="s">
        <v>228</v>
      </c>
      <c r="E9" s="18" t="s">
        <v>65</v>
      </c>
      <c r="F9" s="18" t="s">
        <v>130</v>
      </c>
      <c r="G9" s="20">
        <v>1</v>
      </c>
      <c r="H9" s="19"/>
      <c r="I9" s="25">
        <f>IF(F9="","",IF(H9="",IFERROR(INDEX(Catalogue!$I$6:$I$55,MATCH(F9,Catalogue!$B$6:$B$55,0)),0),H9))</f>
        <v>27000</v>
      </c>
      <c r="J9" s="19">
        <v>1000</v>
      </c>
      <c r="K9" s="25">
        <f t="shared" si="1"/>
        <v>26000</v>
      </c>
      <c r="L9" s="18" t="s">
        <v>81</v>
      </c>
      <c r="M9" s="18" t="s">
        <v>63</v>
      </c>
      <c r="N9" s="18" t="s">
        <v>87</v>
      </c>
      <c r="O9" s="19"/>
      <c r="P9" s="25">
        <f>IF(F9="","",IF(O9="",IFERROR(INDEX(Catalogue!$G$6:$G$55,MATCH(F9,Catalogue!$B$6:$B$55,0)),0),O9))</f>
        <v>1500</v>
      </c>
      <c r="Q9" s="25">
        <f>IF(F9="","",N(G9)*(IFERROR(INDEX(Catalogue!$E$6:$E$55,MATCH(F9,Catalogue!$B$6:$B$55,0)),0)+IFERROR(INDEX(Catalogue!$F$6:$F$55,MATCH(F9,Catalogue!$B$6:$B$55,0)),0)+IFERROR(INDEX(Catalogue!$H$6:$H$55,MATCH(F9,Catalogue!$B$6:$B$55,0)),0)))</f>
        <v>12400</v>
      </c>
      <c r="R9" s="25">
        <f t="shared" si="2"/>
        <v>12100</v>
      </c>
      <c r="S9" s="18" t="s">
        <v>221</v>
      </c>
      <c r="T9" s="24">
        <f t="shared" si="3"/>
        <v>46266</v>
      </c>
      <c r="U9" s="28" t="str">
        <f>IF(D9="","",IF(COUNTIF(D$6:D9,D9)=1,"Nouveau","Fidèle"))</f>
        <v>Nouveau</v>
      </c>
    </row>
    <row r="10" spans="1:23" x14ac:dyDescent="0.25">
      <c r="A10" s="41">
        <f t="shared" si="0"/>
        <v>5</v>
      </c>
      <c r="B10" s="38">
        <v>46286</v>
      </c>
      <c r="C10" s="18" t="s">
        <v>229</v>
      </c>
      <c r="D10" s="18" t="s">
        <v>230</v>
      </c>
      <c r="E10" s="18" t="s">
        <v>83</v>
      </c>
      <c r="F10" s="18" t="s">
        <v>127</v>
      </c>
      <c r="G10" s="20">
        <v>1</v>
      </c>
      <c r="H10" s="19"/>
      <c r="I10" s="25">
        <f>IF(F10="","",IF(H10="",IFERROR(INDEX(Catalogue!$I$6:$I$55,MATCH(F10,Catalogue!$B$6:$B$55,0)),0),H10))</f>
        <v>3500</v>
      </c>
      <c r="J10" s="19"/>
      <c r="K10" s="25">
        <f t="shared" si="1"/>
        <v>3500</v>
      </c>
      <c r="L10" s="18" t="s">
        <v>55</v>
      </c>
      <c r="M10" s="18" t="s">
        <v>63</v>
      </c>
      <c r="N10" s="18" t="s">
        <v>57</v>
      </c>
      <c r="O10" s="19"/>
      <c r="P10" s="25">
        <f>IF(F10="","",IF(O10="",IFERROR(INDEX(Catalogue!$G$6:$G$55,MATCH(F10,Catalogue!$B$6:$B$55,0)),0),O10))</f>
        <v>0</v>
      </c>
      <c r="Q10" s="25">
        <f>IF(F10="","",N(G10)*(IFERROR(INDEX(Catalogue!$E$6:$E$55,MATCH(F10,Catalogue!$B$6:$B$55,0)),0)+IFERROR(INDEX(Catalogue!$F$6:$F$55,MATCH(F10,Catalogue!$B$6:$B$55,0)),0)+IFERROR(INDEX(Catalogue!$H$6:$H$55,MATCH(F10,Catalogue!$B$6:$B$55,0)),0)))</f>
        <v>1350</v>
      </c>
      <c r="R10" s="25">
        <f t="shared" si="2"/>
        <v>2150</v>
      </c>
      <c r="S10" s="18" t="s">
        <v>226</v>
      </c>
      <c r="T10" s="24">
        <f t="shared" si="3"/>
        <v>46266</v>
      </c>
      <c r="U10" s="28" t="str">
        <f>IF(D10="","",IF(COUNTIF(D$6:D10,D10)=1,"Nouveau","Fidèle"))</f>
        <v>Nouveau</v>
      </c>
    </row>
    <row r="11" spans="1:23" x14ac:dyDescent="0.25">
      <c r="A11" s="41">
        <f t="shared" si="0"/>
        <v>6</v>
      </c>
      <c r="B11" s="38">
        <v>46288</v>
      </c>
      <c r="C11" s="18" t="s">
        <v>231</v>
      </c>
      <c r="D11" s="18" t="s">
        <v>232</v>
      </c>
      <c r="E11" s="18" t="s">
        <v>58</v>
      </c>
      <c r="F11" s="18" t="s">
        <v>124</v>
      </c>
      <c r="G11" s="20">
        <v>1</v>
      </c>
      <c r="H11" s="19"/>
      <c r="I11" s="25">
        <f>IF(F11="","",IF(H11="",IFERROR(INDEX(Catalogue!$I$6:$I$55,MATCH(F11,Catalogue!$B$6:$B$55,0)),0),H11))</f>
        <v>10000</v>
      </c>
      <c r="J11" s="19"/>
      <c r="K11" s="25">
        <f t="shared" si="1"/>
        <v>10000</v>
      </c>
      <c r="L11" s="18" t="s">
        <v>75</v>
      </c>
      <c r="M11" s="18" t="s">
        <v>70</v>
      </c>
      <c r="N11" s="18" t="s">
        <v>57</v>
      </c>
      <c r="O11" s="19"/>
      <c r="P11" s="25">
        <f>IF(F11="","",IF(O11="",IFERROR(INDEX(Catalogue!$G$6:$G$55,MATCH(F11,Catalogue!$B$6:$B$55,0)),0),O11))</f>
        <v>1500</v>
      </c>
      <c r="Q11" s="25">
        <f>IF(F11="","",N(G11)*(IFERROR(INDEX(Catalogue!$E$6:$E$55,MATCH(F11,Catalogue!$B$6:$B$55,0)),0)+IFERROR(INDEX(Catalogue!$F$6:$F$55,MATCH(F11,Catalogue!$B$6:$B$55,0)),0)+IFERROR(INDEX(Catalogue!$H$6:$H$55,MATCH(F11,Catalogue!$B$6:$B$55,0)),0)))</f>
        <v>4300</v>
      </c>
      <c r="R11" s="25">
        <f t="shared" si="2"/>
        <v>-1500</v>
      </c>
      <c r="S11" s="18" t="s">
        <v>226</v>
      </c>
      <c r="T11" s="24">
        <f t="shared" si="3"/>
        <v>46266</v>
      </c>
      <c r="U11" s="28" t="str">
        <f>IF(D11="","",IF(COUNTIF(D$6:D11,D11)=1,"Nouveau","Fidèle"))</f>
        <v>Nouveau</v>
      </c>
    </row>
    <row r="12" spans="1:23" x14ac:dyDescent="0.25">
      <c r="A12" s="41">
        <f t="shared" si="0"/>
        <v>7</v>
      </c>
      <c r="B12" s="38">
        <v>46291</v>
      </c>
      <c r="C12" s="18" t="s">
        <v>219</v>
      </c>
      <c r="D12" s="18" t="s">
        <v>220</v>
      </c>
      <c r="E12" s="18" t="s">
        <v>58</v>
      </c>
      <c r="F12" s="18" t="s">
        <v>132</v>
      </c>
      <c r="G12" s="20">
        <v>1</v>
      </c>
      <c r="H12" s="19"/>
      <c r="I12" s="25">
        <f>IF(F12="","",IF(H12="",IFERROR(INDEX(Catalogue!$I$6:$I$55,MATCH(F12,Catalogue!$B$6:$B$55,0)),0),H12))</f>
        <v>7500</v>
      </c>
      <c r="J12" s="19"/>
      <c r="K12" s="25">
        <f t="shared" si="1"/>
        <v>7500</v>
      </c>
      <c r="L12" s="18" t="s">
        <v>55</v>
      </c>
      <c r="M12" s="18" t="s">
        <v>63</v>
      </c>
      <c r="N12" s="18" t="s">
        <v>91</v>
      </c>
      <c r="O12" s="19"/>
      <c r="P12" s="25">
        <f>IF(F12="","",IF(O12="",IFERROR(INDEX(Catalogue!$G$6:$G$55,MATCH(F12,Catalogue!$B$6:$B$55,0)),0),O12))</f>
        <v>0</v>
      </c>
      <c r="Q12" s="25">
        <f>IF(F12="","",N(G12)*(IFERROR(INDEX(Catalogue!$E$6:$E$55,MATCH(F12,Catalogue!$B$6:$B$55,0)),0)+IFERROR(INDEX(Catalogue!$F$6:$F$55,MATCH(F12,Catalogue!$B$6:$B$55,0)),0)+IFERROR(INDEX(Catalogue!$H$6:$H$55,MATCH(F12,Catalogue!$B$6:$B$55,0)),0)))</f>
        <v>2000</v>
      </c>
      <c r="R12" s="25">
        <f t="shared" si="2"/>
        <v>5500</v>
      </c>
      <c r="S12" s="18" t="s">
        <v>221</v>
      </c>
      <c r="T12" s="24">
        <f t="shared" si="3"/>
        <v>46266</v>
      </c>
      <c r="U12" s="28" t="str">
        <f>IF(D12="","",IF(COUNTIF(D$6:D12,D12)=1,"Nouveau","Fidèle"))</f>
        <v>Fidèle</v>
      </c>
    </row>
    <row r="13" spans="1:23" x14ac:dyDescent="0.25">
      <c r="A13" s="41">
        <f t="shared" si="0"/>
        <v>8</v>
      </c>
      <c r="B13" s="38">
        <v>46297</v>
      </c>
      <c r="C13" s="18" t="s">
        <v>222</v>
      </c>
      <c r="D13" s="18" t="s">
        <v>223</v>
      </c>
      <c r="E13" s="18" t="s">
        <v>72</v>
      </c>
      <c r="F13" s="18" t="s">
        <v>124</v>
      </c>
      <c r="G13" s="20">
        <v>2</v>
      </c>
      <c r="H13" s="19"/>
      <c r="I13" s="25">
        <f>IF(F13="","",IF(H13="",IFERROR(INDEX(Catalogue!$I$6:$I$55,MATCH(F13,Catalogue!$B$6:$B$55,0)),0),H13))</f>
        <v>10000</v>
      </c>
      <c r="J13" s="19"/>
      <c r="K13" s="25">
        <f t="shared" si="1"/>
        <v>20000</v>
      </c>
      <c r="L13" s="18" t="s">
        <v>62</v>
      </c>
      <c r="M13" s="18" t="s">
        <v>63</v>
      </c>
      <c r="N13" s="18" t="s">
        <v>91</v>
      </c>
      <c r="O13" s="19"/>
      <c r="P13" s="25">
        <f>IF(F13="","",IF(O13="",IFERROR(INDEX(Catalogue!$G$6:$G$55,MATCH(F13,Catalogue!$B$6:$B$55,0)),0),O13))</f>
        <v>1500</v>
      </c>
      <c r="Q13" s="25">
        <f>IF(F13="","",N(G13)*(IFERROR(INDEX(Catalogue!$E$6:$E$55,MATCH(F13,Catalogue!$B$6:$B$55,0)),0)+IFERROR(INDEX(Catalogue!$F$6:$F$55,MATCH(F13,Catalogue!$B$6:$B$55,0)),0)+IFERROR(INDEX(Catalogue!$H$6:$H$55,MATCH(F13,Catalogue!$B$6:$B$55,0)),0)))</f>
        <v>8600</v>
      </c>
      <c r="R13" s="25">
        <f t="shared" si="2"/>
        <v>9900</v>
      </c>
      <c r="S13" s="18" t="s">
        <v>221</v>
      </c>
      <c r="T13" s="24">
        <f t="shared" si="3"/>
        <v>46296</v>
      </c>
      <c r="U13" s="28" t="str">
        <f>IF(D13="","",IF(COUNTIF(D$6:D13,D13)=1,"Nouveau","Fidèle"))</f>
        <v>Fidèle</v>
      </c>
    </row>
    <row r="14" spans="1:23" x14ac:dyDescent="0.25">
      <c r="A14" s="41">
        <f t="shared" si="0"/>
        <v>9</v>
      </c>
      <c r="B14" s="38">
        <v>46301</v>
      </c>
      <c r="C14" s="18" t="s">
        <v>233</v>
      </c>
      <c r="D14" s="18" t="s">
        <v>234</v>
      </c>
      <c r="E14" s="18" t="s">
        <v>65</v>
      </c>
      <c r="F14" s="18" t="s">
        <v>124</v>
      </c>
      <c r="G14" s="20">
        <v>1</v>
      </c>
      <c r="H14" s="19"/>
      <c r="I14" s="25">
        <f>IF(F14="","",IF(H14="",IFERROR(INDEX(Catalogue!$I$6:$I$55,MATCH(F14,Catalogue!$B$6:$B$55,0)),0),H14))</f>
        <v>10000</v>
      </c>
      <c r="J14" s="19"/>
      <c r="K14" s="25">
        <f t="shared" si="1"/>
        <v>10000</v>
      </c>
      <c r="L14" s="18" t="s">
        <v>55</v>
      </c>
      <c r="M14" s="18" t="s">
        <v>63</v>
      </c>
      <c r="N14" s="18" t="s">
        <v>57</v>
      </c>
      <c r="O14" s="19"/>
      <c r="P14" s="25">
        <f>IF(F14="","",IF(O14="",IFERROR(INDEX(Catalogue!$G$6:$G$55,MATCH(F14,Catalogue!$B$6:$B$55,0)),0),O14))</f>
        <v>1500</v>
      </c>
      <c r="Q14" s="25">
        <f>IF(F14="","",N(G14)*(IFERROR(INDEX(Catalogue!$E$6:$E$55,MATCH(F14,Catalogue!$B$6:$B$55,0)),0)+IFERROR(INDEX(Catalogue!$F$6:$F$55,MATCH(F14,Catalogue!$B$6:$B$55,0)),0)+IFERROR(INDEX(Catalogue!$H$6:$H$55,MATCH(F14,Catalogue!$B$6:$B$55,0)),0)))</f>
        <v>4300</v>
      </c>
      <c r="R14" s="25">
        <f t="shared" si="2"/>
        <v>4200</v>
      </c>
      <c r="S14" s="18" t="s">
        <v>221</v>
      </c>
      <c r="T14" s="24">
        <f t="shared" si="3"/>
        <v>46296</v>
      </c>
      <c r="U14" s="28" t="str">
        <f>IF(D14="","",IF(COUNTIF(D$6:D14,D14)=1,"Nouveau","Fidèle"))</f>
        <v>Nouveau</v>
      </c>
    </row>
    <row r="15" spans="1:23" x14ac:dyDescent="0.25">
      <c r="A15" s="41">
        <f t="shared" si="0"/>
        <v>10</v>
      </c>
      <c r="B15" s="38">
        <v>46301</v>
      </c>
      <c r="C15" s="18" t="s">
        <v>235</v>
      </c>
      <c r="D15" s="18" t="s">
        <v>236</v>
      </c>
      <c r="E15" s="18" t="s">
        <v>72</v>
      </c>
      <c r="F15" s="18" t="s">
        <v>124</v>
      </c>
      <c r="G15" s="20">
        <v>1</v>
      </c>
      <c r="H15" s="19"/>
      <c r="I15" s="25">
        <f>IF(F15="","",IF(H15="",IFERROR(INDEX(Catalogue!$I$6:$I$55,MATCH(F15,Catalogue!$B$6:$B$55,0)),0),H15))</f>
        <v>10000</v>
      </c>
      <c r="J15" s="19"/>
      <c r="K15" s="25">
        <f t="shared" si="1"/>
        <v>10000</v>
      </c>
      <c r="L15" s="18" t="s">
        <v>75</v>
      </c>
      <c r="M15" s="18" t="s">
        <v>63</v>
      </c>
      <c r="N15" s="18" t="s">
        <v>57</v>
      </c>
      <c r="O15" s="19"/>
      <c r="P15" s="25">
        <f>IF(F15="","",IF(O15="",IFERROR(INDEX(Catalogue!$G$6:$G$55,MATCH(F15,Catalogue!$B$6:$B$55,0)),0),O15))</f>
        <v>1500</v>
      </c>
      <c r="Q15" s="25">
        <f>IF(F15="","",N(G15)*(IFERROR(INDEX(Catalogue!$E$6:$E$55,MATCH(F15,Catalogue!$B$6:$B$55,0)),0)+IFERROR(INDEX(Catalogue!$F$6:$F$55,MATCH(F15,Catalogue!$B$6:$B$55,0)),0)+IFERROR(INDEX(Catalogue!$H$6:$H$55,MATCH(F15,Catalogue!$B$6:$B$55,0)),0)))</f>
        <v>4300</v>
      </c>
      <c r="R15" s="25">
        <f t="shared" si="2"/>
        <v>4200</v>
      </c>
      <c r="S15" s="18" t="s">
        <v>226</v>
      </c>
      <c r="T15" s="24">
        <f t="shared" si="3"/>
        <v>46296</v>
      </c>
      <c r="U15" s="28" t="str">
        <f>IF(D15="","",IF(COUNTIF(D$6:D15,D15)=1,"Nouveau","Fidèle"))</f>
        <v>Nouveau</v>
      </c>
    </row>
    <row r="16" spans="1:23" x14ac:dyDescent="0.25">
      <c r="A16" s="41">
        <f t="shared" si="0"/>
        <v>11</v>
      </c>
      <c r="B16" s="38">
        <v>46302</v>
      </c>
      <c r="C16" s="18" t="s">
        <v>224</v>
      </c>
      <c r="D16" s="18" t="s">
        <v>225</v>
      </c>
      <c r="E16" s="18" t="s">
        <v>78</v>
      </c>
      <c r="F16" s="18" t="s">
        <v>130</v>
      </c>
      <c r="G16" s="20">
        <v>1</v>
      </c>
      <c r="H16" s="19"/>
      <c r="I16" s="25">
        <f>IF(F16="","",IF(H16="",IFERROR(INDEX(Catalogue!$I$6:$I$55,MATCH(F16,Catalogue!$B$6:$B$55,0)),0),H16))</f>
        <v>27000</v>
      </c>
      <c r="J16" s="19">
        <v>1000</v>
      </c>
      <c r="K16" s="25">
        <f t="shared" si="1"/>
        <v>26000</v>
      </c>
      <c r="L16" s="18" t="s">
        <v>81</v>
      </c>
      <c r="M16" s="18" t="s">
        <v>63</v>
      </c>
      <c r="N16" s="18" t="s">
        <v>57</v>
      </c>
      <c r="O16" s="19"/>
      <c r="P16" s="25">
        <f>IF(F16="","",IF(O16="",IFERROR(INDEX(Catalogue!$G$6:$G$55,MATCH(F16,Catalogue!$B$6:$B$55,0)),0),O16))</f>
        <v>1500</v>
      </c>
      <c r="Q16" s="25">
        <f>IF(F16="","",N(G16)*(IFERROR(INDEX(Catalogue!$E$6:$E$55,MATCH(F16,Catalogue!$B$6:$B$55,0)),0)+IFERROR(INDEX(Catalogue!$F$6:$F$55,MATCH(F16,Catalogue!$B$6:$B$55,0)),0)+IFERROR(INDEX(Catalogue!$H$6:$H$55,MATCH(F16,Catalogue!$B$6:$B$55,0)),0)))</f>
        <v>12400</v>
      </c>
      <c r="R16" s="25">
        <f t="shared" si="2"/>
        <v>12100</v>
      </c>
      <c r="S16" s="18" t="s">
        <v>221</v>
      </c>
      <c r="T16" s="24">
        <f t="shared" si="3"/>
        <v>46296</v>
      </c>
      <c r="U16" s="28" t="str">
        <f>IF(D16="","",IF(COUNTIF(D$6:D16,D16)=1,"Nouveau","Fidèle"))</f>
        <v>Fidèle</v>
      </c>
    </row>
    <row r="17" spans="1:21" x14ac:dyDescent="0.25">
      <c r="A17" s="41">
        <f t="shared" si="0"/>
        <v>12</v>
      </c>
      <c r="B17" s="38">
        <v>46302</v>
      </c>
      <c r="C17" s="18" t="s">
        <v>229</v>
      </c>
      <c r="D17" s="18" t="s">
        <v>230</v>
      </c>
      <c r="E17" s="18" t="s">
        <v>83</v>
      </c>
      <c r="F17" s="18" t="s">
        <v>124</v>
      </c>
      <c r="G17" s="20">
        <v>1</v>
      </c>
      <c r="H17" s="19"/>
      <c r="I17" s="25">
        <f>IF(F17="","",IF(H17="",IFERROR(INDEX(Catalogue!$I$6:$I$55,MATCH(F17,Catalogue!$B$6:$B$55,0)),0),H17))</f>
        <v>10000</v>
      </c>
      <c r="J17" s="19"/>
      <c r="K17" s="25">
        <f t="shared" si="1"/>
        <v>10000</v>
      </c>
      <c r="L17" s="18" t="s">
        <v>55</v>
      </c>
      <c r="M17" s="18" t="s">
        <v>63</v>
      </c>
      <c r="N17" s="18" t="s">
        <v>57</v>
      </c>
      <c r="O17" s="19"/>
      <c r="P17" s="25">
        <f>IF(F17="","",IF(O17="",IFERROR(INDEX(Catalogue!$G$6:$G$55,MATCH(F17,Catalogue!$B$6:$B$55,0)),0),O17))</f>
        <v>1500</v>
      </c>
      <c r="Q17" s="25">
        <f>IF(F17="","",N(G17)*(IFERROR(INDEX(Catalogue!$E$6:$E$55,MATCH(F17,Catalogue!$B$6:$B$55,0)),0)+IFERROR(INDEX(Catalogue!$F$6:$F$55,MATCH(F17,Catalogue!$B$6:$B$55,0)),0)+IFERROR(INDEX(Catalogue!$H$6:$H$55,MATCH(F17,Catalogue!$B$6:$B$55,0)),0)))</f>
        <v>4300</v>
      </c>
      <c r="R17" s="25">
        <f t="shared" si="2"/>
        <v>4200</v>
      </c>
      <c r="S17" s="18" t="s">
        <v>221</v>
      </c>
      <c r="T17" s="24">
        <f t="shared" si="3"/>
        <v>46296</v>
      </c>
      <c r="U17" s="28" t="str">
        <f>IF(D17="","",IF(COUNTIF(D$6:D17,D17)=1,"Nouveau","Fidèle"))</f>
        <v>Fidèle</v>
      </c>
    </row>
    <row r="18" spans="1:21" x14ac:dyDescent="0.25">
      <c r="A18" s="41">
        <f t="shared" si="0"/>
        <v>13</v>
      </c>
      <c r="B18" s="38">
        <v>46303</v>
      </c>
      <c r="C18" s="18" t="s">
        <v>227</v>
      </c>
      <c r="D18" s="18" t="s">
        <v>228</v>
      </c>
      <c r="E18" s="18" t="s">
        <v>65</v>
      </c>
      <c r="F18" s="18" t="s">
        <v>127</v>
      </c>
      <c r="G18" s="20">
        <v>3</v>
      </c>
      <c r="H18" s="19"/>
      <c r="I18" s="25">
        <f>IF(F18="","",IF(H18="",IFERROR(INDEX(Catalogue!$I$6:$I$55,MATCH(F18,Catalogue!$B$6:$B$55,0)),0),H18))</f>
        <v>3500</v>
      </c>
      <c r="J18" s="19"/>
      <c r="K18" s="25">
        <f t="shared" si="1"/>
        <v>10500</v>
      </c>
      <c r="L18" s="18" t="s">
        <v>62</v>
      </c>
      <c r="M18" s="18" t="s">
        <v>63</v>
      </c>
      <c r="N18" s="18" t="s">
        <v>94</v>
      </c>
      <c r="O18" s="19"/>
      <c r="P18" s="25">
        <f>IF(F18="","",IF(O18="",IFERROR(INDEX(Catalogue!$G$6:$G$55,MATCH(F18,Catalogue!$B$6:$B$55,0)),0),O18))</f>
        <v>0</v>
      </c>
      <c r="Q18" s="25">
        <f>IF(F18="","",N(G18)*(IFERROR(INDEX(Catalogue!$E$6:$E$55,MATCH(F18,Catalogue!$B$6:$B$55,0)),0)+IFERROR(INDEX(Catalogue!$F$6:$F$55,MATCH(F18,Catalogue!$B$6:$B$55,0)),0)+IFERROR(INDEX(Catalogue!$H$6:$H$55,MATCH(F18,Catalogue!$B$6:$B$55,0)),0)))</f>
        <v>4050</v>
      </c>
      <c r="R18" s="25">
        <f t="shared" si="2"/>
        <v>6450</v>
      </c>
      <c r="S18" s="18" t="s">
        <v>226</v>
      </c>
      <c r="T18" s="24">
        <f t="shared" si="3"/>
        <v>46296</v>
      </c>
      <c r="U18" s="28" t="str">
        <f>IF(D18="","",IF(COUNTIF(D$6:D18,D18)=1,"Nouveau","Fidèle"))</f>
        <v>Fidèle</v>
      </c>
    </row>
    <row r="19" spans="1:21" x14ac:dyDescent="0.25">
      <c r="A19" s="41">
        <f t="shared" si="0"/>
        <v>14</v>
      </c>
      <c r="B19" s="38">
        <v>46303</v>
      </c>
      <c r="C19" s="18" t="s">
        <v>231</v>
      </c>
      <c r="D19" s="18" t="s">
        <v>232</v>
      </c>
      <c r="E19" s="18" t="s">
        <v>58</v>
      </c>
      <c r="F19" s="18" t="s">
        <v>124</v>
      </c>
      <c r="G19" s="20">
        <v>1</v>
      </c>
      <c r="H19" s="19"/>
      <c r="I19" s="25">
        <f>IF(F19="","",IF(H19="",IFERROR(INDEX(Catalogue!$I$6:$I$55,MATCH(F19,Catalogue!$B$6:$B$55,0)),0),H19))</f>
        <v>10000</v>
      </c>
      <c r="J19" s="19"/>
      <c r="K19" s="25">
        <f t="shared" si="1"/>
        <v>10000</v>
      </c>
      <c r="L19" s="18" t="s">
        <v>55</v>
      </c>
      <c r="M19" s="18" t="s">
        <v>63</v>
      </c>
      <c r="N19" s="18" t="s">
        <v>57</v>
      </c>
      <c r="O19" s="19"/>
      <c r="P19" s="25">
        <f>IF(F19="","",IF(O19="",IFERROR(INDEX(Catalogue!$G$6:$G$55,MATCH(F19,Catalogue!$B$6:$B$55,0)),0),O19))</f>
        <v>1500</v>
      </c>
      <c r="Q19" s="25">
        <f>IF(F19="","",N(G19)*(IFERROR(INDEX(Catalogue!$E$6:$E$55,MATCH(F19,Catalogue!$B$6:$B$55,0)),0)+IFERROR(INDEX(Catalogue!$F$6:$F$55,MATCH(F19,Catalogue!$B$6:$B$55,0)),0)+IFERROR(INDEX(Catalogue!$H$6:$H$55,MATCH(F19,Catalogue!$B$6:$B$55,0)),0)))</f>
        <v>4300</v>
      </c>
      <c r="R19" s="25">
        <f t="shared" si="2"/>
        <v>4200</v>
      </c>
      <c r="S19" s="18" t="s">
        <v>221</v>
      </c>
      <c r="T19" s="24">
        <f t="shared" si="3"/>
        <v>46296</v>
      </c>
      <c r="U19" s="28" t="str">
        <f>IF(D19="","",IF(COUNTIF(D$6:D19,D19)=1,"Nouveau","Fidèle"))</f>
        <v>Fidèle</v>
      </c>
    </row>
    <row r="20" spans="1:21" x14ac:dyDescent="0.25">
      <c r="A20" s="41">
        <f t="shared" si="0"/>
        <v>15</v>
      </c>
      <c r="B20" s="38">
        <v>46304</v>
      </c>
      <c r="C20" s="18" t="s">
        <v>235</v>
      </c>
      <c r="D20" s="18" t="s">
        <v>236</v>
      </c>
      <c r="E20" s="18" t="s">
        <v>72</v>
      </c>
      <c r="F20" s="18" t="s">
        <v>124</v>
      </c>
      <c r="G20" s="20">
        <v>1</v>
      </c>
      <c r="H20" s="19"/>
      <c r="I20" s="25">
        <f>IF(F20="","",IF(H20="",IFERROR(INDEX(Catalogue!$I$6:$I$55,MATCH(F20,Catalogue!$B$6:$B$55,0)),0),H20))</f>
        <v>10000</v>
      </c>
      <c r="J20" s="19"/>
      <c r="K20" s="25">
        <f t="shared" si="1"/>
        <v>10000</v>
      </c>
      <c r="L20" s="18" t="s">
        <v>75</v>
      </c>
      <c r="M20" s="18" t="s">
        <v>70</v>
      </c>
      <c r="N20" s="18" t="s">
        <v>57</v>
      </c>
      <c r="O20" s="19"/>
      <c r="P20" s="25">
        <f>IF(F20="","",IF(O20="",IFERROR(INDEX(Catalogue!$G$6:$G$55,MATCH(F20,Catalogue!$B$6:$B$55,0)),0),O20))</f>
        <v>1500</v>
      </c>
      <c r="Q20" s="25">
        <f>IF(F20="","",N(G20)*(IFERROR(INDEX(Catalogue!$E$6:$E$55,MATCH(F20,Catalogue!$B$6:$B$55,0)),0)+IFERROR(INDEX(Catalogue!$F$6:$F$55,MATCH(F20,Catalogue!$B$6:$B$55,0)),0)+IFERROR(INDEX(Catalogue!$H$6:$H$55,MATCH(F20,Catalogue!$B$6:$B$55,0)),0)))</f>
        <v>4300</v>
      </c>
      <c r="R20" s="25">
        <f t="shared" si="2"/>
        <v>-1500</v>
      </c>
      <c r="S20" s="18" t="s">
        <v>226</v>
      </c>
      <c r="T20" s="24">
        <f t="shared" si="3"/>
        <v>46296</v>
      </c>
      <c r="U20" s="28" t="str">
        <f>IF(D20="","",IF(COUNTIF(D$6:D20,D20)=1,"Nouveau","Fidèle"))</f>
        <v>Fidèle</v>
      </c>
    </row>
    <row r="21" spans="1:21" x14ac:dyDescent="0.25">
      <c r="A21" s="41">
        <f t="shared" si="0"/>
        <v>16</v>
      </c>
      <c r="B21" s="38">
        <v>46305</v>
      </c>
      <c r="C21" s="18" t="s">
        <v>219</v>
      </c>
      <c r="D21" s="18" t="s">
        <v>220</v>
      </c>
      <c r="E21" s="18" t="s">
        <v>58</v>
      </c>
      <c r="F21" s="18" t="s">
        <v>130</v>
      </c>
      <c r="G21" s="20">
        <v>1</v>
      </c>
      <c r="H21" s="19"/>
      <c r="I21" s="25">
        <f>IF(F21="","",IF(H21="",IFERROR(INDEX(Catalogue!$I$6:$I$55,MATCH(F21,Catalogue!$B$6:$B$55,0)),0),H21))</f>
        <v>27000</v>
      </c>
      <c r="J21" s="19">
        <v>1000</v>
      </c>
      <c r="K21" s="25">
        <f t="shared" si="1"/>
        <v>26000</v>
      </c>
      <c r="L21" s="18" t="s">
        <v>55</v>
      </c>
      <c r="M21" s="18" t="s">
        <v>63</v>
      </c>
      <c r="N21" s="18" t="s">
        <v>91</v>
      </c>
      <c r="O21" s="19"/>
      <c r="P21" s="25">
        <f>IF(F21="","",IF(O21="",IFERROR(INDEX(Catalogue!$G$6:$G$55,MATCH(F21,Catalogue!$B$6:$B$55,0)),0),O21))</f>
        <v>1500</v>
      </c>
      <c r="Q21" s="25">
        <f>IF(F21="","",N(G21)*(IFERROR(INDEX(Catalogue!$E$6:$E$55,MATCH(F21,Catalogue!$B$6:$B$55,0)),0)+IFERROR(INDEX(Catalogue!$F$6:$F$55,MATCH(F21,Catalogue!$B$6:$B$55,0)),0)+IFERROR(INDEX(Catalogue!$H$6:$H$55,MATCH(F21,Catalogue!$B$6:$B$55,0)),0)))</f>
        <v>12400</v>
      </c>
      <c r="R21" s="25">
        <f t="shared" si="2"/>
        <v>12100</v>
      </c>
      <c r="S21" s="18" t="s">
        <v>221</v>
      </c>
      <c r="T21" s="24">
        <f t="shared" si="3"/>
        <v>46296</v>
      </c>
      <c r="U21" s="28" t="str">
        <f>IF(D21="","",IF(COUNTIF(D$6:D21,D21)=1,"Nouveau","Fidèle"))</f>
        <v>Fidèle</v>
      </c>
    </row>
    <row r="22" spans="1:21" x14ac:dyDescent="0.25">
      <c r="A22" s="41">
        <f t="shared" si="0"/>
        <v>17</v>
      </c>
      <c r="B22" s="38">
        <v>46304</v>
      </c>
      <c r="C22" s="18" t="s">
        <v>227</v>
      </c>
      <c r="D22" s="18" t="s">
        <v>228</v>
      </c>
      <c r="E22" s="18" t="s">
        <v>65</v>
      </c>
      <c r="F22" s="18" t="s">
        <v>124</v>
      </c>
      <c r="G22" s="20">
        <v>1</v>
      </c>
      <c r="H22" s="19"/>
      <c r="I22" s="25">
        <f>IF(F22="","",IF(H22="",IFERROR(INDEX(Catalogue!$I$6:$I$55,MATCH(F22,Catalogue!$B$6:$B$55,0)),0),H22))</f>
        <v>10000</v>
      </c>
      <c r="J22" s="19"/>
      <c r="K22" s="25">
        <f t="shared" si="1"/>
        <v>10000</v>
      </c>
      <c r="L22" s="18" t="s">
        <v>55</v>
      </c>
      <c r="M22" s="18" t="s">
        <v>63</v>
      </c>
      <c r="N22" s="18" t="s">
        <v>57</v>
      </c>
      <c r="O22" s="19"/>
      <c r="P22" s="25">
        <f>IF(F22="","",IF(O22="",IFERROR(INDEX(Catalogue!$G$6:$G$55,MATCH(F22,Catalogue!$B$6:$B$55,0)),0),O22))</f>
        <v>1500</v>
      </c>
      <c r="Q22" s="25">
        <f>IF(F22="","",N(G22)*(IFERROR(INDEX(Catalogue!$E$6:$E$55,MATCH(F22,Catalogue!$B$6:$B$55,0)),0)+IFERROR(INDEX(Catalogue!$F$6:$F$55,MATCH(F22,Catalogue!$B$6:$B$55,0)),0)+IFERROR(INDEX(Catalogue!$H$6:$H$55,MATCH(F22,Catalogue!$B$6:$B$55,0)),0)))</f>
        <v>4300</v>
      </c>
      <c r="R22" s="25">
        <f t="shared" si="2"/>
        <v>4200</v>
      </c>
      <c r="S22" s="18" t="s">
        <v>221</v>
      </c>
      <c r="T22" s="24">
        <f t="shared" si="3"/>
        <v>46296</v>
      </c>
      <c r="U22" s="28" t="str">
        <f>IF(D22="","",IF(COUNTIF(D$6:D22,D22)=1,"Nouveau","Fidèle"))</f>
        <v>Fidèle</v>
      </c>
    </row>
    <row r="23" spans="1:21" x14ac:dyDescent="0.25">
      <c r="A23" s="41">
        <f t="shared" si="0"/>
        <v>18</v>
      </c>
      <c r="B23" s="38">
        <v>46305</v>
      </c>
      <c r="C23" s="18" t="s">
        <v>229</v>
      </c>
      <c r="D23" s="18" t="s">
        <v>230</v>
      </c>
      <c r="E23" s="18" t="s">
        <v>83</v>
      </c>
      <c r="F23" s="18" t="s">
        <v>124</v>
      </c>
      <c r="G23" s="20">
        <v>1</v>
      </c>
      <c r="H23" s="19"/>
      <c r="I23" s="25">
        <f>IF(F23="","",IF(H23="",IFERROR(INDEX(Catalogue!$I$6:$I$55,MATCH(F23,Catalogue!$B$6:$B$55,0)),0),H23))</f>
        <v>10000</v>
      </c>
      <c r="J23" s="19"/>
      <c r="K23" s="25">
        <f t="shared" si="1"/>
        <v>10000</v>
      </c>
      <c r="L23" s="18" t="s">
        <v>62</v>
      </c>
      <c r="M23" s="18" t="s">
        <v>63</v>
      </c>
      <c r="N23" s="18" t="s">
        <v>57</v>
      </c>
      <c r="O23" s="19"/>
      <c r="P23" s="25">
        <f>IF(F23="","",IF(O23="",IFERROR(INDEX(Catalogue!$G$6:$G$55,MATCH(F23,Catalogue!$B$6:$B$55,0)),0),O23))</f>
        <v>1500</v>
      </c>
      <c r="Q23" s="25">
        <f>IF(F23="","",N(G23)*(IFERROR(INDEX(Catalogue!$E$6:$E$55,MATCH(F23,Catalogue!$B$6:$B$55,0)),0)+IFERROR(INDEX(Catalogue!$F$6:$F$55,MATCH(F23,Catalogue!$B$6:$B$55,0)),0)+IFERROR(INDEX(Catalogue!$H$6:$H$55,MATCH(F23,Catalogue!$B$6:$B$55,0)),0)))</f>
        <v>4300</v>
      </c>
      <c r="R23" s="25">
        <f t="shared" si="2"/>
        <v>4200</v>
      </c>
      <c r="S23" s="18" t="s">
        <v>226</v>
      </c>
      <c r="T23" s="24">
        <f t="shared" si="3"/>
        <v>46296</v>
      </c>
      <c r="U23" s="28" t="str">
        <f>IF(D23="","",IF(COUNTIF(D$6:D23,D23)=1,"Nouveau","Fidèle"))</f>
        <v>Fidèle</v>
      </c>
    </row>
    <row r="24" spans="1:21" x14ac:dyDescent="0.25">
      <c r="A24" s="41">
        <f t="shared" si="0"/>
        <v>19</v>
      </c>
      <c r="B24" s="38">
        <v>46305</v>
      </c>
      <c r="C24" s="18" t="s">
        <v>233</v>
      </c>
      <c r="D24" s="18" t="s">
        <v>234</v>
      </c>
      <c r="E24" s="18" t="s">
        <v>65</v>
      </c>
      <c r="F24" s="18" t="s">
        <v>132</v>
      </c>
      <c r="G24" s="20">
        <v>1</v>
      </c>
      <c r="H24" s="19"/>
      <c r="I24" s="25">
        <f>IF(F24="","",IF(H24="",IFERROR(INDEX(Catalogue!$I$6:$I$55,MATCH(F24,Catalogue!$B$6:$B$55,0)),0),H24))</f>
        <v>7500</v>
      </c>
      <c r="J24" s="19"/>
      <c r="K24" s="25">
        <f t="shared" si="1"/>
        <v>7500</v>
      </c>
      <c r="L24" s="18" t="s">
        <v>55</v>
      </c>
      <c r="M24" s="18" t="s">
        <v>63</v>
      </c>
      <c r="N24" s="18" t="s">
        <v>82</v>
      </c>
      <c r="O24" s="19"/>
      <c r="P24" s="25">
        <f>IF(F24="","",IF(O24="",IFERROR(INDEX(Catalogue!$G$6:$G$55,MATCH(F24,Catalogue!$B$6:$B$55,0)),0),O24))</f>
        <v>0</v>
      </c>
      <c r="Q24" s="25">
        <f>IF(F24="","",N(G24)*(IFERROR(INDEX(Catalogue!$E$6:$E$55,MATCH(F24,Catalogue!$B$6:$B$55,0)),0)+IFERROR(INDEX(Catalogue!$F$6:$F$55,MATCH(F24,Catalogue!$B$6:$B$55,0)),0)+IFERROR(INDEX(Catalogue!$H$6:$H$55,MATCH(F24,Catalogue!$B$6:$B$55,0)),0)))</f>
        <v>2000</v>
      </c>
      <c r="R24" s="25">
        <f t="shared" si="2"/>
        <v>5500</v>
      </c>
      <c r="S24" s="18" t="s">
        <v>226</v>
      </c>
      <c r="T24" s="24">
        <f t="shared" si="3"/>
        <v>46296</v>
      </c>
      <c r="U24" s="28" t="str">
        <f>IF(D24="","",IF(COUNTIF(D$6:D24,D24)=1,"Nouveau","Fidèle"))</f>
        <v>Fidèle</v>
      </c>
    </row>
    <row r="25" spans="1:21" x14ac:dyDescent="0.25">
      <c r="A25" s="41">
        <f t="shared" si="0"/>
        <v>20</v>
      </c>
      <c r="B25" s="38">
        <v>46307</v>
      </c>
      <c r="C25" s="18" t="s">
        <v>222</v>
      </c>
      <c r="D25" s="18" t="s">
        <v>223</v>
      </c>
      <c r="E25" s="18" t="s">
        <v>72</v>
      </c>
      <c r="F25" s="18" t="s">
        <v>127</v>
      </c>
      <c r="G25" s="20">
        <v>1</v>
      </c>
      <c r="H25" s="19"/>
      <c r="I25" s="25">
        <f>IF(F25="","",IF(H25="",IFERROR(INDEX(Catalogue!$I$6:$I$55,MATCH(F25,Catalogue!$B$6:$B$55,0)),0),H25))</f>
        <v>3500</v>
      </c>
      <c r="J25" s="19"/>
      <c r="K25" s="25">
        <f t="shared" si="1"/>
        <v>3500</v>
      </c>
      <c r="L25" s="18" t="s">
        <v>55</v>
      </c>
      <c r="M25" s="18" t="s">
        <v>56</v>
      </c>
      <c r="N25" s="18" t="s">
        <v>91</v>
      </c>
      <c r="O25" s="19"/>
      <c r="P25" s="25">
        <f>IF(F25="","",IF(O25="",IFERROR(INDEX(Catalogue!$G$6:$G$55,MATCH(F25,Catalogue!$B$6:$B$55,0)),0),O25))</f>
        <v>0</v>
      </c>
      <c r="Q25" s="25">
        <f>IF(F25="","",N(G25)*(IFERROR(INDEX(Catalogue!$E$6:$E$55,MATCH(F25,Catalogue!$B$6:$B$55,0)),0)+IFERROR(INDEX(Catalogue!$F$6:$F$55,MATCH(F25,Catalogue!$B$6:$B$55,0)),0)+IFERROR(INDEX(Catalogue!$H$6:$H$55,MATCH(F25,Catalogue!$B$6:$B$55,0)),0)))</f>
        <v>1350</v>
      </c>
      <c r="R25" s="25">
        <f t="shared" si="2"/>
        <v>0</v>
      </c>
      <c r="S25" s="18" t="s">
        <v>226</v>
      </c>
      <c r="T25" s="24">
        <f t="shared" si="3"/>
        <v>46296</v>
      </c>
      <c r="U25" s="28" t="str">
        <f>IF(D25="","",IF(COUNTIF(D$6:D25,D25)=1,"Nouveau","Fidèle"))</f>
        <v>Fidèle</v>
      </c>
    </row>
    <row r="26" spans="1:21" x14ac:dyDescent="0.25">
      <c r="A26" s="41" t="str">
        <f t="shared" si="0"/>
        <v/>
      </c>
      <c r="B26" s="38"/>
      <c r="C26" s="18"/>
      <c r="D26" s="18"/>
      <c r="E26" s="18"/>
      <c r="F26" s="18"/>
      <c r="G26" s="20"/>
      <c r="H26" s="19"/>
      <c r="I26" s="25" t="str">
        <f>IF(F26="","",IF(H26="",IFERROR(INDEX(Catalogue!$I$6:$I$55,MATCH(F26,Catalogue!$B$6:$B$55,0)),0),H26))</f>
        <v/>
      </c>
      <c r="J26" s="19"/>
      <c r="K26" s="25" t="str">
        <f t="shared" si="1"/>
        <v/>
      </c>
      <c r="L26" s="18"/>
      <c r="M26" s="18"/>
      <c r="N26" s="18"/>
      <c r="O26" s="19"/>
      <c r="P26" s="25" t="str">
        <f>IF(F26="","",IF(O26="",IFERROR(INDEX(Catalogue!$G$6:$G$55,MATCH(F26,Catalogue!$B$6:$B$55,0)),0),O26))</f>
        <v/>
      </c>
      <c r="Q26" s="25" t="str">
        <f>IF(F26="","",N(G26)*(IFERROR(INDEX(Catalogue!$E$6:$E$55,MATCH(F26,Catalogue!$B$6:$B$55,0)),0)+IFERROR(INDEX(Catalogue!$F$6:$F$55,MATCH(F26,Catalogue!$B$6:$B$55,0)),0)+IFERROR(INDEX(Catalogue!$H$6:$H$55,MATCH(F26,Catalogue!$B$6:$B$55,0)),0)))</f>
        <v/>
      </c>
      <c r="R26" s="25" t="str">
        <f t="shared" si="2"/>
        <v/>
      </c>
      <c r="S26" s="18"/>
      <c r="T26" s="24" t="str">
        <f t="shared" si="3"/>
        <v/>
      </c>
      <c r="U26" s="28" t="str">
        <f>IF(D26="","",IF(COUNTIF(D$6:D26,D26)=1,"Nouveau","Fidèle"))</f>
        <v/>
      </c>
    </row>
    <row r="27" spans="1:21" x14ac:dyDescent="0.25">
      <c r="A27" s="41" t="str">
        <f t="shared" si="0"/>
        <v/>
      </c>
      <c r="B27" s="38"/>
      <c r="C27" s="18"/>
      <c r="D27" s="18"/>
      <c r="E27" s="18"/>
      <c r="F27" s="18"/>
      <c r="G27" s="20"/>
      <c r="H27" s="19"/>
      <c r="I27" s="25" t="str">
        <f>IF(F27="","",IF(H27="",IFERROR(INDEX(Catalogue!$I$6:$I$55,MATCH(F27,Catalogue!$B$6:$B$55,0)),0),H27))</f>
        <v/>
      </c>
      <c r="J27" s="19"/>
      <c r="K27" s="25" t="str">
        <f t="shared" si="1"/>
        <v/>
      </c>
      <c r="L27" s="18"/>
      <c r="M27" s="18"/>
      <c r="N27" s="18"/>
      <c r="O27" s="19"/>
      <c r="P27" s="25" t="str">
        <f>IF(F27="","",IF(O27="",IFERROR(INDEX(Catalogue!$G$6:$G$55,MATCH(F27,Catalogue!$B$6:$B$55,0)),0),O27))</f>
        <v/>
      </c>
      <c r="Q27" s="25" t="str">
        <f>IF(F27="","",N(G27)*(IFERROR(INDEX(Catalogue!$E$6:$E$55,MATCH(F27,Catalogue!$B$6:$B$55,0)),0)+IFERROR(INDEX(Catalogue!$F$6:$F$55,MATCH(F27,Catalogue!$B$6:$B$55,0)),0)+IFERROR(INDEX(Catalogue!$H$6:$H$55,MATCH(F27,Catalogue!$B$6:$B$55,0)),0)))</f>
        <v/>
      </c>
      <c r="R27" s="25" t="str">
        <f t="shared" si="2"/>
        <v/>
      </c>
      <c r="S27" s="18"/>
      <c r="T27" s="24" t="str">
        <f t="shared" si="3"/>
        <v/>
      </c>
      <c r="U27" s="28" t="str">
        <f>IF(D27="","",IF(COUNTIF(D$6:D27,D27)=1,"Nouveau","Fidèle"))</f>
        <v/>
      </c>
    </row>
    <row r="28" spans="1:21" x14ac:dyDescent="0.25">
      <c r="A28" s="41" t="str">
        <f t="shared" si="0"/>
        <v/>
      </c>
      <c r="B28" s="38"/>
      <c r="C28" s="18"/>
      <c r="D28" s="18"/>
      <c r="E28" s="18"/>
      <c r="F28" s="18"/>
      <c r="G28" s="20"/>
      <c r="H28" s="19"/>
      <c r="I28" s="25" t="str">
        <f>IF(F28="","",IF(H28="",IFERROR(INDEX(Catalogue!$I$6:$I$55,MATCH(F28,Catalogue!$B$6:$B$55,0)),0),H28))</f>
        <v/>
      </c>
      <c r="J28" s="19"/>
      <c r="K28" s="25" t="str">
        <f t="shared" si="1"/>
        <v/>
      </c>
      <c r="L28" s="18"/>
      <c r="M28" s="18"/>
      <c r="N28" s="18"/>
      <c r="O28" s="19"/>
      <c r="P28" s="25" t="str">
        <f>IF(F28="","",IF(O28="",IFERROR(INDEX(Catalogue!$G$6:$G$55,MATCH(F28,Catalogue!$B$6:$B$55,0)),0),O28))</f>
        <v/>
      </c>
      <c r="Q28" s="25" t="str">
        <f>IF(F28="","",N(G28)*(IFERROR(INDEX(Catalogue!$E$6:$E$55,MATCH(F28,Catalogue!$B$6:$B$55,0)),0)+IFERROR(INDEX(Catalogue!$F$6:$F$55,MATCH(F28,Catalogue!$B$6:$B$55,0)),0)+IFERROR(INDEX(Catalogue!$H$6:$H$55,MATCH(F28,Catalogue!$B$6:$B$55,0)),0)))</f>
        <v/>
      </c>
      <c r="R28" s="25" t="str">
        <f t="shared" si="2"/>
        <v/>
      </c>
      <c r="S28" s="18"/>
      <c r="T28" s="24" t="str">
        <f t="shared" si="3"/>
        <v/>
      </c>
      <c r="U28" s="28" t="str">
        <f>IF(D28="","",IF(COUNTIF(D$6:D28,D28)=1,"Nouveau","Fidèle"))</f>
        <v/>
      </c>
    </row>
    <row r="29" spans="1:21" x14ac:dyDescent="0.25">
      <c r="A29" s="41" t="str">
        <f t="shared" si="0"/>
        <v/>
      </c>
      <c r="B29" s="38"/>
      <c r="C29" s="18"/>
      <c r="D29" s="18"/>
      <c r="E29" s="18"/>
      <c r="F29" s="18"/>
      <c r="G29" s="20"/>
      <c r="H29" s="19"/>
      <c r="I29" s="25" t="str">
        <f>IF(F29="","",IF(H29="",IFERROR(INDEX(Catalogue!$I$6:$I$55,MATCH(F29,Catalogue!$B$6:$B$55,0)),0),H29))</f>
        <v/>
      </c>
      <c r="J29" s="19"/>
      <c r="K29" s="25" t="str">
        <f t="shared" si="1"/>
        <v/>
      </c>
      <c r="L29" s="18"/>
      <c r="M29" s="18"/>
      <c r="N29" s="18"/>
      <c r="O29" s="19"/>
      <c r="P29" s="25" t="str">
        <f>IF(F29="","",IF(O29="",IFERROR(INDEX(Catalogue!$G$6:$G$55,MATCH(F29,Catalogue!$B$6:$B$55,0)),0),O29))</f>
        <v/>
      </c>
      <c r="Q29" s="25" t="str">
        <f>IF(F29="","",N(G29)*(IFERROR(INDEX(Catalogue!$E$6:$E$55,MATCH(F29,Catalogue!$B$6:$B$55,0)),0)+IFERROR(INDEX(Catalogue!$F$6:$F$55,MATCH(F29,Catalogue!$B$6:$B$55,0)),0)+IFERROR(INDEX(Catalogue!$H$6:$H$55,MATCH(F29,Catalogue!$B$6:$B$55,0)),0)))</f>
        <v/>
      </c>
      <c r="R29" s="25" t="str">
        <f t="shared" si="2"/>
        <v/>
      </c>
      <c r="S29" s="18"/>
      <c r="T29" s="24" t="str">
        <f t="shared" si="3"/>
        <v/>
      </c>
      <c r="U29" s="28" t="str">
        <f>IF(D29="","",IF(COUNTIF(D$6:D29,D29)=1,"Nouveau","Fidèle"))</f>
        <v/>
      </c>
    </row>
    <row r="30" spans="1:21" x14ac:dyDescent="0.25">
      <c r="A30" s="41" t="str">
        <f t="shared" si="0"/>
        <v/>
      </c>
      <c r="B30" s="38"/>
      <c r="C30" s="18"/>
      <c r="D30" s="18"/>
      <c r="E30" s="18"/>
      <c r="F30" s="18"/>
      <c r="G30" s="20"/>
      <c r="H30" s="19"/>
      <c r="I30" s="25" t="str">
        <f>IF(F30="","",IF(H30="",IFERROR(INDEX(Catalogue!$I$6:$I$55,MATCH(F30,Catalogue!$B$6:$B$55,0)),0),H30))</f>
        <v/>
      </c>
      <c r="J30" s="19"/>
      <c r="K30" s="25" t="str">
        <f t="shared" si="1"/>
        <v/>
      </c>
      <c r="L30" s="18"/>
      <c r="M30" s="18"/>
      <c r="N30" s="18"/>
      <c r="O30" s="19"/>
      <c r="P30" s="25" t="str">
        <f>IF(F30="","",IF(O30="",IFERROR(INDEX(Catalogue!$G$6:$G$55,MATCH(F30,Catalogue!$B$6:$B$55,0)),0),O30))</f>
        <v/>
      </c>
      <c r="Q30" s="25" t="str">
        <f>IF(F30="","",N(G30)*(IFERROR(INDEX(Catalogue!$E$6:$E$55,MATCH(F30,Catalogue!$B$6:$B$55,0)),0)+IFERROR(INDEX(Catalogue!$F$6:$F$55,MATCH(F30,Catalogue!$B$6:$B$55,0)),0)+IFERROR(INDEX(Catalogue!$H$6:$H$55,MATCH(F30,Catalogue!$B$6:$B$55,0)),0)))</f>
        <v/>
      </c>
      <c r="R30" s="25" t="str">
        <f t="shared" si="2"/>
        <v/>
      </c>
      <c r="S30" s="18"/>
      <c r="T30" s="24" t="str">
        <f t="shared" si="3"/>
        <v/>
      </c>
      <c r="U30" s="28" t="str">
        <f>IF(D30="","",IF(COUNTIF(D$6:D30,D30)=1,"Nouveau","Fidèle"))</f>
        <v/>
      </c>
    </row>
    <row r="31" spans="1:21" x14ac:dyDescent="0.25">
      <c r="A31" s="41" t="str">
        <f t="shared" si="0"/>
        <v/>
      </c>
      <c r="B31" s="38"/>
      <c r="C31" s="18"/>
      <c r="D31" s="18"/>
      <c r="E31" s="18"/>
      <c r="F31" s="18"/>
      <c r="G31" s="20"/>
      <c r="H31" s="19"/>
      <c r="I31" s="25" t="str">
        <f>IF(F31="","",IF(H31="",IFERROR(INDEX(Catalogue!$I$6:$I$55,MATCH(F31,Catalogue!$B$6:$B$55,0)),0),H31))</f>
        <v/>
      </c>
      <c r="J31" s="19"/>
      <c r="K31" s="25" t="str">
        <f t="shared" si="1"/>
        <v/>
      </c>
      <c r="L31" s="18"/>
      <c r="M31" s="18"/>
      <c r="N31" s="18"/>
      <c r="O31" s="19"/>
      <c r="P31" s="25" t="str">
        <f>IF(F31="","",IF(O31="",IFERROR(INDEX(Catalogue!$G$6:$G$55,MATCH(F31,Catalogue!$B$6:$B$55,0)),0),O31))</f>
        <v/>
      </c>
      <c r="Q31" s="25" t="str">
        <f>IF(F31="","",N(G31)*(IFERROR(INDEX(Catalogue!$E$6:$E$55,MATCH(F31,Catalogue!$B$6:$B$55,0)),0)+IFERROR(INDEX(Catalogue!$F$6:$F$55,MATCH(F31,Catalogue!$B$6:$B$55,0)),0)+IFERROR(INDEX(Catalogue!$H$6:$H$55,MATCH(F31,Catalogue!$B$6:$B$55,0)),0)))</f>
        <v/>
      </c>
      <c r="R31" s="25" t="str">
        <f t="shared" si="2"/>
        <v/>
      </c>
      <c r="S31" s="18"/>
      <c r="T31" s="24" t="str">
        <f t="shared" si="3"/>
        <v/>
      </c>
      <c r="U31" s="28" t="str">
        <f>IF(D31="","",IF(COUNTIF(D$6:D31,D31)=1,"Nouveau","Fidèle"))</f>
        <v/>
      </c>
    </row>
    <row r="32" spans="1:21" x14ac:dyDescent="0.25">
      <c r="A32" s="41" t="str">
        <f t="shared" si="0"/>
        <v/>
      </c>
      <c r="B32" s="38"/>
      <c r="C32" s="18"/>
      <c r="D32" s="18"/>
      <c r="E32" s="18"/>
      <c r="F32" s="18"/>
      <c r="G32" s="20"/>
      <c r="H32" s="19"/>
      <c r="I32" s="25" t="str">
        <f>IF(F32="","",IF(H32="",IFERROR(INDEX(Catalogue!$I$6:$I$55,MATCH(F32,Catalogue!$B$6:$B$55,0)),0),H32))</f>
        <v/>
      </c>
      <c r="J32" s="19"/>
      <c r="K32" s="25" t="str">
        <f t="shared" si="1"/>
        <v/>
      </c>
      <c r="L32" s="18"/>
      <c r="M32" s="18"/>
      <c r="N32" s="18"/>
      <c r="O32" s="19"/>
      <c r="P32" s="25" t="str">
        <f>IF(F32="","",IF(O32="",IFERROR(INDEX(Catalogue!$G$6:$G$55,MATCH(F32,Catalogue!$B$6:$B$55,0)),0),O32))</f>
        <v/>
      </c>
      <c r="Q32" s="25" t="str">
        <f>IF(F32="","",N(G32)*(IFERROR(INDEX(Catalogue!$E$6:$E$55,MATCH(F32,Catalogue!$B$6:$B$55,0)),0)+IFERROR(INDEX(Catalogue!$F$6:$F$55,MATCH(F32,Catalogue!$B$6:$B$55,0)),0)+IFERROR(INDEX(Catalogue!$H$6:$H$55,MATCH(F32,Catalogue!$B$6:$B$55,0)),0)))</f>
        <v/>
      </c>
      <c r="R32" s="25" t="str">
        <f t="shared" si="2"/>
        <v/>
      </c>
      <c r="S32" s="18"/>
      <c r="T32" s="24" t="str">
        <f t="shared" si="3"/>
        <v/>
      </c>
      <c r="U32" s="28" t="str">
        <f>IF(D32="","",IF(COUNTIF(D$6:D32,D32)=1,"Nouveau","Fidèle"))</f>
        <v/>
      </c>
    </row>
    <row r="33" spans="1:21" x14ac:dyDescent="0.25">
      <c r="A33" s="41" t="str">
        <f t="shared" si="0"/>
        <v/>
      </c>
      <c r="B33" s="38"/>
      <c r="C33" s="18"/>
      <c r="D33" s="18"/>
      <c r="E33" s="18"/>
      <c r="F33" s="18"/>
      <c r="G33" s="20"/>
      <c r="H33" s="19"/>
      <c r="I33" s="25" t="str">
        <f>IF(F33="","",IF(H33="",IFERROR(INDEX(Catalogue!$I$6:$I$55,MATCH(F33,Catalogue!$B$6:$B$55,0)),0),H33))</f>
        <v/>
      </c>
      <c r="J33" s="19"/>
      <c r="K33" s="25" t="str">
        <f t="shared" si="1"/>
        <v/>
      </c>
      <c r="L33" s="18"/>
      <c r="M33" s="18"/>
      <c r="N33" s="18"/>
      <c r="O33" s="19"/>
      <c r="P33" s="25" t="str">
        <f>IF(F33="","",IF(O33="",IFERROR(INDEX(Catalogue!$G$6:$G$55,MATCH(F33,Catalogue!$B$6:$B$55,0)),0),O33))</f>
        <v/>
      </c>
      <c r="Q33" s="25" t="str">
        <f>IF(F33="","",N(G33)*(IFERROR(INDEX(Catalogue!$E$6:$E$55,MATCH(F33,Catalogue!$B$6:$B$55,0)),0)+IFERROR(INDEX(Catalogue!$F$6:$F$55,MATCH(F33,Catalogue!$B$6:$B$55,0)),0)+IFERROR(INDEX(Catalogue!$H$6:$H$55,MATCH(F33,Catalogue!$B$6:$B$55,0)),0)))</f>
        <v/>
      </c>
      <c r="R33" s="25" t="str">
        <f t="shared" si="2"/>
        <v/>
      </c>
      <c r="S33" s="18"/>
      <c r="T33" s="24" t="str">
        <f t="shared" si="3"/>
        <v/>
      </c>
      <c r="U33" s="28" t="str">
        <f>IF(D33="","",IF(COUNTIF(D$6:D33,D33)=1,"Nouveau","Fidèle"))</f>
        <v/>
      </c>
    </row>
    <row r="34" spans="1:21" x14ac:dyDescent="0.25">
      <c r="A34" s="41" t="str">
        <f t="shared" si="0"/>
        <v/>
      </c>
      <c r="B34" s="38"/>
      <c r="C34" s="18"/>
      <c r="D34" s="18"/>
      <c r="E34" s="18"/>
      <c r="F34" s="18"/>
      <c r="G34" s="20"/>
      <c r="H34" s="19"/>
      <c r="I34" s="25" t="str">
        <f>IF(F34="","",IF(H34="",IFERROR(INDEX(Catalogue!$I$6:$I$55,MATCH(F34,Catalogue!$B$6:$B$55,0)),0),H34))</f>
        <v/>
      </c>
      <c r="J34" s="19"/>
      <c r="K34" s="25" t="str">
        <f t="shared" si="1"/>
        <v/>
      </c>
      <c r="L34" s="18"/>
      <c r="M34" s="18"/>
      <c r="N34" s="18"/>
      <c r="O34" s="19"/>
      <c r="P34" s="25" t="str">
        <f>IF(F34="","",IF(O34="",IFERROR(INDEX(Catalogue!$G$6:$G$55,MATCH(F34,Catalogue!$B$6:$B$55,0)),0),O34))</f>
        <v/>
      </c>
      <c r="Q34" s="25" t="str">
        <f>IF(F34="","",N(G34)*(IFERROR(INDEX(Catalogue!$E$6:$E$55,MATCH(F34,Catalogue!$B$6:$B$55,0)),0)+IFERROR(INDEX(Catalogue!$F$6:$F$55,MATCH(F34,Catalogue!$B$6:$B$55,0)),0)+IFERROR(INDEX(Catalogue!$H$6:$H$55,MATCH(F34,Catalogue!$B$6:$B$55,0)),0)))</f>
        <v/>
      </c>
      <c r="R34" s="25" t="str">
        <f t="shared" si="2"/>
        <v/>
      </c>
      <c r="S34" s="18"/>
      <c r="T34" s="24" t="str">
        <f t="shared" si="3"/>
        <v/>
      </c>
      <c r="U34" s="28" t="str">
        <f>IF(D34="","",IF(COUNTIF(D$6:D34,D34)=1,"Nouveau","Fidèle"))</f>
        <v/>
      </c>
    </row>
    <row r="35" spans="1:21" x14ac:dyDescent="0.25">
      <c r="A35" s="41" t="str">
        <f t="shared" si="0"/>
        <v/>
      </c>
      <c r="B35" s="38"/>
      <c r="C35" s="18"/>
      <c r="D35" s="18"/>
      <c r="E35" s="18"/>
      <c r="F35" s="18"/>
      <c r="G35" s="20"/>
      <c r="H35" s="19"/>
      <c r="I35" s="25" t="str">
        <f>IF(F35="","",IF(H35="",IFERROR(INDEX(Catalogue!$I$6:$I$55,MATCH(F35,Catalogue!$B$6:$B$55,0)),0),H35))</f>
        <v/>
      </c>
      <c r="J35" s="19"/>
      <c r="K35" s="25" t="str">
        <f t="shared" si="1"/>
        <v/>
      </c>
      <c r="L35" s="18"/>
      <c r="M35" s="18"/>
      <c r="N35" s="18"/>
      <c r="O35" s="19"/>
      <c r="P35" s="25" t="str">
        <f>IF(F35="","",IF(O35="",IFERROR(INDEX(Catalogue!$G$6:$G$55,MATCH(F35,Catalogue!$B$6:$B$55,0)),0),O35))</f>
        <v/>
      </c>
      <c r="Q35" s="25" t="str">
        <f>IF(F35="","",N(G35)*(IFERROR(INDEX(Catalogue!$E$6:$E$55,MATCH(F35,Catalogue!$B$6:$B$55,0)),0)+IFERROR(INDEX(Catalogue!$F$6:$F$55,MATCH(F35,Catalogue!$B$6:$B$55,0)),0)+IFERROR(INDEX(Catalogue!$H$6:$H$55,MATCH(F35,Catalogue!$B$6:$B$55,0)),0)))</f>
        <v/>
      </c>
      <c r="R35" s="25" t="str">
        <f t="shared" si="2"/>
        <v/>
      </c>
      <c r="S35" s="18"/>
      <c r="T35" s="24" t="str">
        <f t="shared" si="3"/>
        <v/>
      </c>
      <c r="U35" s="28" t="str">
        <f>IF(D35="","",IF(COUNTIF(D$6:D35,D35)=1,"Nouveau","Fidèle"))</f>
        <v/>
      </c>
    </row>
    <row r="36" spans="1:21" x14ac:dyDescent="0.25">
      <c r="A36" s="41" t="str">
        <f t="shared" si="0"/>
        <v/>
      </c>
      <c r="B36" s="38"/>
      <c r="C36" s="18"/>
      <c r="D36" s="18"/>
      <c r="E36" s="18"/>
      <c r="F36" s="18"/>
      <c r="G36" s="20"/>
      <c r="H36" s="19"/>
      <c r="I36" s="25" t="str">
        <f>IF(F36="","",IF(H36="",IFERROR(INDEX(Catalogue!$I$6:$I$55,MATCH(F36,Catalogue!$B$6:$B$55,0)),0),H36))</f>
        <v/>
      </c>
      <c r="J36" s="19"/>
      <c r="K36" s="25" t="str">
        <f t="shared" si="1"/>
        <v/>
      </c>
      <c r="L36" s="18"/>
      <c r="M36" s="18"/>
      <c r="N36" s="18"/>
      <c r="O36" s="19"/>
      <c r="P36" s="25" t="str">
        <f>IF(F36="","",IF(O36="",IFERROR(INDEX(Catalogue!$G$6:$G$55,MATCH(F36,Catalogue!$B$6:$B$55,0)),0),O36))</f>
        <v/>
      </c>
      <c r="Q36" s="25" t="str">
        <f>IF(F36="","",N(G36)*(IFERROR(INDEX(Catalogue!$E$6:$E$55,MATCH(F36,Catalogue!$B$6:$B$55,0)),0)+IFERROR(INDEX(Catalogue!$F$6:$F$55,MATCH(F36,Catalogue!$B$6:$B$55,0)),0)+IFERROR(INDEX(Catalogue!$H$6:$H$55,MATCH(F36,Catalogue!$B$6:$B$55,0)),0)))</f>
        <v/>
      </c>
      <c r="R36" s="25" t="str">
        <f t="shared" si="2"/>
        <v/>
      </c>
      <c r="S36" s="18"/>
      <c r="T36" s="24" t="str">
        <f t="shared" si="3"/>
        <v/>
      </c>
      <c r="U36" s="28" t="str">
        <f>IF(D36="","",IF(COUNTIF(D$6:D36,D36)=1,"Nouveau","Fidèle"))</f>
        <v/>
      </c>
    </row>
    <row r="37" spans="1:21" x14ac:dyDescent="0.25">
      <c r="A37" s="41" t="str">
        <f t="shared" si="0"/>
        <v/>
      </c>
      <c r="B37" s="38"/>
      <c r="C37" s="18"/>
      <c r="D37" s="18"/>
      <c r="E37" s="18"/>
      <c r="F37" s="18"/>
      <c r="G37" s="20"/>
      <c r="H37" s="19"/>
      <c r="I37" s="25" t="str">
        <f>IF(F37="","",IF(H37="",IFERROR(INDEX(Catalogue!$I$6:$I$55,MATCH(F37,Catalogue!$B$6:$B$55,0)),0),H37))</f>
        <v/>
      </c>
      <c r="J37" s="19"/>
      <c r="K37" s="25" t="str">
        <f t="shared" si="1"/>
        <v/>
      </c>
      <c r="L37" s="18"/>
      <c r="M37" s="18"/>
      <c r="N37" s="18"/>
      <c r="O37" s="19"/>
      <c r="P37" s="25" t="str">
        <f>IF(F37="","",IF(O37="",IFERROR(INDEX(Catalogue!$G$6:$G$55,MATCH(F37,Catalogue!$B$6:$B$55,0)),0),O37))</f>
        <v/>
      </c>
      <c r="Q37" s="25" t="str">
        <f>IF(F37="","",N(G37)*(IFERROR(INDEX(Catalogue!$E$6:$E$55,MATCH(F37,Catalogue!$B$6:$B$55,0)),0)+IFERROR(INDEX(Catalogue!$F$6:$F$55,MATCH(F37,Catalogue!$B$6:$B$55,0)),0)+IFERROR(INDEX(Catalogue!$H$6:$H$55,MATCH(F37,Catalogue!$B$6:$B$55,0)),0)))</f>
        <v/>
      </c>
      <c r="R37" s="25" t="str">
        <f t="shared" si="2"/>
        <v/>
      </c>
      <c r="S37" s="18"/>
      <c r="T37" s="24" t="str">
        <f t="shared" si="3"/>
        <v/>
      </c>
      <c r="U37" s="28" t="str">
        <f>IF(D37="","",IF(COUNTIF(D$6:D37,D37)=1,"Nouveau","Fidèle"))</f>
        <v/>
      </c>
    </row>
    <row r="38" spans="1:21" x14ac:dyDescent="0.25">
      <c r="A38" s="41" t="str">
        <f t="shared" si="0"/>
        <v/>
      </c>
      <c r="B38" s="38"/>
      <c r="C38" s="18"/>
      <c r="D38" s="18"/>
      <c r="E38" s="18"/>
      <c r="F38" s="18"/>
      <c r="G38" s="20"/>
      <c r="H38" s="19"/>
      <c r="I38" s="25" t="str">
        <f>IF(F38="","",IF(H38="",IFERROR(INDEX(Catalogue!$I$6:$I$55,MATCH(F38,Catalogue!$B$6:$B$55,0)),0),H38))</f>
        <v/>
      </c>
      <c r="J38" s="19"/>
      <c r="K38" s="25" t="str">
        <f t="shared" si="1"/>
        <v/>
      </c>
      <c r="L38" s="18"/>
      <c r="M38" s="18"/>
      <c r="N38" s="18"/>
      <c r="O38" s="19"/>
      <c r="P38" s="25" t="str">
        <f>IF(F38="","",IF(O38="",IFERROR(INDEX(Catalogue!$G$6:$G$55,MATCH(F38,Catalogue!$B$6:$B$55,0)),0),O38))</f>
        <v/>
      </c>
      <c r="Q38" s="25" t="str">
        <f>IF(F38="","",N(G38)*(IFERROR(INDEX(Catalogue!$E$6:$E$55,MATCH(F38,Catalogue!$B$6:$B$55,0)),0)+IFERROR(INDEX(Catalogue!$F$6:$F$55,MATCH(F38,Catalogue!$B$6:$B$55,0)),0)+IFERROR(INDEX(Catalogue!$H$6:$H$55,MATCH(F38,Catalogue!$B$6:$B$55,0)),0)))</f>
        <v/>
      </c>
      <c r="R38" s="25" t="str">
        <f t="shared" si="2"/>
        <v/>
      </c>
      <c r="S38" s="18"/>
      <c r="T38" s="24" t="str">
        <f t="shared" si="3"/>
        <v/>
      </c>
      <c r="U38" s="28" t="str">
        <f>IF(D38="","",IF(COUNTIF(D$6:D38,D38)=1,"Nouveau","Fidèle"))</f>
        <v/>
      </c>
    </row>
    <row r="39" spans="1:21" x14ac:dyDescent="0.25">
      <c r="A39" s="41" t="str">
        <f t="shared" si="0"/>
        <v/>
      </c>
      <c r="B39" s="38"/>
      <c r="C39" s="18"/>
      <c r="D39" s="18"/>
      <c r="E39" s="18"/>
      <c r="F39" s="18"/>
      <c r="G39" s="20"/>
      <c r="H39" s="19"/>
      <c r="I39" s="25" t="str">
        <f>IF(F39="","",IF(H39="",IFERROR(INDEX(Catalogue!$I$6:$I$55,MATCH(F39,Catalogue!$B$6:$B$55,0)),0),H39))</f>
        <v/>
      </c>
      <c r="J39" s="19"/>
      <c r="K39" s="25" t="str">
        <f t="shared" si="1"/>
        <v/>
      </c>
      <c r="L39" s="18"/>
      <c r="M39" s="18"/>
      <c r="N39" s="18"/>
      <c r="O39" s="19"/>
      <c r="P39" s="25" t="str">
        <f>IF(F39="","",IF(O39="",IFERROR(INDEX(Catalogue!$G$6:$G$55,MATCH(F39,Catalogue!$B$6:$B$55,0)),0),O39))</f>
        <v/>
      </c>
      <c r="Q39" s="25" t="str">
        <f>IF(F39="","",N(G39)*(IFERROR(INDEX(Catalogue!$E$6:$E$55,MATCH(F39,Catalogue!$B$6:$B$55,0)),0)+IFERROR(INDEX(Catalogue!$F$6:$F$55,MATCH(F39,Catalogue!$B$6:$B$55,0)),0)+IFERROR(INDEX(Catalogue!$H$6:$H$55,MATCH(F39,Catalogue!$B$6:$B$55,0)),0)))</f>
        <v/>
      </c>
      <c r="R39" s="25" t="str">
        <f t="shared" si="2"/>
        <v/>
      </c>
      <c r="S39" s="18"/>
      <c r="T39" s="24" t="str">
        <f t="shared" si="3"/>
        <v/>
      </c>
      <c r="U39" s="28" t="str">
        <f>IF(D39="","",IF(COUNTIF(D$6:D39,D39)=1,"Nouveau","Fidèle"))</f>
        <v/>
      </c>
    </row>
    <row r="40" spans="1:21" x14ac:dyDescent="0.25">
      <c r="A40" s="41" t="str">
        <f t="shared" si="0"/>
        <v/>
      </c>
      <c r="B40" s="38"/>
      <c r="C40" s="18"/>
      <c r="D40" s="18"/>
      <c r="E40" s="18"/>
      <c r="F40" s="18"/>
      <c r="G40" s="20"/>
      <c r="H40" s="19"/>
      <c r="I40" s="25" t="str">
        <f>IF(F40="","",IF(H40="",IFERROR(INDEX(Catalogue!$I$6:$I$55,MATCH(F40,Catalogue!$B$6:$B$55,0)),0),H40))</f>
        <v/>
      </c>
      <c r="J40" s="19"/>
      <c r="K40" s="25" t="str">
        <f t="shared" si="1"/>
        <v/>
      </c>
      <c r="L40" s="18"/>
      <c r="M40" s="18"/>
      <c r="N40" s="18"/>
      <c r="O40" s="19"/>
      <c r="P40" s="25" t="str">
        <f>IF(F40="","",IF(O40="",IFERROR(INDEX(Catalogue!$G$6:$G$55,MATCH(F40,Catalogue!$B$6:$B$55,0)),0),O40))</f>
        <v/>
      </c>
      <c r="Q40" s="25" t="str">
        <f>IF(F40="","",N(G40)*(IFERROR(INDEX(Catalogue!$E$6:$E$55,MATCH(F40,Catalogue!$B$6:$B$55,0)),0)+IFERROR(INDEX(Catalogue!$F$6:$F$55,MATCH(F40,Catalogue!$B$6:$B$55,0)),0)+IFERROR(INDEX(Catalogue!$H$6:$H$55,MATCH(F40,Catalogue!$B$6:$B$55,0)),0)))</f>
        <v/>
      </c>
      <c r="R40" s="25" t="str">
        <f t="shared" si="2"/>
        <v/>
      </c>
      <c r="S40" s="18"/>
      <c r="T40" s="24" t="str">
        <f t="shared" si="3"/>
        <v/>
      </c>
      <c r="U40" s="28" t="str">
        <f>IF(D40="","",IF(COUNTIF(D$6:D40,D40)=1,"Nouveau","Fidèle"))</f>
        <v/>
      </c>
    </row>
    <row r="41" spans="1:21" x14ac:dyDescent="0.25">
      <c r="A41" s="41" t="str">
        <f t="shared" si="0"/>
        <v/>
      </c>
      <c r="B41" s="38"/>
      <c r="C41" s="18"/>
      <c r="D41" s="18"/>
      <c r="E41" s="18"/>
      <c r="F41" s="18"/>
      <c r="G41" s="20"/>
      <c r="H41" s="19"/>
      <c r="I41" s="25" t="str">
        <f>IF(F41="","",IF(H41="",IFERROR(INDEX(Catalogue!$I$6:$I$55,MATCH(F41,Catalogue!$B$6:$B$55,0)),0),H41))</f>
        <v/>
      </c>
      <c r="J41" s="19"/>
      <c r="K41" s="25" t="str">
        <f t="shared" si="1"/>
        <v/>
      </c>
      <c r="L41" s="18"/>
      <c r="M41" s="18"/>
      <c r="N41" s="18"/>
      <c r="O41" s="19"/>
      <c r="P41" s="25" t="str">
        <f>IF(F41="","",IF(O41="",IFERROR(INDEX(Catalogue!$G$6:$G$55,MATCH(F41,Catalogue!$B$6:$B$55,0)),0),O41))</f>
        <v/>
      </c>
      <c r="Q41" s="25" t="str">
        <f>IF(F41="","",N(G41)*(IFERROR(INDEX(Catalogue!$E$6:$E$55,MATCH(F41,Catalogue!$B$6:$B$55,0)),0)+IFERROR(INDEX(Catalogue!$F$6:$F$55,MATCH(F41,Catalogue!$B$6:$B$55,0)),0)+IFERROR(INDEX(Catalogue!$H$6:$H$55,MATCH(F41,Catalogue!$B$6:$B$55,0)),0)))</f>
        <v/>
      </c>
      <c r="R41" s="25" t="str">
        <f t="shared" si="2"/>
        <v/>
      </c>
      <c r="S41" s="18"/>
      <c r="T41" s="24" t="str">
        <f t="shared" si="3"/>
        <v/>
      </c>
      <c r="U41" s="28" t="str">
        <f>IF(D41="","",IF(COUNTIF(D$6:D41,D41)=1,"Nouveau","Fidèle"))</f>
        <v/>
      </c>
    </row>
    <row r="42" spans="1:21" x14ac:dyDescent="0.25">
      <c r="A42" s="41" t="str">
        <f t="shared" si="0"/>
        <v/>
      </c>
      <c r="B42" s="38"/>
      <c r="C42" s="18"/>
      <c r="D42" s="18"/>
      <c r="E42" s="18"/>
      <c r="F42" s="18"/>
      <c r="G42" s="20"/>
      <c r="H42" s="19"/>
      <c r="I42" s="25" t="str">
        <f>IF(F42="","",IF(H42="",IFERROR(INDEX(Catalogue!$I$6:$I$55,MATCH(F42,Catalogue!$B$6:$B$55,0)),0),H42))</f>
        <v/>
      </c>
      <c r="J42" s="19"/>
      <c r="K42" s="25" t="str">
        <f t="shared" si="1"/>
        <v/>
      </c>
      <c r="L42" s="18"/>
      <c r="M42" s="18"/>
      <c r="N42" s="18"/>
      <c r="O42" s="19"/>
      <c r="P42" s="25" t="str">
        <f>IF(F42="","",IF(O42="",IFERROR(INDEX(Catalogue!$G$6:$G$55,MATCH(F42,Catalogue!$B$6:$B$55,0)),0),O42))</f>
        <v/>
      </c>
      <c r="Q42" s="25" t="str">
        <f>IF(F42="","",N(G42)*(IFERROR(INDEX(Catalogue!$E$6:$E$55,MATCH(F42,Catalogue!$B$6:$B$55,0)),0)+IFERROR(INDEX(Catalogue!$F$6:$F$55,MATCH(F42,Catalogue!$B$6:$B$55,0)),0)+IFERROR(INDEX(Catalogue!$H$6:$H$55,MATCH(F42,Catalogue!$B$6:$B$55,0)),0)))</f>
        <v/>
      </c>
      <c r="R42" s="25" t="str">
        <f t="shared" si="2"/>
        <v/>
      </c>
      <c r="S42" s="18"/>
      <c r="T42" s="24" t="str">
        <f t="shared" si="3"/>
        <v/>
      </c>
      <c r="U42" s="28" t="str">
        <f>IF(D42="","",IF(COUNTIF(D$6:D42,D42)=1,"Nouveau","Fidèle"))</f>
        <v/>
      </c>
    </row>
    <row r="43" spans="1:21" x14ac:dyDescent="0.25">
      <c r="A43" s="41" t="str">
        <f t="shared" si="0"/>
        <v/>
      </c>
      <c r="B43" s="38"/>
      <c r="C43" s="18"/>
      <c r="D43" s="18"/>
      <c r="E43" s="18"/>
      <c r="F43" s="18"/>
      <c r="G43" s="20"/>
      <c r="H43" s="19"/>
      <c r="I43" s="25" t="str">
        <f>IF(F43="","",IF(H43="",IFERROR(INDEX(Catalogue!$I$6:$I$55,MATCH(F43,Catalogue!$B$6:$B$55,0)),0),H43))</f>
        <v/>
      </c>
      <c r="J43" s="19"/>
      <c r="K43" s="25" t="str">
        <f t="shared" si="1"/>
        <v/>
      </c>
      <c r="L43" s="18"/>
      <c r="M43" s="18"/>
      <c r="N43" s="18"/>
      <c r="O43" s="19"/>
      <c r="P43" s="25" t="str">
        <f>IF(F43="","",IF(O43="",IFERROR(INDEX(Catalogue!$G$6:$G$55,MATCH(F43,Catalogue!$B$6:$B$55,0)),0),O43))</f>
        <v/>
      </c>
      <c r="Q43" s="25" t="str">
        <f>IF(F43="","",N(G43)*(IFERROR(INDEX(Catalogue!$E$6:$E$55,MATCH(F43,Catalogue!$B$6:$B$55,0)),0)+IFERROR(INDEX(Catalogue!$F$6:$F$55,MATCH(F43,Catalogue!$B$6:$B$55,0)),0)+IFERROR(INDEX(Catalogue!$H$6:$H$55,MATCH(F43,Catalogue!$B$6:$B$55,0)),0)))</f>
        <v/>
      </c>
      <c r="R43" s="25" t="str">
        <f t="shared" si="2"/>
        <v/>
      </c>
      <c r="S43" s="18"/>
      <c r="T43" s="24" t="str">
        <f t="shared" si="3"/>
        <v/>
      </c>
      <c r="U43" s="28" t="str">
        <f>IF(D43="","",IF(COUNTIF(D$6:D43,D43)=1,"Nouveau","Fidèle"))</f>
        <v/>
      </c>
    </row>
    <row r="44" spans="1:21" x14ac:dyDescent="0.25">
      <c r="A44" s="41" t="str">
        <f t="shared" si="0"/>
        <v/>
      </c>
      <c r="B44" s="38"/>
      <c r="C44" s="18"/>
      <c r="D44" s="18"/>
      <c r="E44" s="18"/>
      <c r="F44" s="18"/>
      <c r="G44" s="20"/>
      <c r="H44" s="19"/>
      <c r="I44" s="25" t="str">
        <f>IF(F44="","",IF(H44="",IFERROR(INDEX(Catalogue!$I$6:$I$55,MATCH(F44,Catalogue!$B$6:$B$55,0)),0),H44))</f>
        <v/>
      </c>
      <c r="J44" s="19"/>
      <c r="K44" s="25" t="str">
        <f t="shared" si="1"/>
        <v/>
      </c>
      <c r="L44" s="18"/>
      <c r="M44" s="18"/>
      <c r="N44" s="18"/>
      <c r="O44" s="19"/>
      <c r="P44" s="25" t="str">
        <f>IF(F44="","",IF(O44="",IFERROR(INDEX(Catalogue!$G$6:$G$55,MATCH(F44,Catalogue!$B$6:$B$55,0)),0),O44))</f>
        <v/>
      </c>
      <c r="Q44" s="25" t="str">
        <f>IF(F44="","",N(G44)*(IFERROR(INDEX(Catalogue!$E$6:$E$55,MATCH(F44,Catalogue!$B$6:$B$55,0)),0)+IFERROR(INDEX(Catalogue!$F$6:$F$55,MATCH(F44,Catalogue!$B$6:$B$55,0)),0)+IFERROR(INDEX(Catalogue!$H$6:$H$55,MATCH(F44,Catalogue!$B$6:$B$55,0)),0)))</f>
        <v/>
      </c>
      <c r="R44" s="25" t="str">
        <f t="shared" si="2"/>
        <v/>
      </c>
      <c r="S44" s="18"/>
      <c r="T44" s="24" t="str">
        <f t="shared" si="3"/>
        <v/>
      </c>
      <c r="U44" s="28" t="str">
        <f>IF(D44="","",IF(COUNTIF(D$6:D44,D44)=1,"Nouveau","Fidèle"))</f>
        <v/>
      </c>
    </row>
    <row r="45" spans="1:21" x14ac:dyDescent="0.25">
      <c r="A45" s="41" t="str">
        <f t="shared" si="0"/>
        <v/>
      </c>
      <c r="B45" s="38"/>
      <c r="C45" s="18"/>
      <c r="D45" s="18"/>
      <c r="E45" s="18"/>
      <c r="F45" s="18"/>
      <c r="G45" s="20"/>
      <c r="H45" s="19"/>
      <c r="I45" s="25" t="str">
        <f>IF(F45="","",IF(H45="",IFERROR(INDEX(Catalogue!$I$6:$I$55,MATCH(F45,Catalogue!$B$6:$B$55,0)),0),H45))</f>
        <v/>
      </c>
      <c r="J45" s="19"/>
      <c r="K45" s="25" t="str">
        <f t="shared" si="1"/>
        <v/>
      </c>
      <c r="L45" s="18"/>
      <c r="M45" s="18"/>
      <c r="N45" s="18"/>
      <c r="O45" s="19"/>
      <c r="P45" s="25" t="str">
        <f>IF(F45="","",IF(O45="",IFERROR(INDEX(Catalogue!$G$6:$G$55,MATCH(F45,Catalogue!$B$6:$B$55,0)),0),O45))</f>
        <v/>
      </c>
      <c r="Q45" s="25" t="str">
        <f>IF(F45="","",N(G45)*(IFERROR(INDEX(Catalogue!$E$6:$E$55,MATCH(F45,Catalogue!$B$6:$B$55,0)),0)+IFERROR(INDEX(Catalogue!$F$6:$F$55,MATCH(F45,Catalogue!$B$6:$B$55,0)),0)+IFERROR(INDEX(Catalogue!$H$6:$H$55,MATCH(F45,Catalogue!$B$6:$B$55,0)),0)))</f>
        <v/>
      </c>
      <c r="R45" s="25" t="str">
        <f t="shared" si="2"/>
        <v/>
      </c>
      <c r="S45" s="18"/>
      <c r="T45" s="24" t="str">
        <f t="shared" si="3"/>
        <v/>
      </c>
      <c r="U45" s="28" t="str">
        <f>IF(D45="","",IF(COUNTIF(D$6:D45,D45)=1,"Nouveau","Fidèle"))</f>
        <v/>
      </c>
    </row>
    <row r="46" spans="1:21" x14ac:dyDescent="0.25">
      <c r="A46" s="41" t="str">
        <f t="shared" si="0"/>
        <v/>
      </c>
      <c r="B46" s="38"/>
      <c r="C46" s="18"/>
      <c r="D46" s="18"/>
      <c r="E46" s="18"/>
      <c r="F46" s="18"/>
      <c r="G46" s="20"/>
      <c r="H46" s="19"/>
      <c r="I46" s="25" t="str">
        <f>IF(F46="","",IF(H46="",IFERROR(INDEX(Catalogue!$I$6:$I$55,MATCH(F46,Catalogue!$B$6:$B$55,0)),0),H46))</f>
        <v/>
      </c>
      <c r="J46" s="19"/>
      <c r="K46" s="25" t="str">
        <f t="shared" si="1"/>
        <v/>
      </c>
      <c r="L46" s="18"/>
      <c r="M46" s="18"/>
      <c r="N46" s="18"/>
      <c r="O46" s="19"/>
      <c r="P46" s="25" t="str">
        <f>IF(F46="","",IF(O46="",IFERROR(INDEX(Catalogue!$G$6:$G$55,MATCH(F46,Catalogue!$B$6:$B$55,0)),0),O46))</f>
        <v/>
      </c>
      <c r="Q46" s="25" t="str">
        <f>IF(F46="","",N(G46)*(IFERROR(INDEX(Catalogue!$E$6:$E$55,MATCH(F46,Catalogue!$B$6:$B$55,0)),0)+IFERROR(INDEX(Catalogue!$F$6:$F$55,MATCH(F46,Catalogue!$B$6:$B$55,0)),0)+IFERROR(INDEX(Catalogue!$H$6:$H$55,MATCH(F46,Catalogue!$B$6:$B$55,0)),0)))</f>
        <v/>
      </c>
      <c r="R46" s="25" t="str">
        <f t="shared" si="2"/>
        <v/>
      </c>
      <c r="S46" s="18"/>
      <c r="T46" s="24" t="str">
        <f t="shared" si="3"/>
        <v/>
      </c>
      <c r="U46" s="28" t="str">
        <f>IF(D46="","",IF(COUNTIF(D$6:D46,D46)=1,"Nouveau","Fidèle"))</f>
        <v/>
      </c>
    </row>
    <row r="47" spans="1:21" x14ac:dyDescent="0.25">
      <c r="A47" s="41" t="str">
        <f t="shared" si="0"/>
        <v/>
      </c>
      <c r="B47" s="38"/>
      <c r="C47" s="18"/>
      <c r="D47" s="18"/>
      <c r="E47" s="18"/>
      <c r="F47" s="18"/>
      <c r="G47" s="20"/>
      <c r="H47" s="19"/>
      <c r="I47" s="25" t="str">
        <f>IF(F47="","",IF(H47="",IFERROR(INDEX(Catalogue!$I$6:$I$55,MATCH(F47,Catalogue!$B$6:$B$55,0)),0),H47))</f>
        <v/>
      </c>
      <c r="J47" s="19"/>
      <c r="K47" s="25" t="str">
        <f t="shared" si="1"/>
        <v/>
      </c>
      <c r="L47" s="18"/>
      <c r="M47" s="18"/>
      <c r="N47" s="18"/>
      <c r="O47" s="19"/>
      <c r="P47" s="25" t="str">
        <f>IF(F47="","",IF(O47="",IFERROR(INDEX(Catalogue!$G$6:$G$55,MATCH(F47,Catalogue!$B$6:$B$55,0)),0),O47))</f>
        <v/>
      </c>
      <c r="Q47" s="25" t="str">
        <f>IF(F47="","",N(G47)*(IFERROR(INDEX(Catalogue!$E$6:$E$55,MATCH(F47,Catalogue!$B$6:$B$55,0)),0)+IFERROR(INDEX(Catalogue!$F$6:$F$55,MATCH(F47,Catalogue!$B$6:$B$55,0)),0)+IFERROR(INDEX(Catalogue!$H$6:$H$55,MATCH(F47,Catalogue!$B$6:$B$55,0)),0)))</f>
        <v/>
      </c>
      <c r="R47" s="25" t="str">
        <f t="shared" si="2"/>
        <v/>
      </c>
      <c r="S47" s="18"/>
      <c r="T47" s="24" t="str">
        <f t="shared" si="3"/>
        <v/>
      </c>
      <c r="U47" s="28" t="str">
        <f>IF(D47="","",IF(COUNTIF(D$6:D47,D47)=1,"Nouveau","Fidèle"))</f>
        <v/>
      </c>
    </row>
    <row r="48" spans="1:21" x14ac:dyDescent="0.25">
      <c r="A48" s="41" t="str">
        <f t="shared" si="0"/>
        <v/>
      </c>
      <c r="B48" s="38"/>
      <c r="C48" s="18"/>
      <c r="D48" s="18"/>
      <c r="E48" s="18"/>
      <c r="F48" s="18"/>
      <c r="G48" s="20"/>
      <c r="H48" s="19"/>
      <c r="I48" s="25" t="str">
        <f>IF(F48="","",IF(H48="",IFERROR(INDEX(Catalogue!$I$6:$I$55,MATCH(F48,Catalogue!$B$6:$B$55,0)),0),H48))</f>
        <v/>
      </c>
      <c r="J48" s="19"/>
      <c r="K48" s="25" t="str">
        <f t="shared" si="1"/>
        <v/>
      </c>
      <c r="L48" s="18"/>
      <c r="M48" s="18"/>
      <c r="N48" s="18"/>
      <c r="O48" s="19"/>
      <c r="P48" s="25" t="str">
        <f>IF(F48="","",IF(O48="",IFERROR(INDEX(Catalogue!$G$6:$G$55,MATCH(F48,Catalogue!$B$6:$B$55,0)),0),O48))</f>
        <v/>
      </c>
      <c r="Q48" s="25" t="str">
        <f>IF(F48="","",N(G48)*(IFERROR(INDEX(Catalogue!$E$6:$E$55,MATCH(F48,Catalogue!$B$6:$B$55,0)),0)+IFERROR(INDEX(Catalogue!$F$6:$F$55,MATCH(F48,Catalogue!$B$6:$B$55,0)),0)+IFERROR(INDEX(Catalogue!$H$6:$H$55,MATCH(F48,Catalogue!$B$6:$B$55,0)),0)))</f>
        <v/>
      </c>
      <c r="R48" s="25" t="str">
        <f t="shared" si="2"/>
        <v/>
      </c>
      <c r="S48" s="18"/>
      <c r="T48" s="24" t="str">
        <f t="shared" si="3"/>
        <v/>
      </c>
      <c r="U48" s="28" t="str">
        <f>IF(D48="","",IF(COUNTIF(D$6:D48,D48)=1,"Nouveau","Fidèle"))</f>
        <v/>
      </c>
    </row>
    <row r="49" spans="1:21" x14ac:dyDescent="0.25">
      <c r="A49" s="41" t="str">
        <f t="shared" si="0"/>
        <v/>
      </c>
      <c r="B49" s="38"/>
      <c r="C49" s="18"/>
      <c r="D49" s="18"/>
      <c r="E49" s="18"/>
      <c r="F49" s="18"/>
      <c r="G49" s="20"/>
      <c r="H49" s="19"/>
      <c r="I49" s="25" t="str">
        <f>IF(F49="","",IF(H49="",IFERROR(INDEX(Catalogue!$I$6:$I$55,MATCH(F49,Catalogue!$B$6:$B$55,0)),0),H49))</f>
        <v/>
      </c>
      <c r="J49" s="19"/>
      <c r="K49" s="25" t="str">
        <f t="shared" si="1"/>
        <v/>
      </c>
      <c r="L49" s="18"/>
      <c r="M49" s="18"/>
      <c r="N49" s="18"/>
      <c r="O49" s="19"/>
      <c r="P49" s="25" t="str">
        <f>IF(F49="","",IF(O49="",IFERROR(INDEX(Catalogue!$G$6:$G$55,MATCH(F49,Catalogue!$B$6:$B$55,0)),0),O49))</f>
        <v/>
      </c>
      <c r="Q49" s="25" t="str">
        <f>IF(F49="","",N(G49)*(IFERROR(INDEX(Catalogue!$E$6:$E$55,MATCH(F49,Catalogue!$B$6:$B$55,0)),0)+IFERROR(INDEX(Catalogue!$F$6:$F$55,MATCH(F49,Catalogue!$B$6:$B$55,0)),0)+IFERROR(INDEX(Catalogue!$H$6:$H$55,MATCH(F49,Catalogue!$B$6:$B$55,0)),0)))</f>
        <v/>
      </c>
      <c r="R49" s="25" t="str">
        <f t="shared" si="2"/>
        <v/>
      </c>
      <c r="S49" s="18"/>
      <c r="T49" s="24" t="str">
        <f t="shared" si="3"/>
        <v/>
      </c>
      <c r="U49" s="28" t="str">
        <f>IF(D49="","",IF(COUNTIF(D$6:D49,D49)=1,"Nouveau","Fidèle"))</f>
        <v/>
      </c>
    </row>
    <row r="50" spans="1:21" x14ac:dyDescent="0.25">
      <c r="A50" s="41" t="str">
        <f t="shared" si="0"/>
        <v/>
      </c>
      <c r="B50" s="38"/>
      <c r="C50" s="18"/>
      <c r="D50" s="18"/>
      <c r="E50" s="18"/>
      <c r="F50" s="18"/>
      <c r="G50" s="20"/>
      <c r="H50" s="19"/>
      <c r="I50" s="25" t="str">
        <f>IF(F50="","",IF(H50="",IFERROR(INDEX(Catalogue!$I$6:$I$55,MATCH(F50,Catalogue!$B$6:$B$55,0)),0),H50))</f>
        <v/>
      </c>
      <c r="J50" s="19"/>
      <c r="K50" s="25" t="str">
        <f t="shared" si="1"/>
        <v/>
      </c>
      <c r="L50" s="18"/>
      <c r="M50" s="18"/>
      <c r="N50" s="18"/>
      <c r="O50" s="19"/>
      <c r="P50" s="25" t="str">
        <f>IF(F50="","",IF(O50="",IFERROR(INDEX(Catalogue!$G$6:$G$55,MATCH(F50,Catalogue!$B$6:$B$55,0)),0),O50))</f>
        <v/>
      </c>
      <c r="Q50" s="25" t="str">
        <f>IF(F50="","",N(G50)*(IFERROR(INDEX(Catalogue!$E$6:$E$55,MATCH(F50,Catalogue!$B$6:$B$55,0)),0)+IFERROR(INDEX(Catalogue!$F$6:$F$55,MATCH(F50,Catalogue!$B$6:$B$55,0)),0)+IFERROR(INDEX(Catalogue!$H$6:$H$55,MATCH(F50,Catalogue!$B$6:$B$55,0)),0)))</f>
        <v/>
      </c>
      <c r="R50" s="25" t="str">
        <f t="shared" si="2"/>
        <v/>
      </c>
      <c r="S50" s="18"/>
      <c r="T50" s="24" t="str">
        <f t="shared" si="3"/>
        <v/>
      </c>
      <c r="U50" s="28" t="str">
        <f>IF(D50="","",IF(COUNTIF(D$6:D50,D50)=1,"Nouveau","Fidèle"))</f>
        <v/>
      </c>
    </row>
    <row r="51" spans="1:21" x14ac:dyDescent="0.25">
      <c r="A51" s="41" t="str">
        <f t="shared" si="0"/>
        <v/>
      </c>
      <c r="B51" s="38"/>
      <c r="C51" s="18"/>
      <c r="D51" s="18"/>
      <c r="E51" s="18"/>
      <c r="F51" s="18"/>
      <c r="G51" s="20"/>
      <c r="H51" s="19"/>
      <c r="I51" s="25" t="str">
        <f>IF(F51="","",IF(H51="",IFERROR(INDEX(Catalogue!$I$6:$I$55,MATCH(F51,Catalogue!$B$6:$B$55,0)),0),H51))</f>
        <v/>
      </c>
      <c r="J51" s="19"/>
      <c r="K51" s="25" t="str">
        <f t="shared" si="1"/>
        <v/>
      </c>
      <c r="L51" s="18"/>
      <c r="M51" s="18"/>
      <c r="N51" s="18"/>
      <c r="O51" s="19"/>
      <c r="P51" s="25" t="str">
        <f>IF(F51="","",IF(O51="",IFERROR(INDEX(Catalogue!$G$6:$G$55,MATCH(F51,Catalogue!$B$6:$B$55,0)),0),O51))</f>
        <v/>
      </c>
      <c r="Q51" s="25" t="str">
        <f>IF(F51="","",N(G51)*(IFERROR(INDEX(Catalogue!$E$6:$E$55,MATCH(F51,Catalogue!$B$6:$B$55,0)),0)+IFERROR(INDEX(Catalogue!$F$6:$F$55,MATCH(F51,Catalogue!$B$6:$B$55,0)),0)+IFERROR(INDEX(Catalogue!$H$6:$H$55,MATCH(F51,Catalogue!$B$6:$B$55,0)),0)))</f>
        <v/>
      </c>
      <c r="R51" s="25" t="str">
        <f t="shared" si="2"/>
        <v/>
      </c>
      <c r="S51" s="18"/>
      <c r="T51" s="24" t="str">
        <f t="shared" si="3"/>
        <v/>
      </c>
      <c r="U51" s="28" t="str">
        <f>IF(D51="","",IF(COUNTIF(D$6:D51,D51)=1,"Nouveau","Fidèle"))</f>
        <v/>
      </c>
    </row>
    <row r="52" spans="1:21" x14ac:dyDescent="0.25">
      <c r="A52" s="41" t="str">
        <f t="shared" si="0"/>
        <v/>
      </c>
      <c r="B52" s="38"/>
      <c r="C52" s="18"/>
      <c r="D52" s="18"/>
      <c r="E52" s="18"/>
      <c r="F52" s="18"/>
      <c r="G52" s="20"/>
      <c r="H52" s="19"/>
      <c r="I52" s="25" t="str">
        <f>IF(F52="","",IF(H52="",IFERROR(INDEX(Catalogue!$I$6:$I$55,MATCH(F52,Catalogue!$B$6:$B$55,0)),0),H52))</f>
        <v/>
      </c>
      <c r="J52" s="19"/>
      <c r="K52" s="25" t="str">
        <f t="shared" si="1"/>
        <v/>
      </c>
      <c r="L52" s="18"/>
      <c r="M52" s="18"/>
      <c r="N52" s="18"/>
      <c r="O52" s="19"/>
      <c r="P52" s="25" t="str">
        <f>IF(F52="","",IF(O52="",IFERROR(INDEX(Catalogue!$G$6:$G$55,MATCH(F52,Catalogue!$B$6:$B$55,0)),0),O52))</f>
        <v/>
      </c>
      <c r="Q52" s="25" t="str">
        <f>IF(F52="","",N(G52)*(IFERROR(INDEX(Catalogue!$E$6:$E$55,MATCH(F52,Catalogue!$B$6:$B$55,0)),0)+IFERROR(INDEX(Catalogue!$F$6:$F$55,MATCH(F52,Catalogue!$B$6:$B$55,0)),0)+IFERROR(INDEX(Catalogue!$H$6:$H$55,MATCH(F52,Catalogue!$B$6:$B$55,0)),0)))</f>
        <v/>
      </c>
      <c r="R52" s="25" t="str">
        <f t="shared" si="2"/>
        <v/>
      </c>
      <c r="S52" s="18"/>
      <c r="T52" s="24" t="str">
        <f t="shared" si="3"/>
        <v/>
      </c>
      <c r="U52" s="28" t="str">
        <f>IF(D52="","",IF(COUNTIF(D$6:D52,D52)=1,"Nouveau","Fidèle"))</f>
        <v/>
      </c>
    </row>
    <row r="53" spans="1:21" x14ac:dyDescent="0.25">
      <c r="A53" s="41" t="str">
        <f t="shared" si="0"/>
        <v/>
      </c>
      <c r="B53" s="38"/>
      <c r="C53" s="18"/>
      <c r="D53" s="18"/>
      <c r="E53" s="18"/>
      <c r="F53" s="18"/>
      <c r="G53" s="20"/>
      <c r="H53" s="19"/>
      <c r="I53" s="25" t="str">
        <f>IF(F53="","",IF(H53="",IFERROR(INDEX(Catalogue!$I$6:$I$55,MATCH(F53,Catalogue!$B$6:$B$55,0)),0),H53))</f>
        <v/>
      </c>
      <c r="J53" s="19"/>
      <c r="K53" s="25" t="str">
        <f t="shared" si="1"/>
        <v/>
      </c>
      <c r="L53" s="18"/>
      <c r="M53" s="18"/>
      <c r="N53" s="18"/>
      <c r="O53" s="19"/>
      <c r="P53" s="25" t="str">
        <f>IF(F53="","",IF(O53="",IFERROR(INDEX(Catalogue!$G$6:$G$55,MATCH(F53,Catalogue!$B$6:$B$55,0)),0),O53))</f>
        <v/>
      </c>
      <c r="Q53" s="25" t="str">
        <f>IF(F53="","",N(G53)*(IFERROR(INDEX(Catalogue!$E$6:$E$55,MATCH(F53,Catalogue!$B$6:$B$55,0)),0)+IFERROR(INDEX(Catalogue!$F$6:$F$55,MATCH(F53,Catalogue!$B$6:$B$55,0)),0)+IFERROR(INDEX(Catalogue!$H$6:$H$55,MATCH(F53,Catalogue!$B$6:$B$55,0)),0)))</f>
        <v/>
      </c>
      <c r="R53" s="25" t="str">
        <f t="shared" si="2"/>
        <v/>
      </c>
      <c r="S53" s="18"/>
      <c r="T53" s="24" t="str">
        <f t="shared" si="3"/>
        <v/>
      </c>
      <c r="U53" s="28" t="str">
        <f>IF(D53="","",IF(COUNTIF(D$6:D53,D53)=1,"Nouveau","Fidèle"))</f>
        <v/>
      </c>
    </row>
    <row r="54" spans="1:21" x14ac:dyDescent="0.25">
      <c r="A54" s="41" t="str">
        <f t="shared" si="0"/>
        <v/>
      </c>
      <c r="B54" s="38"/>
      <c r="C54" s="18"/>
      <c r="D54" s="18"/>
      <c r="E54" s="18"/>
      <c r="F54" s="18"/>
      <c r="G54" s="20"/>
      <c r="H54" s="19"/>
      <c r="I54" s="25" t="str">
        <f>IF(F54="","",IF(H54="",IFERROR(INDEX(Catalogue!$I$6:$I$55,MATCH(F54,Catalogue!$B$6:$B$55,0)),0),H54))</f>
        <v/>
      </c>
      <c r="J54" s="19"/>
      <c r="K54" s="25" t="str">
        <f t="shared" si="1"/>
        <v/>
      </c>
      <c r="L54" s="18"/>
      <c r="M54" s="18"/>
      <c r="N54" s="18"/>
      <c r="O54" s="19"/>
      <c r="P54" s="25" t="str">
        <f>IF(F54="","",IF(O54="",IFERROR(INDEX(Catalogue!$G$6:$G$55,MATCH(F54,Catalogue!$B$6:$B$55,0)),0),O54))</f>
        <v/>
      </c>
      <c r="Q54" s="25" t="str">
        <f>IF(F54="","",N(G54)*(IFERROR(INDEX(Catalogue!$E$6:$E$55,MATCH(F54,Catalogue!$B$6:$B$55,0)),0)+IFERROR(INDEX(Catalogue!$F$6:$F$55,MATCH(F54,Catalogue!$B$6:$B$55,0)),0)+IFERROR(INDEX(Catalogue!$H$6:$H$55,MATCH(F54,Catalogue!$B$6:$B$55,0)),0)))</f>
        <v/>
      </c>
      <c r="R54" s="25" t="str">
        <f t="shared" si="2"/>
        <v/>
      </c>
      <c r="S54" s="18"/>
      <c r="T54" s="24" t="str">
        <f t="shared" si="3"/>
        <v/>
      </c>
      <c r="U54" s="28" t="str">
        <f>IF(D54="","",IF(COUNTIF(D$6:D54,D54)=1,"Nouveau","Fidèle"))</f>
        <v/>
      </c>
    </row>
    <row r="55" spans="1:21" x14ac:dyDescent="0.25">
      <c r="A55" s="41" t="str">
        <f t="shared" si="0"/>
        <v/>
      </c>
      <c r="B55" s="38"/>
      <c r="C55" s="18"/>
      <c r="D55" s="18"/>
      <c r="E55" s="18"/>
      <c r="F55" s="18"/>
      <c r="G55" s="20"/>
      <c r="H55" s="19"/>
      <c r="I55" s="25" t="str">
        <f>IF(F55="","",IF(H55="",IFERROR(INDEX(Catalogue!$I$6:$I$55,MATCH(F55,Catalogue!$B$6:$B$55,0)),0),H55))</f>
        <v/>
      </c>
      <c r="J55" s="19"/>
      <c r="K55" s="25" t="str">
        <f t="shared" si="1"/>
        <v/>
      </c>
      <c r="L55" s="18"/>
      <c r="M55" s="18"/>
      <c r="N55" s="18"/>
      <c r="O55" s="19"/>
      <c r="P55" s="25" t="str">
        <f>IF(F55="","",IF(O55="",IFERROR(INDEX(Catalogue!$G$6:$G$55,MATCH(F55,Catalogue!$B$6:$B$55,0)),0),O55))</f>
        <v/>
      </c>
      <c r="Q55" s="25" t="str">
        <f>IF(F55="","",N(G55)*(IFERROR(INDEX(Catalogue!$E$6:$E$55,MATCH(F55,Catalogue!$B$6:$B$55,0)),0)+IFERROR(INDEX(Catalogue!$F$6:$F$55,MATCH(F55,Catalogue!$B$6:$B$55,0)),0)+IFERROR(INDEX(Catalogue!$H$6:$H$55,MATCH(F55,Catalogue!$B$6:$B$55,0)),0)))</f>
        <v/>
      </c>
      <c r="R55" s="25" t="str">
        <f t="shared" si="2"/>
        <v/>
      </c>
      <c r="S55" s="18"/>
      <c r="T55" s="24" t="str">
        <f t="shared" si="3"/>
        <v/>
      </c>
      <c r="U55" s="28" t="str">
        <f>IF(D55="","",IF(COUNTIF(D$6:D55,D55)=1,"Nouveau","Fidèle"))</f>
        <v/>
      </c>
    </row>
    <row r="56" spans="1:21" x14ac:dyDescent="0.25">
      <c r="A56" s="41" t="str">
        <f t="shared" si="0"/>
        <v/>
      </c>
      <c r="B56" s="38"/>
      <c r="C56" s="18"/>
      <c r="D56" s="18"/>
      <c r="E56" s="18"/>
      <c r="F56" s="18"/>
      <c r="G56" s="20"/>
      <c r="H56" s="19"/>
      <c r="I56" s="25" t="str">
        <f>IF(F56="","",IF(H56="",IFERROR(INDEX(Catalogue!$I$6:$I$55,MATCH(F56,Catalogue!$B$6:$B$55,0)),0),H56))</f>
        <v/>
      </c>
      <c r="J56" s="19"/>
      <c r="K56" s="25" t="str">
        <f t="shared" si="1"/>
        <v/>
      </c>
      <c r="L56" s="18"/>
      <c r="M56" s="18"/>
      <c r="N56" s="18"/>
      <c r="O56" s="19"/>
      <c r="P56" s="25" t="str">
        <f>IF(F56="","",IF(O56="",IFERROR(INDEX(Catalogue!$G$6:$G$55,MATCH(F56,Catalogue!$B$6:$B$55,0)),0),O56))</f>
        <v/>
      </c>
      <c r="Q56" s="25" t="str">
        <f>IF(F56="","",N(G56)*(IFERROR(INDEX(Catalogue!$E$6:$E$55,MATCH(F56,Catalogue!$B$6:$B$55,0)),0)+IFERROR(INDEX(Catalogue!$F$6:$F$55,MATCH(F56,Catalogue!$B$6:$B$55,0)),0)+IFERROR(INDEX(Catalogue!$H$6:$H$55,MATCH(F56,Catalogue!$B$6:$B$55,0)),0)))</f>
        <v/>
      </c>
      <c r="R56" s="25" t="str">
        <f t="shared" si="2"/>
        <v/>
      </c>
      <c r="S56" s="18"/>
      <c r="T56" s="24" t="str">
        <f t="shared" si="3"/>
        <v/>
      </c>
      <c r="U56" s="28" t="str">
        <f>IF(D56="","",IF(COUNTIF(D$6:D56,D56)=1,"Nouveau","Fidèle"))</f>
        <v/>
      </c>
    </row>
    <row r="57" spans="1:21" x14ac:dyDescent="0.25">
      <c r="A57" s="41" t="str">
        <f t="shared" si="0"/>
        <v/>
      </c>
      <c r="B57" s="38"/>
      <c r="C57" s="18"/>
      <c r="D57" s="18"/>
      <c r="E57" s="18"/>
      <c r="F57" s="18"/>
      <c r="G57" s="20"/>
      <c r="H57" s="19"/>
      <c r="I57" s="25" t="str">
        <f>IF(F57="","",IF(H57="",IFERROR(INDEX(Catalogue!$I$6:$I$55,MATCH(F57,Catalogue!$B$6:$B$55,0)),0),H57))</f>
        <v/>
      </c>
      <c r="J57" s="19"/>
      <c r="K57" s="25" t="str">
        <f t="shared" si="1"/>
        <v/>
      </c>
      <c r="L57" s="18"/>
      <c r="M57" s="18"/>
      <c r="N57" s="18"/>
      <c r="O57" s="19"/>
      <c r="P57" s="25" t="str">
        <f>IF(F57="","",IF(O57="",IFERROR(INDEX(Catalogue!$G$6:$G$55,MATCH(F57,Catalogue!$B$6:$B$55,0)),0),O57))</f>
        <v/>
      </c>
      <c r="Q57" s="25" t="str">
        <f>IF(F57="","",N(G57)*(IFERROR(INDEX(Catalogue!$E$6:$E$55,MATCH(F57,Catalogue!$B$6:$B$55,0)),0)+IFERROR(INDEX(Catalogue!$F$6:$F$55,MATCH(F57,Catalogue!$B$6:$B$55,0)),0)+IFERROR(INDEX(Catalogue!$H$6:$H$55,MATCH(F57,Catalogue!$B$6:$B$55,0)),0)))</f>
        <v/>
      </c>
      <c r="R57" s="25" t="str">
        <f t="shared" si="2"/>
        <v/>
      </c>
      <c r="S57" s="18"/>
      <c r="T57" s="24" t="str">
        <f t="shared" si="3"/>
        <v/>
      </c>
      <c r="U57" s="28" t="str">
        <f>IF(D57="","",IF(COUNTIF(D$6:D57,D57)=1,"Nouveau","Fidèle"))</f>
        <v/>
      </c>
    </row>
    <row r="58" spans="1:21" x14ac:dyDescent="0.25">
      <c r="A58" s="41" t="str">
        <f t="shared" si="0"/>
        <v/>
      </c>
      <c r="B58" s="38"/>
      <c r="C58" s="18"/>
      <c r="D58" s="18"/>
      <c r="E58" s="18"/>
      <c r="F58" s="18"/>
      <c r="G58" s="20"/>
      <c r="H58" s="19"/>
      <c r="I58" s="25" t="str">
        <f>IF(F58="","",IF(H58="",IFERROR(INDEX(Catalogue!$I$6:$I$55,MATCH(F58,Catalogue!$B$6:$B$55,0)),0),H58))</f>
        <v/>
      </c>
      <c r="J58" s="19"/>
      <c r="K58" s="25" t="str">
        <f t="shared" si="1"/>
        <v/>
      </c>
      <c r="L58" s="18"/>
      <c r="M58" s="18"/>
      <c r="N58" s="18"/>
      <c r="O58" s="19"/>
      <c r="P58" s="25" t="str">
        <f>IF(F58="","",IF(O58="",IFERROR(INDEX(Catalogue!$G$6:$G$55,MATCH(F58,Catalogue!$B$6:$B$55,0)),0),O58))</f>
        <v/>
      </c>
      <c r="Q58" s="25" t="str">
        <f>IF(F58="","",N(G58)*(IFERROR(INDEX(Catalogue!$E$6:$E$55,MATCH(F58,Catalogue!$B$6:$B$55,0)),0)+IFERROR(INDEX(Catalogue!$F$6:$F$55,MATCH(F58,Catalogue!$B$6:$B$55,0)),0)+IFERROR(INDEX(Catalogue!$H$6:$H$55,MATCH(F58,Catalogue!$B$6:$B$55,0)),0)))</f>
        <v/>
      </c>
      <c r="R58" s="25" t="str">
        <f t="shared" si="2"/>
        <v/>
      </c>
      <c r="S58" s="18"/>
      <c r="T58" s="24" t="str">
        <f t="shared" si="3"/>
        <v/>
      </c>
      <c r="U58" s="28" t="str">
        <f>IF(D58="","",IF(COUNTIF(D$6:D58,D58)=1,"Nouveau","Fidèle"))</f>
        <v/>
      </c>
    </row>
    <row r="59" spans="1:21" x14ac:dyDescent="0.25">
      <c r="A59" s="41" t="str">
        <f t="shared" si="0"/>
        <v/>
      </c>
      <c r="B59" s="38"/>
      <c r="C59" s="18"/>
      <c r="D59" s="18"/>
      <c r="E59" s="18"/>
      <c r="F59" s="18"/>
      <c r="G59" s="20"/>
      <c r="H59" s="19"/>
      <c r="I59" s="25" t="str">
        <f>IF(F59="","",IF(H59="",IFERROR(INDEX(Catalogue!$I$6:$I$55,MATCH(F59,Catalogue!$B$6:$B$55,0)),0),H59))</f>
        <v/>
      </c>
      <c r="J59" s="19"/>
      <c r="K59" s="25" t="str">
        <f t="shared" si="1"/>
        <v/>
      </c>
      <c r="L59" s="18"/>
      <c r="M59" s="18"/>
      <c r="N59" s="18"/>
      <c r="O59" s="19"/>
      <c r="P59" s="25" t="str">
        <f>IF(F59="","",IF(O59="",IFERROR(INDEX(Catalogue!$G$6:$G$55,MATCH(F59,Catalogue!$B$6:$B$55,0)),0),O59))</f>
        <v/>
      </c>
      <c r="Q59" s="25" t="str">
        <f>IF(F59="","",N(G59)*(IFERROR(INDEX(Catalogue!$E$6:$E$55,MATCH(F59,Catalogue!$B$6:$B$55,0)),0)+IFERROR(INDEX(Catalogue!$F$6:$F$55,MATCH(F59,Catalogue!$B$6:$B$55,0)),0)+IFERROR(INDEX(Catalogue!$H$6:$H$55,MATCH(F59,Catalogue!$B$6:$B$55,0)),0)))</f>
        <v/>
      </c>
      <c r="R59" s="25" t="str">
        <f t="shared" si="2"/>
        <v/>
      </c>
      <c r="S59" s="18"/>
      <c r="T59" s="24" t="str">
        <f t="shared" si="3"/>
        <v/>
      </c>
      <c r="U59" s="28" t="str">
        <f>IF(D59="","",IF(COUNTIF(D$6:D59,D59)=1,"Nouveau","Fidèle"))</f>
        <v/>
      </c>
    </row>
    <row r="60" spans="1:21" x14ac:dyDescent="0.25">
      <c r="A60" s="41" t="str">
        <f t="shared" si="0"/>
        <v/>
      </c>
      <c r="B60" s="38"/>
      <c r="C60" s="18"/>
      <c r="D60" s="18"/>
      <c r="E60" s="18"/>
      <c r="F60" s="18"/>
      <c r="G60" s="20"/>
      <c r="H60" s="19"/>
      <c r="I60" s="25" t="str">
        <f>IF(F60="","",IF(H60="",IFERROR(INDEX(Catalogue!$I$6:$I$55,MATCH(F60,Catalogue!$B$6:$B$55,0)),0),H60))</f>
        <v/>
      </c>
      <c r="J60" s="19"/>
      <c r="K60" s="25" t="str">
        <f t="shared" si="1"/>
        <v/>
      </c>
      <c r="L60" s="18"/>
      <c r="M60" s="18"/>
      <c r="N60" s="18"/>
      <c r="O60" s="19"/>
      <c r="P60" s="25" t="str">
        <f>IF(F60="","",IF(O60="",IFERROR(INDEX(Catalogue!$G$6:$G$55,MATCH(F60,Catalogue!$B$6:$B$55,0)),0),O60))</f>
        <v/>
      </c>
      <c r="Q60" s="25" t="str">
        <f>IF(F60="","",N(G60)*(IFERROR(INDEX(Catalogue!$E$6:$E$55,MATCH(F60,Catalogue!$B$6:$B$55,0)),0)+IFERROR(INDEX(Catalogue!$F$6:$F$55,MATCH(F60,Catalogue!$B$6:$B$55,0)),0)+IFERROR(INDEX(Catalogue!$H$6:$H$55,MATCH(F60,Catalogue!$B$6:$B$55,0)),0)))</f>
        <v/>
      </c>
      <c r="R60" s="25" t="str">
        <f t="shared" si="2"/>
        <v/>
      </c>
      <c r="S60" s="18"/>
      <c r="T60" s="24" t="str">
        <f t="shared" si="3"/>
        <v/>
      </c>
      <c r="U60" s="28" t="str">
        <f>IF(D60="","",IF(COUNTIF(D$6:D60,D60)=1,"Nouveau","Fidèle"))</f>
        <v/>
      </c>
    </row>
    <row r="61" spans="1:21" x14ac:dyDescent="0.25">
      <c r="A61" s="41" t="str">
        <f t="shared" si="0"/>
        <v/>
      </c>
      <c r="B61" s="38"/>
      <c r="C61" s="18"/>
      <c r="D61" s="18"/>
      <c r="E61" s="18"/>
      <c r="F61" s="18"/>
      <c r="G61" s="20"/>
      <c r="H61" s="19"/>
      <c r="I61" s="25" t="str">
        <f>IF(F61="","",IF(H61="",IFERROR(INDEX(Catalogue!$I$6:$I$55,MATCH(F61,Catalogue!$B$6:$B$55,0)),0),H61))</f>
        <v/>
      </c>
      <c r="J61" s="19"/>
      <c r="K61" s="25" t="str">
        <f t="shared" si="1"/>
        <v/>
      </c>
      <c r="L61" s="18"/>
      <c r="M61" s="18"/>
      <c r="N61" s="18"/>
      <c r="O61" s="19"/>
      <c r="P61" s="25" t="str">
        <f>IF(F61="","",IF(O61="",IFERROR(INDEX(Catalogue!$G$6:$G$55,MATCH(F61,Catalogue!$B$6:$B$55,0)),0),O61))</f>
        <v/>
      </c>
      <c r="Q61" s="25" t="str">
        <f>IF(F61="","",N(G61)*(IFERROR(INDEX(Catalogue!$E$6:$E$55,MATCH(F61,Catalogue!$B$6:$B$55,0)),0)+IFERROR(INDEX(Catalogue!$F$6:$F$55,MATCH(F61,Catalogue!$B$6:$B$55,0)),0)+IFERROR(INDEX(Catalogue!$H$6:$H$55,MATCH(F61,Catalogue!$B$6:$B$55,0)),0)))</f>
        <v/>
      </c>
      <c r="R61" s="25" t="str">
        <f t="shared" si="2"/>
        <v/>
      </c>
      <c r="S61" s="18"/>
      <c r="T61" s="24" t="str">
        <f t="shared" si="3"/>
        <v/>
      </c>
      <c r="U61" s="28" t="str">
        <f>IF(D61="","",IF(COUNTIF(D$6:D61,D61)=1,"Nouveau","Fidèle"))</f>
        <v/>
      </c>
    </row>
    <row r="62" spans="1:21" x14ac:dyDescent="0.25">
      <c r="A62" s="41" t="str">
        <f t="shared" si="0"/>
        <v/>
      </c>
      <c r="B62" s="38"/>
      <c r="C62" s="18"/>
      <c r="D62" s="18"/>
      <c r="E62" s="18"/>
      <c r="F62" s="18"/>
      <c r="G62" s="20"/>
      <c r="H62" s="19"/>
      <c r="I62" s="25" t="str">
        <f>IF(F62="","",IF(H62="",IFERROR(INDEX(Catalogue!$I$6:$I$55,MATCH(F62,Catalogue!$B$6:$B$55,0)),0),H62))</f>
        <v/>
      </c>
      <c r="J62" s="19"/>
      <c r="K62" s="25" t="str">
        <f t="shared" si="1"/>
        <v/>
      </c>
      <c r="L62" s="18"/>
      <c r="M62" s="18"/>
      <c r="N62" s="18"/>
      <c r="O62" s="19"/>
      <c r="P62" s="25" t="str">
        <f>IF(F62="","",IF(O62="",IFERROR(INDEX(Catalogue!$G$6:$G$55,MATCH(F62,Catalogue!$B$6:$B$55,0)),0),O62))</f>
        <v/>
      </c>
      <c r="Q62" s="25" t="str">
        <f>IF(F62="","",N(G62)*(IFERROR(INDEX(Catalogue!$E$6:$E$55,MATCH(F62,Catalogue!$B$6:$B$55,0)),0)+IFERROR(INDEX(Catalogue!$F$6:$F$55,MATCH(F62,Catalogue!$B$6:$B$55,0)),0)+IFERROR(INDEX(Catalogue!$H$6:$H$55,MATCH(F62,Catalogue!$B$6:$B$55,0)),0)))</f>
        <v/>
      </c>
      <c r="R62" s="25" t="str">
        <f t="shared" si="2"/>
        <v/>
      </c>
      <c r="S62" s="18"/>
      <c r="T62" s="24" t="str">
        <f t="shared" si="3"/>
        <v/>
      </c>
      <c r="U62" s="28" t="str">
        <f>IF(D62="","",IF(COUNTIF(D$6:D62,D62)=1,"Nouveau","Fidèle"))</f>
        <v/>
      </c>
    </row>
    <row r="63" spans="1:21" x14ac:dyDescent="0.25">
      <c r="A63" s="41" t="str">
        <f t="shared" si="0"/>
        <v/>
      </c>
      <c r="B63" s="38"/>
      <c r="C63" s="18"/>
      <c r="D63" s="18"/>
      <c r="E63" s="18"/>
      <c r="F63" s="18"/>
      <c r="G63" s="20"/>
      <c r="H63" s="19"/>
      <c r="I63" s="25" t="str">
        <f>IF(F63="","",IF(H63="",IFERROR(INDEX(Catalogue!$I$6:$I$55,MATCH(F63,Catalogue!$B$6:$B$55,0)),0),H63))</f>
        <v/>
      </c>
      <c r="J63" s="19"/>
      <c r="K63" s="25" t="str">
        <f t="shared" si="1"/>
        <v/>
      </c>
      <c r="L63" s="18"/>
      <c r="M63" s="18"/>
      <c r="N63" s="18"/>
      <c r="O63" s="19"/>
      <c r="P63" s="25" t="str">
        <f>IF(F63="","",IF(O63="",IFERROR(INDEX(Catalogue!$G$6:$G$55,MATCH(F63,Catalogue!$B$6:$B$55,0)),0),O63))</f>
        <v/>
      </c>
      <c r="Q63" s="25" t="str">
        <f>IF(F63="","",N(G63)*(IFERROR(INDEX(Catalogue!$E$6:$E$55,MATCH(F63,Catalogue!$B$6:$B$55,0)),0)+IFERROR(INDEX(Catalogue!$F$6:$F$55,MATCH(F63,Catalogue!$B$6:$B$55,0)),0)+IFERROR(INDEX(Catalogue!$H$6:$H$55,MATCH(F63,Catalogue!$B$6:$B$55,0)),0)))</f>
        <v/>
      </c>
      <c r="R63" s="25" t="str">
        <f t="shared" si="2"/>
        <v/>
      </c>
      <c r="S63" s="18"/>
      <c r="T63" s="24" t="str">
        <f t="shared" si="3"/>
        <v/>
      </c>
      <c r="U63" s="28" t="str">
        <f>IF(D63="","",IF(COUNTIF(D$6:D63,D63)=1,"Nouveau","Fidèle"))</f>
        <v/>
      </c>
    </row>
    <row r="64" spans="1:21" x14ac:dyDescent="0.25">
      <c r="A64" s="41" t="str">
        <f t="shared" si="0"/>
        <v/>
      </c>
      <c r="B64" s="38"/>
      <c r="C64" s="18"/>
      <c r="D64" s="18"/>
      <c r="E64" s="18"/>
      <c r="F64" s="18"/>
      <c r="G64" s="20"/>
      <c r="H64" s="19"/>
      <c r="I64" s="25" t="str">
        <f>IF(F64="","",IF(H64="",IFERROR(INDEX(Catalogue!$I$6:$I$55,MATCH(F64,Catalogue!$B$6:$B$55,0)),0),H64))</f>
        <v/>
      </c>
      <c r="J64" s="19"/>
      <c r="K64" s="25" t="str">
        <f t="shared" si="1"/>
        <v/>
      </c>
      <c r="L64" s="18"/>
      <c r="M64" s="18"/>
      <c r="N64" s="18"/>
      <c r="O64" s="19"/>
      <c r="P64" s="25" t="str">
        <f>IF(F64="","",IF(O64="",IFERROR(INDEX(Catalogue!$G$6:$G$55,MATCH(F64,Catalogue!$B$6:$B$55,0)),0),O64))</f>
        <v/>
      </c>
      <c r="Q64" s="25" t="str">
        <f>IF(F64="","",N(G64)*(IFERROR(INDEX(Catalogue!$E$6:$E$55,MATCH(F64,Catalogue!$B$6:$B$55,0)),0)+IFERROR(INDEX(Catalogue!$F$6:$F$55,MATCH(F64,Catalogue!$B$6:$B$55,0)),0)+IFERROR(INDEX(Catalogue!$H$6:$H$55,MATCH(F64,Catalogue!$B$6:$B$55,0)),0)))</f>
        <v/>
      </c>
      <c r="R64" s="25" t="str">
        <f t="shared" si="2"/>
        <v/>
      </c>
      <c r="S64" s="18"/>
      <c r="T64" s="24" t="str">
        <f t="shared" si="3"/>
        <v/>
      </c>
      <c r="U64" s="28" t="str">
        <f>IF(D64="","",IF(COUNTIF(D$6:D64,D64)=1,"Nouveau","Fidèle"))</f>
        <v/>
      </c>
    </row>
    <row r="65" spans="1:21" x14ac:dyDescent="0.25">
      <c r="A65" s="41" t="str">
        <f t="shared" si="0"/>
        <v/>
      </c>
      <c r="B65" s="38"/>
      <c r="C65" s="18"/>
      <c r="D65" s="18"/>
      <c r="E65" s="18"/>
      <c r="F65" s="18"/>
      <c r="G65" s="20"/>
      <c r="H65" s="19"/>
      <c r="I65" s="25" t="str">
        <f>IF(F65="","",IF(H65="",IFERROR(INDEX(Catalogue!$I$6:$I$55,MATCH(F65,Catalogue!$B$6:$B$55,0)),0),H65))</f>
        <v/>
      </c>
      <c r="J65" s="19"/>
      <c r="K65" s="25" t="str">
        <f t="shared" si="1"/>
        <v/>
      </c>
      <c r="L65" s="18"/>
      <c r="M65" s="18"/>
      <c r="N65" s="18"/>
      <c r="O65" s="19"/>
      <c r="P65" s="25" t="str">
        <f>IF(F65="","",IF(O65="",IFERROR(INDEX(Catalogue!$G$6:$G$55,MATCH(F65,Catalogue!$B$6:$B$55,0)),0),O65))</f>
        <v/>
      </c>
      <c r="Q65" s="25" t="str">
        <f>IF(F65="","",N(G65)*(IFERROR(INDEX(Catalogue!$E$6:$E$55,MATCH(F65,Catalogue!$B$6:$B$55,0)),0)+IFERROR(INDEX(Catalogue!$F$6:$F$55,MATCH(F65,Catalogue!$B$6:$B$55,0)),0)+IFERROR(INDEX(Catalogue!$H$6:$H$55,MATCH(F65,Catalogue!$B$6:$B$55,0)),0)))</f>
        <v/>
      </c>
      <c r="R65" s="25" t="str">
        <f t="shared" si="2"/>
        <v/>
      </c>
      <c r="S65" s="18"/>
      <c r="T65" s="24" t="str">
        <f t="shared" si="3"/>
        <v/>
      </c>
      <c r="U65" s="28" t="str">
        <f>IF(D65="","",IF(COUNTIF(D$6:D65,D65)=1,"Nouveau","Fidèle"))</f>
        <v/>
      </c>
    </row>
    <row r="66" spans="1:21" x14ac:dyDescent="0.25">
      <c r="A66" s="41" t="str">
        <f t="shared" si="0"/>
        <v/>
      </c>
      <c r="B66" s="38"/>
      <c r="C66" s="18"/>
      <c r="D66" s="18"/>
      <c r="E66" s="18"/>
      <c r="F66" s="18"/>
      <c r="G66" s="20"/>
      <c r="H66" s="19"/>
      <c r="I66" s="25" t="str">
        <f>IF(F66="","",IF(H66="",IFERROR(INDEX(Catalogue!$I$6:$I$55,MATCH(F66,Catalogue!$B$6:$B$55,0)),0),H66))</f>
        <v/>
      </c>
      <c r="J66" s="19"/>
      <c r="K66" s="25" t="str">
        <f t="shared" si="1"/>
        <v/>
      </c>
      <c r="L66" s="18"/>
      <c r="M66" s="18"/>
      <c r="N66" s="18"/>
      <c r="O66" s="19"/>
      <c r="P66" s="25" t="str">
        <f>IF(F66="","",IF(O66="",IFERROR(INDEX(Catalogue!$G$6:$G$55,MATCH(F66,Catalogue!$B$6:$B$55,0)),0),O66))</f>
        <v/>
      </c>
      <c r="Q66" s="25" t="str">
        <f>IF(F66="","",N(G66)*(IFERROR(INDEX(Catalogue!$E$6:$E$55,MATCH(F66,Catalogue!$B$6:$B$55,0)),0)+IFERROR(INDEX(Catalogue!$F$6:$F$55,MATCH(F66,Catalogue!$B$6:$B$55,0)),0)+IFERROR(INDEX(Catalogue!$H$6:$H$55,MATCH(F66,Catalogue!$B$6:$B$55,0)),0)))</f>
        <v/>
      </c>
      <c r="R66" s="25" t="str">
        <f t="shared" si="2"/>
        <v/>
      </c>
      <c r="S66" s="18"/>
      <c r="T66" s="24" t="str">
        <f t="shared" si="3"/>
        <v/>
      </c>
      <c r="U66" s="28" t="str">
        <f>IF(D66="","",IF(COUNTIF(D$6:D66,D66)=1,"Nouveau","Fidèle"))</f>
        <v/>
      </c>
    </row>
    <row r="67" spans="1:21" x14ac:dyDescent="0.25">
      <c r="A67" s="41" t="str">
        <f t="shared" si="0"/>
        <v/>
      </c>
      <c r="B67" s="38"/>
      <c r="C67" s="18"/>
      <c r="D67" s="18"/>
      <c r="E67" s="18"/>
      <c r="F67" s="18"/>
      <c r="G67" s="20"/>
      <c r="H67" s="19"/>
      <c r="I67" s="25" t="str">
        <f>IF(F67="","",IF(H67="",IFERROR(INDEX(Catalogue!$I$6:$I$55,MATCH(F67,Catalogue!$B$6:$B$55,0)),0),H67))</f>
        <v/>
      </c>
      <c r="J67" s="19"/>
      <c r="K67" s="25" t="str">
        <f t="shared" si="1"/>
        <v/>
      </c>
      <c r="L67" s="18"/>
      <c r="M67" s="18"/>
      <c r="N67" s="18"/>
      <c r="O67" s="19"/>
      <c r="P67" s="25" t="str">
        <f>IF(F67="","",IF(O67="",IFERROR(INDEX(Catalogue!$G$6:$G$55,MATCH(F67,Catalogue!$B$6:$B$55,0)),0),O67))</f>
        <v/>
      </c>
      <c r="Q67" s="25" t="str">
        <f>IF(F67="","",N(G67)*(IFERROR(INDEX(Catalogue!$E$6:$E$55,MATCH(F67,Catalogue!$B$6:$B$55,0)),0)+IFERROR(INDEX(Catalogue!$F$6:$F$55,MATCH(F67,Catalogue!$B$6:$B$55,0)),0)+IFERROR(INDEX(Catalogue!$H$6:$H$55,MATCH(F67,Catalogue!$B$6:$B$55,0)),0)))</f>
        <v/>
      </c>
      <c r="R67" s="25" t="str">
        <f t="shared" si="2"/>
        <v/>
      </c>
      <c r="S67" s="18"/>
      <c r="T67" s="24" t="str">
        <f t="shared" si="3"/>
        <v/>
      </c>
      <c r="U67" s="28" t="str">
        <f>IF(D67="","",IF(COUNTIF(D$6:D67,D67)=1,"Nouveau","Fidèle"))</f>
        <v/>
      </c>
    </row>
    <row r="68" spans="1:21" x14ac:dyDescent="0.25">
      <c r="A68" s="41" t="str">
        <f t="shared" si="0"/>
        <v/>
      </c>
      <c r="B68" s="38"/>
      <c r="C68" s="18"/>
      <c r="D68" s="18"/>
      <c r="E68" s="18"/>
      <c r="F68" s="18"/>
      <c r="G68" s="20"/>
      <c r="H68" s="19"/>
      <c r="I68" s="25" t="str">
        <f>IF(F68="","",IF(H68="",IFERROR(INDEX(Catalogue!$I$6:$I$55,MATCH(F68,Catalogue!$B$6:$B$55,0)),0),H68))</f>
        <v/>
      </c>
      <c r="J68" s="19"/>
      <c r="K68" s="25" t="str">
        <f t="shared" si="1"/>
        <v/>
      </c>
      <c r="L68" s="18"/>
      <c r="M68" s="18"/>
      <c r="N68" s="18"/>
      <c r="O68" s="19"/>
      <c r="P68" s="25" t="str">
        <f>IF(F68="","",IF(O68="",IFERROR(INDEX(Catalogue!$G$6:$G$55,MATCH(F68,Catalogue!$B$6:$B$55,0)),0),O68))</f>
        <v/>
      </c>
      <c r="Q68" s="25" t="str">
        <f>IF(F68="","",N(G68)*(IFERROR(INDEX(Catalogue!$E$6:$E$55,MATCH(F68,Catalogue!$B$6:$B$55,0)),0)+IFERROR(INDEX(Catalogue!$F$6:$F$55,MATCH(F68,Catalogue!$B$6:$B$55,0)),0)+IFERROR(INDEX(Catalogue!$H$6:$H$55,MATCH(F68,Catalogue!$B$6:$B$55,0)),0)))</f>
        <v/>
      </c>
      <c r="R68" s="25" t="str">
        <f t="shared" si="2"/>
        <v/>
      </c>
      <c r="S68" s="18"/>
      <c r="T68" s="24" t="str">
        <f t="shared" si="3"/>
        <v/>
      </c>
      <c r="U68" s="28" t="str">
        <f>IF(D68="","",IF(COUNTIF(D$6:D68,D68)=1,"Nouveau","Fidèle"))</f>
        <v/>
      </c>
    </row>
    <row r="69" spans="1:21" x14ac:dyDescent="0.25">
      <c r="A69" s="41" t="str">
        <f t="shared" si="0"/>
        <v/>
      </c>
      <c r="B69" s="38"/>
      <c r="C69" s="18"/>
      <c r="D69" s="18"/>
      <c r="E69" s="18"/>
      <c r="F69" s="18"/>
      <c r="G69" s="20"/>
      <c r="H69" s="19"/>
      <c r="I69" s="25" t="str">
        <f>IF(F69="","",IF(H69="",IFERROR(INDEX(Catalogue!$I$6:$I$55,MATCH(F69,Catalogue!$B$6:$B$55,0)),0),H69))</f>
        <v/>
      </c>
      <c r="J69" s="19"/>
      <c r="K69" s="25" t="str">
        <f t="shared" si="1"/>
        <v/>
      </c>
      <c r="L69" s="18"/>
      <c r="M69" s="18"/>
      <c r="N69" s="18"/>
      <c r="O69" s="19"/>
      <c r="P69" s="25" t="str">
        <f>IF(F69="","",IF(O69="",IFERROR(INDEX(Catalogue!$G$6:$G$55,MATCH(F69,Catalogue!$B$6:$B$55,0)),0),O69))</f>
        <v/>
      </c>
      <c r="Q69" s="25" t="str">
        <f>IF(F69="","",N(G69)*(IFERROR(INDEX(Catalogue!$E$6:$E$55,MATCH(F69,Catalogue!$B$6:$B$55,0)),0)+IFERROR(INDEX(Catalogue!$F$6:$F$55,MATCH(F69,Catalogue!$B$6:$B$55,0)),0)+IFERROR(INDEX(Catalogue!$H$6:$H$55,MATCH(F69,Catalogue!$B$6:$B$55,0)),0)))</f>
        <v/>
      </c>
      <c r="R69" s="25" t="str">
        <f t="shared" si="2"/>
        <v/>
      </c>
      <c r="S69" s="18"/>
      <c r="T69" s="24" t="str">
        <f t="shared" si="3"/>
        <v/>
      </c>
      <c r="U69" s="28" t="str">
        <f>IF(D69="","",IF(COUNTIF(D$6:D69,D69)=1,"Nouveau","Fidèle"))</f>
        <v/>
      </c>
    </row>
    <row r="70" spans="1:21" x14ac:dyDescent="0.25">
      <c r="A70" s="41" t="str">
        <f t="shared" ref="A70:A133" si="4">IF(B70="","",ROW()-5)</f>
        <v/>
      </c>
      <c r="B70" s="38"/>
      <c r="C70" s="18"/>
      <c r="D70" s="18"/>
      <c r="E70" s="18"/>
      <c r="F70" s="18"/>
      <c r="G70" s="20"/>
      <c r="H70" s="19"/>
      <c r="I70" s="25" t="str">
        <f>IF(F70="","",IF(H70="",IFERROR(INDEX(Catalogue!$I$6:$I$55,MATCH(F70,Catalogue!$B$6:$B$55,0)),0),H70))</f>
        <v/>
      </c>
      <c r="J70" s="19"/>
      <c r="K70" s="25" t="str">
        <f t="shared" ref="K70:K133" si="5">IF(F70="","",N(G70)*I70-N(J70))</f>
        <v/>
      </c>
      <c r="L70" s="18"/>
      <c r="M70" s="18"/>
      <c r="N70" s="18"/>
      <c r="O70" s="19"/>
      <c r="P70" s="25" t="str">
        <f>IF(F70="","",IF(O70="",IFERROR(INDEX(Catalogue!$G$6:$G$55,MATCH(F70,Catalogue!$B$6:$B$55,0)),0),O70))</f>
        <v/>
      </c>
      <c r="Q70" s="25" t="str">
        <f>IF(F70="","",N(G70)*(IFERROR(INDEX(Catalogue!$E$6:$E$55,MATCH(F70,Catalogue!$B$6:$B$55,0)),0)+IFERROR(INDEX(Catalogue!$F$6:$F$55,MATCH(F70,Catalogue!$B$6:$B$55,0)),0)+IFERROR(INDEX(Catalogue!$H$6:$H$55,MATCH(F70,Catalogue!$B$6:$B$55,0)),0)))</f>
        <v/>
      </c>
      <c r="R70" s="25" t="str">
        <f t="shared" ref="R70:R133" si="6">IF(F70="","",IF(M70="Livrée et payée",K70-Q70-P70,IF(M70="Annulée",-N(P70),0)))</f>
        <v/>
      </c>
      <c r="S70" s="18"/>
      <c r="T70" s="24" t="str">
        <f t="shared" ref="T70:T133" si="7">IF(B70="","",DATE(YEAR(B70),MONTH(B70),1))</f>
        <v/>
      </c>
      <c r="U70" s="28" t="str">
        <f>IF(D70="","",IF(COUNTIF(D$6:D70,D70)=1,"Nouveau","Fidèle"))</f>
        <v/>
      </c>
    </row>
    <row r="71" spans="1:21" x14ac:dyDescent="0.25">
      <c r="A71" s="41" t="str">
        <f t="shared" si="4"/>
        <v/>
      </c>
      <c r="B71" s="38"/>
      <c r="C71" s="18"/>
      <c r="D71" s="18"/>
      <c r="E71" s="18"/>
      <c r="F71" s="18"/>
      <c r="G71" s="20"/>
      <c r="H71" s="19"/>
      <c r="I71" s="25" t="str">
        <f>IF(F71="","",IF(H71="",IFERROR(INDEX(Catalogue!$I$6:$I$55,MATCH(F71,Catalogue!$B$6:$B$55,0)),0),H71))</f>
        <v/>
      </c>
      <c r="J71" s="19"/>
      <c r="K71" s="25" t="str">
        <f t="shared" si="5"/>
        <v/>
      </c>
      <c r="L71" s="18"/>
      <c r="M71" s="18"/>
      <c r="N71" s="18"/>
      <c r="O71" s="19"/>
      <c r="P71" s="25" t="str">
        <f>IF(F71="","",IF(O71="",IFERROR(INDEX(Catalogue!$G$6:$G$55,MATCH(F71,Catalogue!$B$6:$B$55,0)),0),O71))</f>
        <v/>
      </c>
      <c r="Q71" s="25" t="str">
        <f>IF(F71="","",N(G71)*(IFERROR(INDEX(Catalogue!$E$6:$E$55,MATCH(F71,Catalogue!$B$6:$B$55,0)),0)+IFERROR(INDEX(Catalogue!$F$6:$F$55,MATCH(F71,Catalogue!$B$6:$B$55,0)),0)+IFERROR(INDEX(Catalogue!$H$6:$H$55,MATCH(F71,Catalogue!$B$6:$B$55,0)),0)))</f>
        <v/>
      </c>
      <c r="R71" s="25" t="str">
        <f t="shared" si="6"/>
        <v/>
      </c>
      <c r="S71" s="18"/>
      <c r="T71" s="24" t="str">
        <f t="shared" si="7"/>
        <v/>
      </c>
      <c r="U71" s="28" t="str">
        <f>IF(D71="","",IF(COUNTIF(D$6:D71,D71)=1,"Nouveau","Fidèle"))</f>
        <v/>
      </c>
    </row>
    <row r="72" spans="1:21" x14ac:dyDescent="0.25">
      <c r="A72" s="41" t="str">
        <f t="shared" si="4"/>
        <v/>
      </c>
      <c r="B72" s="38"/>
      <c r="C72" s="18"/>
      <c r="D72" s="18"/>
      <c r="E72" s="18"/>
      <c r="F72" s="18"/>
      <c r="G72" s="20"/>
      <c r="H72" s="19"/>
      <c r="I72" s="25" t="str">
        <f>IF(F72="","",IF(H72="",IFERROR(INDEX(Catalogue!$I$6:$I$55,MATCH(F72,Catalogue!$B$6:$B$55,0)),0),H72))</f>
        <v/>
      </c>
      <c r="J72" s="19"/>
      <c r="K72" s="25" t="str">
        <f t="shared" si="5"/>
        <v/>
      </c>
      <c r="L72" s="18"/>
      <c r="M72" s="18"/>
      <c r="N72" s="18"/>
      <c r="O72" s="19"/>
      <c r="P72" s="25" t="str">
        <f>IF(F72="","",IF(O72="",IFERROR(INDEX(Catalogue!$G$6:$G$55,MATCH(F72,Catalogue!$B$6:$B$55,0)),0),O72))</f>
        <v/>
      </c>
      <c r="Q72" s="25" t="str">
        <f>IF(F72="","",N(G72)*(IFERROR(INDEX(Catalogue!$E$6:$E$55,MATCH(F72,Catalogue!$B$6:$B$55,0)),0)+IFERROR(INDEX(Catalogue!$F$6:$F$55,MATCH(F72,Catalogue!$B$6:$B$55,0)),0)+IFERROR(INDEX(Catalogue!$H$6:$H$55,MATCH(F72,Catalogue!$B$6:$B$55,0)),0)))</f>
        <v/>
      </c>
      <c r="R72" s="25" t="str">
        <f t="shared" si="6"/>
        <v/>
      </c>
      <c r="S72" s="18"/>
      <c r="T72" s="24" t="str">
        <f t="shared" si="7"/>
        <v/>
      </c>
      <c r="U72" s="28" t="str">
        <f>IF(D72="","",IF(COUNTIF(D$6:D72,D72)=1,"Nouveau","Fidèle"))</f>
        <v/>
      </c>
    </row>
    <row r="73" spans="1:21" x14ac:dyDescent="0.25">
      <c r="A73" s="41" t="str">
        <f t="shared" si="4"/>
        <v/>
      </c>
      <c r="B73" s="38"/>
      <c r="C73" s="18"/>
      <c r="D73" s="18"/>
      <c r="E73" s="18"/>
      <c r="F73" s="18"/>
      <c r="G73" s="20"/>
      <c r="H73" s="19"/>
      <c r="I73" s="25" t="str">
        <f>IF(F73="","",IF(H73="",IFERROR(INDEX(Catalogue!$I$6:$I$55,MATCH(F73,Catalogue!$B$6:$B$55,0)),0),H73))</f>
        <v/>
      </c>
      <c r="J73" s="19"/>
      <c r="K73" s="25" t="str">
        <f t="shared" si="5"/>
        <v/>
      </c>
      <c r="L73" s="18"/>
      <c r="M73" s="18"/>
      <c r="N73" s="18"/>
      <c r="O73" s="19"/>
      <c r="P73" s="25" t="str">
        <f>IF(F73="","",IF(O73="",IFERROR(INDEX(Catalogue!$G$6:$G$55,MATCH(F73,Catalogue!$B$6:$B$55,0)),0),O73))</f>
        <v/>
      </c>
      <c r="Q73" s="25" t="str">
        <f>IF(F73="","",N(G73)*(IFERROR(INDEX(Catalogue!$E$6:$E$55,MATCH(F73,Catalogue!$B$6:$B$55,0)),0)+IFERROR(INDEX(Catalogue!$F$6:$F$55,MATCH(F73,Catalogue!$B$6:$B$55,0)),0)+IFERROR(INDEX(Catalogue!$H$6:$H$55,MATCH(F73,Catalogue!$B$6:$B$55,0)),0)))</f>
        <v/>
      </c>
      <c r="R73" s="25" t="str">
        <f t="shared" si="6"/>
        <v/>
      </c>
      <c r="S73" s="18"/>
      <c r="T73" s="24" t="str">
        <f t="shared" si="7"/>
        <v/>
      </c>
      <c r="U73" s="28" t="str">
        <f>IF(D73="","",IF(COUNTIF(D$6:D73,D73)=1,"Nouveau","Fidèle"))</f>
        <v/>
      </c>
    </row>
    <row r="74" spans="1:21" x14ac:dyDescent="0.25">
      <c r="A74" s="41" t="str">
        <f t="shared" si="4"/>
        <v/>
      </c>
      <c r="B74" s="38"/>
      <c r="C74" s="18"/>
      <c r="D74" s="18"/>
      <c r="E74" s="18"/>
      <c r="F74" s="18"/>
      <c r="G74" s="20"/>
      <c r="H74" s="19"/>
      <c r="I74" s="25" t="str">
        <f>IF(F74="","",IF(H74="",IFERROR(INDEX(Catalogue!$I$6:$I$55,MATCH(F74,Catalogue!$B$6:$B$55,0)),0),H74))</f>
        <v/>
      </c>
      <c r="J74" s="19"/>
      <c r="K74" s="25" t="str">
        <f t="shared" si="5"/>
        <v/>
      </c>
      <c r="L74" s="18"/>
      <c r="M74" s="18"/>
      <c r="N74" s="18"/>
      <c r="O74" s="19"/>
      <c r="P74" s="25" t="str">
        <f>IF(F74="","",IF(O74="",IFERROR(INDEX(Catalogue!$G$6:$G$55,MATCH(F74,Catalogue!$B$6:$B$55,0)),0),O74))</f>
        <v/>
      </c>
      <c r="Q74" s="25" t="str">
        <f>IF(F74="","",N(G74)*(IFERROR(INDEX(Catalogue!$E$6:$E$55,MATCH(F74,Catalogue!$B$6:$B$55,0)),0)+IFERROR(INDEX(Catalogue!$F$6:$F$55,MATCH(F74,Catalogue!$B$6:$B$55,0)),0)+IFERROR(INDEX(Catalogue!$H$6:$H$55,MATCH(F74,Catalogue!$B$6:$B$55,0)),0)))</f>
        <v/>
      </c>
      <c r="R74" s="25" t="str">
        <f t="shared" si="6"/>
        <v/>
      </c>
      <c r="S74" s="18"/>
      <c r="T74" s="24" t="str">
        <f t="shared" si="7"/>
        <v/>
      </c>
      <c r="U74" s="28" t="str">
        <f>IF(D74="","",IF(COUNTIF(D$6:D74,D74)=1,"Nouveau","Fidèle"))</f>
        <v/>
      </c>
    </row>
    <row r="75" spans="1:21" x14ac:dyDescent="0.25">
      <c r="A75" s="41" t="str">
        <f t="shared" si="4"/>
        <v/>
      </c>
      <c r="B75" s="38"/>
      <c r="C75" s="18"/>
      <c r="D75" s="18"/>
      <c r="E75" s="18"/>
      <c r="F75" s="18"/>
      <c r="G75" s="20"/>
      <c r="H75" s="19"/>
      <c r="I75" s="25" t="str">
        <f>IF(F75="","",IF(H75="",IFERROR(INDEX(Catalogue!$I$6:$I$55,MATCH(F75,Catalogue!$B$6:$B$55,0)),0),H75))</f>
        <v/>
      </c>
      <c r="J75" s="19"/>
      <c r="K75" s="25" t="str">
        <f t="shared" si="5"/>
        <v/>
      </c>
      <c r="L75" s="18"/>
      <c r="M75" s="18"/>
      <c r="N75" s="18"/>
      <c r="O75" s="19"/>
      <c r="P75" s="25" t="str">
        <f>IF(F75="","",IF(O75="",IFERROR(INDEX(Catalogue!$G$6:$G$55,MATCH(F75,Catalogue!$B$6:$B$55,0)),0),O75))</f>
        <v/>
      </c>
      <c r="Q75" s="25" t="str">
        <f>IF(F75="","",N(G75)*(IFERROR(INDEX(Catalogue!$E$6:$E$55,MATCH(F75,Catalogue!$B$6:$B$55,0)),0)+IFERROR(INDEX(Catalogue!$F$6:$F$55,MATCH(F75,Catalogue!$B$6:$B$55,0)),0)+IFERROR(INDEX(Catalogue!$H$6:$H$55,MATCH(F75,Catalogue!$B$6:$B$55,0)),0)))</f>
        <v/>
      </c>
      <c r="R75" s="25" t="str">
        <f t="shared" si="6"/>
        <v/>
      </c>
      <c r="S75" s="18"/>
      <c r="T75" s="24" t="str">
        <f t="shared" si="7"/>
        <v/>
      </c>
      <c r="U75" s="28" t="str">
        <f>IF(D75="","",IF(COUNTIF(D$6:D75,D75)=1,"Nouveau","Fidèle"))</f>
        <v/>
      </c>
    </row>
    <row r="76" spans="1:21" x14ac:dyDescent="0.25">
      <c r="A76" s="41" t="str">
        <f t="shared" si="4"/>
        <v/>
      </c>
      <c r="B76" s="38"/>
      <c r="C76" s="18"/>
      <c r="D76" s="18"/>
      <c r="E76" s="18"/>
      <c r="F76" s="18"/>
      <c r="G76" s="20"/>
      <c r="H76" s="19"/>
      <c r="I76" s="25" t="str">
        <f>IF(F76="","",IF(H76="",IFERROR(INDEX(Catalogue!$I$6:$I$55,MATCH(F76,Catalogue!$B$6:$B$55,0)),0),H76))</f>
        <v/>
      </c>
      <c r="J76" s="19"/>
      <c r="K76" s="25" t="str">
        <f t="shared" si="5"/>
        <v/>
      </c>
      <c r="L76" s="18"/>
      <c r="M76" s="18"/>
      <c r="N76" s="18"/>
      <c r="O76" s="19"/>
      <c r="P76" s="25" t="str">
        <f>IF(F76="","",IF(O76="",IFERROR(INDEX(Catalogue!$G$6:$G$55,MATCH(F76,Catalogue!$B$6:$B$55,0)),0),O76))</f>
        <v/>
      </c>
      <c r="Q76" s="25" t="str">
        <f>IF(F76="","",N(G76)*(IFERROR(INDEX(Catalogue!$E$6:$E$55,MATCH(F76,Catalogue!$B$6:$B$55,0)),0)+IFERROR(INDEX(Catalogue!$F$6:$F$55,MATCH(F76,Catalogue!$B$6:$B$55,0)),0)+IFERROR(INDEX(Catalogue!$H$6:$H$55,MATCH(F76,Catalogue!$B$6:$B$55,0)),0)))</f>
        <v/>
      </c>
      <c r="R76" s="25" t="str">
        <f t="shared" si="6"/>
        <v/>
      </c>
      <c r="S76" s="18"/>
      <c r="T76" s="24" t="str">
        <f t="shared" si="7"/>
        <v/>
      </c>
      <c r="U76" s="28" t="str">
        <f>IF(D76="","",IF(COUNTIF(D$6:D76,D76)=1,"Nouveau","Fidèle"))</f>
        <v/>
      </c>
    </row>
    <row r="77" spans="1:21" x14ac:dyDescent="0.25">
      <c r="A77" s="41" t="str">
        <f t="shared" si="4"/>
        <v/>
      </c>
      <c r="B77" s="38"/>
      <c r="C77" s="18"/>
      <c r="D77" s="18"/>
      <c r="E77" s="18"/>
      <c r="F77" s="18"/>
      <c r="G77" s="20"/>
      <c r="H77" s="19"/>
      <c r="I77" s="25" t="str">
        <f>IF(F77="","",IF(H77="",IFERROR(INDEX(Catalogue!$I$6:$I$55,MATCH(F77,Catalogue!$B$6:$B$55,0)),0),H77))</f>
        <v/>
      </c>
      <c r="J77" s="19"/>
      <c r="K77" s="25" t="str">
        <f t="shared" si="5"/>
        <v/>
      </c>
      <c r="L77" s="18"/>
      <c r="M77" s="18"/>
      <c r="N77" s="18"/>
      <c r="O77" s="19"/>
      <c r="P77" s="25" t="str">
        <f>IF(F77="","",IF(O77="",IFERROR(INDEX(Catalogue!$G$6:$G$55,MATCH(F77,Catalogue!$B$6:$B$55,0)),0),O77))</f>
        <v/>
      </c>
      <c r="Q77" s="25" t="str">
        <f>IF(F77="","",N(G77)*(IFERROR(INDEX(Catalogue!$E$6:$E$55,MATCH(F77,Catalogue!$B$6:$B$55,0)),0)+IFERROR(INDEX(Catalogue!$F$6:$F$55,MATCH(F77,Catalogue!$B$6:$B$55,0)),0)+IFERROR(INDEX(Catalogue!$H$6:$H$55,MATCH(F77,Catalogue!$B$6:$B$55,0)),0)))</f>
        <v/>
      </c>
      <c r="R77" s="25" t="str">
        <f t="shared" si="6"/>
        <v/>
      </c>
      <c r="S77" s="18"/>
      <c r="T77" s="24" t="str">
        <f t="shared" si="7"/>
        <v/>
      </c>
      <c r="U77" s="28" t="str">
        <f>IF(D77="","",IF(COUNTIF(D$6:D77,D77)=1,"Nouveau","Fidèle"))</f>
        <v/>
      </c>
    </row>
    <row r="78" spans="1:21" x14ac:dyDescent="0.25">
      <c r="A78" s="41" t="str">
        <f t="shared" si="4"/>
        <v/>
      </c>
      <c r="B78" s="38"/>
      <c r="C78" s="18"/>
      <c r="D78" s="18"/>
      <c r="E78" s="18"/>
      <c r="F78" s="18"/>
      <c r="G78" s="20"/>
      <c r="H78" s="19"/>
      <c r="I78" s="25" t="str">
        <f>IF(F78="","",IF(H78="",IFERROR(INDEX(Catalogue!$I$6:$I$55,MATCH(F78,Catalogue!$B$6:$B$55,0)),0),H78))</f>
        <v/>
      </c>
      <c r="J78" s="19"/>
      <c r="K78" s="25" t="str">
        <f t="shared" si="5"/>
        <v/>
      </c>
      <c r="L78" s="18"/>
      <c r="M78" s="18"/>
      <c r="N78" s="18"/>
      <c r="O78" s="19"/>
      <c r="P78" s="25" t="str">
        <f>IF(F78="","",IF(O78="",IFERROR(INDEX(Catalogue!$G$6:$G$55,MATCH(F78,Catalogue!$B$6:$B$55,0)),0),O78))</f>
        <v/>
      </c>
      <c r="Q78" s="25" t="str">
        <f>IF(F78="","",N(G78)*(IFERROR(INDEX(Catalogue!$E$6:$E$55,MATCH(F78,Catalogue!$B$6:$B$55,0)),0)+IFERROR(INDEX(Catalogue!$F$6:$F$55,MATCH(F78,Catalogue!$B$6:$B$55,0)),0)+IFERROR(INDEX(Catalogue!$H$6:$H$55,MATCH(F78,Catalogue!$B$6:$B$55,0)),0)))</f>
        <v/>
      </c>
      <c r="R78" s="25" t="str">
        <f t="shared" si="6"/>
        <v/>
      </c>
      <c r="S78" s="18"/>
      <c r="T78" s="24" t="str">
        <f t="shared" si="7"/>
        <v/>
      </c>
      <c r="U78" s="28" t="str">
        <f>IF(D78="","",IF(COUNTIF(D$6:D78,D78)=1,"Nouveau","Fidèle"))</f>
        <v/>
      </c>
    </row>
    <row r="79" spans="1:21" x14ac:dyDescent="0.25">
      <c r="A79" s="41" t="str">
        <f t="shared" si="4"/>
        <v/>
      </c>
      <c r="B79" s="38"/>
      <c r="C79" s="18"/>
      <c r="D79" s="18"/>
      <c r="E79" s="18"/>
      <c r="F79" s="18"/>
      <c r="G79" s="20"/>
      <c r="H79" s="19"/>
      <c r="I79" s="25" t="str">
        <f>IF(F79="","",IF(H79="",IFERROR(INDEX(Catalogue!$I$6:$I$55,MATCH(F79,Catalogue!$B$6:$B$55,0)),0),H79))</f>
        <v/>
      </c>
      <c r="J79" s="19"/>
      <c r="K79" s="25" t="str">
        <f t="shared" si="5"/>
        <v/>
      </c>
      <c r="L79" s="18"/>
      <c r="M79" s="18"/>
      <c r="N79" s="18"/>
      <c r="O79" s="19"/>
      <c r="P79" s="25" t="str">
        <f>IF(F79="","",IF(O79="",IFERROR(INDEX(Catalogue!$G$6:$G$55,MATCH(F79,Catalogue!$B$6:$B$55,0)),0),O79))</f>
        <v/>
      </c>
      <c r="Q79" s="25" t="str">
        <f>IF(F79="","",N(G79)*(IFERROR(INDEX(Catalogue!$E$6:$E$55,MATCH(F79,Catalogue!$B$6:$B$55,0)),0)+IFERROR(INDEX(Catalogue!$F$6:$F$55,MATCH(F79,Catalogue!$B$6:$B$55,0)),0)+IFERROR(INDEX(Catalogue!$H$6:$H$55,MATCH(F79,Catalogue!$B$6:$B$55,0)),0)))</f>
        <v/>
      </c>
      <c r="R79" s="25" t="str">
        <f t="shared" si="6"/>
        <v/>
      </c>
      <c r="S79" s="18"/>
      <c r="T79" s="24" t="str">
        <f t="shared" si="7"/>
        <v/>
      </c>
      <c r="U79" s="28" t="str">
        <f>IF(D79="","",IF(COUNTIF(D$6:D79,D79)=1,"Nouveau","Fidèle"))</f>
        <v/>
      </c>
    </row>
    <row r="80" spans="1:21" x14ac:dyDescent="0.25">
      <c r="A80" s="41" t="str">
        <f t="shared" si="4"/>
        <v/>
      </c>
      <c r="B80" s="38"/>
      <c r="C80" s="18"/>
      <c r="D80" s="18"/>
      <c r="E80" s="18"/>
      <c r="F80" s="18"/>
      <c r="G80" s="20"/>
      <c r="H80" s="19"/>
      <c r="I80" s="25" t="str">
        <f>IF(F80="","",IF(H80="",IFERROR(INDEX(Catalogue!$I$6:$I$55,MATCH(F80,Catalogue!$B$6:$B$55,0)),0),H80))</f>
        <v/>
      </c>
      <c r="J80" s="19"/>
      <c r="K80" s="25" t="str">
        <f t="shared" si="5"/>
        <v/>
      </c>
      <c r="L80" s="18"/>
      <c r="M80" s="18"/>
      <c r="N80" s="18"/>
      <c r="O80" s="19"/>
      <c r="P80" s="25" t="str">
        <f>IF(F80="","",IF(O80="",IFERROR(INDEX(Catalogue!$G$6:$G$55,MATCH(F80,Catalogue!$B$6:$B$55,0)),0),O80))</f>
        <v/>
      </c>
      <c r="Q80" s="25" t="str">
        <f>IF(F80="","",N(G80)*(IFERROR(INDEX(Catalogue!$E$6:$E$55,MATCH(F80,Catalogue!$B$6:$B$55,0)),0)+IFERROR(INDEX(Catalogue!$F$6:$F$55,MATCH(F80,Catalogue!$B$6:$B$55,0)),0)+IFERROR(INDEX(Catalogue!$H$6:$H$55,MATCH(F80,Catalogue!$B$6:$B$55,0)),0)))</f>
        <v/>
      </c>
      <c r="R80" s="25" t="str">
        <f t="shared" si="6"/>
        <v/>
      </c>
      <c r="S80" s="18"/>
      <c r="T80" s="24" t="str">
        <f t="shared" si="7"/>
        <v/>
      </c>
      <c r="U80" s="28" t="str">
        <f>IF(D80="","",IF(COUNTIF(D$6:D80,D80)=1,"Nouveau","Fidèle"))</f>
        <v/>
      </c>
    </row>
    <row r="81" spans="1:21" x14ac:dyDescent="0.25">
      <c r="A81" s="41" t="str">
        <f t="shared" si="4"/>
        <v/>
      </c>
      <c r="B81" s="38"/>
      <c r="C81" s="18"/>
      <c r="D81" s="18"/>
      <c r="E81" s="18"/>
      <c r="F81" s="18"/>
      <c r="G81" s="20"/>
      <c r="H81" s="19"/>
      <c r="I81" s="25" t="str">
        <f>IF(F81="","",IF(H81="",IFERROR(INDEX(Catalogue!$I$6:$I$55,MATCH(F81,Catalogue!$B$6:$B$55,0)),0),H81))</f>
        <v/>
      </c>
      <c r="J81" s="19"/>
      <c r="K81" s="25" t="str">
        <f t="shared" si="5"/>
        <v/>
      </c>
      <c r="L81" s="18"/>
      <c r="M81" s="18"/>
      <c r="N81" s="18"/>
      <c r="O81" s="19"/>
      <c r="P81" s="25" t="str">
        <f>IF(F81="","",IF(O81="",IFERROR(INDEX(Catalogue!$G$6:$G$55,MATCH(F81,Catalogue!$B$6:$B$55,0)),0),O81))</f>
        <v/>
      </c>
      <c r="Q81" s="25" t="str">
        <f>IF(F81="","",N(G81)*(IFERROR(INDEX(Catalogue!$E$6:$E$55,MATCH(F81,Catalogue!$B$6:$B$55,0)),0)+IFERROR(INDEX(Catalogue!$F$6:$F$55,MATCH(F81,Catalogue!$B$6:$B$55,0)),0)+IFERROR(INDEX(Catalogue!$H$6:$H$55,MATCH(F81,Catalogue!$B$6:$B$55,0)),0)))</f>
        <v/>
      </c>
      <c r="R81" s="25" t="str">
        <f t="shared" si="6"/>
        <v/>
      </c>
      <c r="S81" s="18"/>
      <c r="T81" s="24" t="str">
        <f t="shared" si="7"/>
        <v/>
      </c>
      <c r="U81" s="28" t="str">
        <f>IF(D81="","",IF(COUNTIF(D$6:D81,D81)=1,"Nouveau","Fidèle"))</f>
        <v/>
      </c>
    </row>
    <row r="82" spans="1:21" x14ac:dyDescent="0.25">
      <c r="A82" s="41" t="str">
        <f t="shared" si="4"/>
        <v/>
      </c>
      <c r="B82" s="38"/>
      <c r="C82" s="18"/>
      <c r="D82" s="18"/>
      <c r="E82" s="18"/>
      <c r="F82" s="18"/>
      <c r="G82" s="20"/>
      <c r="H82" s="19"/>
      <c r="I82" s="25" t="str">
        <f>IF(F82="","",IF(H82="",IFERROR(INDEX(Catalogue!$I$6:$I$55,MATCH(F82,Catalogue!$B$6:$B$55,0)),0),H82))</f>
        <v/>
      </c>
      <c r="J82" s="19"/>
      <c r="K82" s="25" t="str">
        <f t="shared" si="5"/>
        <v/>
      </c>
      <c r="L82" s="18"/>
      <c r="M82" s="18"/>
      <c r="N82" s="18"/>
      <c r="O82" s="19"/>
      <c r="P82" s="25" t="str">
        <f>IF(F82="","",IF(O82="",IFERROR(INDEX(Catalogue!$G$6:$G$55,MATCH(F82,Catalogue!$B$6:$B$55,0)),0),O82))</f>
        <v/>
      </c>
      <c r="Q82" s="25" t="str">
        <f>IF(F82="","",N(G82)*(IFERROR(INDEX(Catalogue!$E$6:$E$55,MATCH(F82,Catalogue!$B$6:$B$55,0)),0)+IFERROR(INDEX(Catalogue!$F$6:$F$55,MATCH(F82,Catalogue!$B$6:$B$55,0)),0)+IFERROR(INDEX(Catalogue!$H$6:$H$55,MATCH(F82,Catalogue!$B$6:$B$55,0)),0)))</f>
        <v/>
      </c>
      <c r="R82" s="25" t="str">
        <f t="shared" si="6"/>
        <v/>
      </c>
      <c r="S82" s="18"/>
      <c r="T82" s="24" t="str">
        <f t="shared" si="7"/>
        <v/>
      </c>
      <c r="U82" s="28" t="str">
        <f>IF(D82="","",IF(COUNTIF(D$6:D82,D82)=1,"Nouveau","Fidèle"))</f>
        <v/>
      </c>
    </row>
    <row r="83" spans="1:21" x14ac:dyDescent="0.25">
      <c r="A83" s="41" t="str">
        <f t="shared" si="4"/>
        <v/>
      </c>
      <c r="B83" s="38"/>
      <c r="C83" s="18"/>
      <c r="D83" s="18"/>
      <c r="E83" s="18"/>
      <c r="F83" s="18"/>
      <c r="G83" s="20"/>
      <c r="H83" s="19"/>
      <c r="I83" s="25" t="str">
        <f>IF(F83="","",IF(H83="",IFERROR(INDEX(Catalogue!$I$6:$I$55,MATCH(F83,Catalogue!$B$6:$B$55,0)),0),H83))</f>
        <v/>
      </c>
      <c r="J83" s="19"/>
      <c r="K83" s="25" t="str">
        <f t="shared" si="5"/>
        <v/>
      </c>
      <c r="L83" s="18"/>
      <c r="M83" s="18"/>
      <c r="N83" s="18"/>
      <c r="O83" s="19"/>
      <c r="P83" s="25" t="str">
        <f>IF(F83="","",IF(O83="",IFERROR(INDEX(Catalogue!$G$6:$G$55,MATCH(F83,Catalogue!$B$6:$B$55,0)),0),O83))</f>
        <v/>
      </c>
      <c r="Q83" s="25" t="str">
        <f>IF(F83="","",N(G83)*(IFERROR(INDEX(Catalogue!$E$6:$E$55,MATCH(F83,Catalogue!$B$6:$B$55,0)),0)+IFERROR(INDEX(Catalogue!$F$6:$F$55,MATCH(F83,Catalogue!$B$6:$B$55,0)),0)+IFERROR(INDEX(Catalogue!$H$6:$H$55,MATCH(F83,Catalogue!$B$6:$B$55,0)),0)))</f>
        <v/>
      </c>
      <c r="R83" s="25" t="str">
        <f t="shared" si="6"/>
        <v/>
      </c>
      <c r="S83" s="18"/>
      <c r="T83" s="24" t="str">
        <f t="shared" si="7"/>
        <v/>
      </c>
      <c r="U83" s="28" t="str">
        <f>IF(D83="","",IF(COUNTIF(D$6:D83,D83)=1,"Nouveau","Fidèle"))</f>
        <v/>
      </c>
    </row>
    <row r="84" spans="1:21" x14ac:dyDescent="0.25">
      <c r="A84" s="41" t="str">
        <f t="shared" si="4"/>
        <v/>
      </c>
      <c r="B84" s="38"/>
      <c r="C84" s="18"/>
      <c r="D84" s="18"/>
      <c r="E84" s="18"/>
      <c r="F84" s="18"/>
      <c r="G84" s="20"/>
      <c r="H84" s="19"/>
      <c r="I84" s="25" t="str">
        <f>IF(F84="","",IF(H84="",IFERROR(INDEX(Catalogue!$I$6:$I$55,MATCH(F84,Catalogue!$B$6:$B$55,0)),0),H84))</f>
        <v/>
      </c>
      <c r="J84" s="19"/>
      <c r="K84" s="25" t="str">
        <f t="shared" si="5"/>
        <v/>
      </c>
      <c r="L84" s="18"/>
      <c r="M84" s="18"/>
      <c r="N84" s="18"/>
      <c r="O84" s="19"/>
      <c r="P84" s="25" t="str">
        <f>IF(F84="","",IF(O84="",IFERROR(INDEX(Catalogue!$G$6:$G$55,MATCH(F84,Catalogue!$B$6:$B$55,0)),0),O84))</f>
        <v/>
      </c>
      <c r="Q84" s="25" t="str">
        <f>IF(F84="","",N(G84)*(IFERROR(INDEX(Catalogue!$E$6:$E$55,MATCH(F84,Catalogue!$B$6:$B$55,0)),0)+IFERROR(INDEX(Catalogue!$F$6:$F$55,MATCH(F84,Catalogue!$B$6:$B$55,0)),0)+IFERROR(INDEX(Catalogue!$H$6:$H$55,MATCH(F84,Catalogue!$B$6:$B$55,0)),0)))</f>
        <v/>
      </c>
      <c r="R84" s="25" t="str">
        <f t="shared" si="6"/>
        <v/>
      </c>
      <c r="S84" s="18"/>
      <c r="T84" s="24" t="str">
        <f t="shared" si="7"/>
        <v/>
      </c>
      <c r="U84" s="28" t="str">
        <f>IF(D84="","",IF(COUNTIF(D$6:D84,D84)=1,"Nouveau","Fidèle"))</f>
        <v/>
      </c>
    </row>
    <row r="85" spans="1:21" x14ac:dyDescent="0.25">
      <c r="A85" s="41" t="str">
        <f t="shared" si="4"/>
        <v/>
      </c>
      <c r="B85" s="38"/>
      <c r="C85" s="18"/>
      <c r="D85" s="18"/>
      <c r="E85" s="18"/>
      <c r="F85" s="18"/>
      <c r="G85" s="20"/>
      <c r="H85" s="19"/>
      <c r="I85" s="25" t="str">
        <f>IF(F85="","",IF(H85="",IFERROR(INDEX(Catalogue!$I$6:$I$55,MATCH(F85,Catalogue!$B$6:$B$55,0)),0),H85))</f>
        <v/>
      </c>
      <c r="J85" s="19"/>
      <c r="K85" s="25" t="str">
        <f t="shared" si="5"/>
        <v/>
      </c>
      <c r="L85" s="18"/>
      <c r="M85" s="18"/>
      <c r="N85" s="18"/>
      <c r="O85" s="19"/>
      <c r="P85" s="25" t="str">
        <f>IF(F85="","",IF(O85="",IFERROR(INDEX(Catalogue!$G$6:$G$55,MATCH(F85,Catalogue!$B$6:$B$55,0)),0),O85))</f>
        <v/>
      </c>
      <c r="Q85" s="25" t="str">
        <f>IF(F85="","",N(G85)*(IFERROR(INDEX(Catalogue!$E$6:$E$55,MATCH(F85,Catalogue!$B$6:$B$55,0)),0)+IFERROR(INDEX(Catalogue!$F$6:$F$55,MATCH(F85,Catalogue!$B$6:$B$55,0)),0)+IFERROR(INDEX(Catalogue!$H$6:$H$55,MATCH(F85,Catalogue!$B$6:$B$55,0)),0)))</f>
        <v/>
      </c>
      <c r="R85" s="25" t="str">
        <f t="shared" si="6"/>
        <v/>
      </c>
      <c r="S85" s="18"/>
      <c r="T85" s="24" t="str">
        <f t="shared" si="7"/>
        <v/>
      </c>
      <c r="U85" s="28" t="str">
        <f>IF(D85="","",IF(COUNTIF(D$6:D85,D85)=1,"Nouveau","Fidèle"))</f>
        <v/>
      </c>
    </row>
    <row r="86" spans="1:21" x14ac:dyDescent="0.25">
      <c r="A86" s="41" t="str">
        <f t="shared" si="4"/>
        <v/>
      </c>
      <c r="B86" s="38"/>
      <c r="C86" s="18"/>
      <c r="D86" s="18"/>
      <c r="E86" s="18"/>
      <c r="F86" s="18"/>
      <c r="G86" s="20"/>
      <c r="H86" s="19"/>
      <c r="I86" s="25" t="str">
        <f>IF(F86="","",IF(H86="",IFERROR(INDEX(Catalogue!$I$6:$I$55,MATCH(F86,Catalogue!$B$6:$B$55,0)),0),H86))</f>
        <v/>
      </c>
      <c r="J86" s="19"/>
      <c r="K86" s="25" t="str">
        <f t="shared" si="5"/>
        <v/>
      </c>
      <c r="L86" s="18"/>
      <c r="M86" s="18"/>
      <c r="N86" s="18"/>
      <c r="O86" s="19"/>
      <c r="P86" s="25" t="str">
        <f>IF(F86="","",IF(O86="",IFERROR(INDEX(Catalogue!$G$6:$G$55,MATCH(F86,Catalogue!$B$6:$B$55,0)),0),O86))</f>
        <v/>
      </c>
      <c r="Q86" s="25" t="str">
        <f>IF(F86="","",N(G86)*(IFERROR(INDEX(Catalogue!$E$6:$E$55,MATCH(F86,Catalogue!$B$6:$B$55,0)),0)+IFERROR(INDEX(Catalogue!$F$6:$F$55,MATCH(F86,Catalogue!$B$6:$B$55,0)),0)+IFERROR(INDEX(Catalogue!$H$6:$H$55,MATCH(F86,Catalogue!$B$6:$B$55,0)),0)))</f>
        <v/>
      </c>
      <c r="R86" s="25" t="str">
        <f t="shared" si="6"/>
        <v/>
      </c>
      <c r="S86" s="18"/>
      <c r="T86" s="24" t="str">
        <f t="shared" si="7"/>
        <v/>
      </c>
      <c r="U86" s="28" t="str">
        <f>IF(D86="","",IF(COUNTIF(D$6:D86,D86)=1,"Nouveau","Fidèle"))</f>
        <v/>
      </c>
    </row>
    <row r="87" spans="1:21" x14ac:dyDescent="0.25">
      <c r="A87" s="41" t="str">
        <f t="shared" si="4"/>
        <v/>
      </c>
      <c r="B87" s="38"/>
      <c r="C87" s="18"/>
      <c r="D87" s="18"/>
      <c r="E87" s="18"/>
      <c r="F87" s="18"/>
      <c r="G87" s="20"/>
      <c r="H87" s="19"/>
      <c r="I87" s="25" t="str">
        <f>IF(F87="","",IF(H87="",IFERROR(INDEX(Catalogue!$I$6:$I$55,MATCH(F87,Catalogue!$B$6:$B$55,0)),0),H87))</f>
        <v/>
      </c>
      <c r="J87" s="19"/>
      <c r="K87" s="25" t="str">
        <f t="shared" si="5"/>
        <v/>
      </c>
      <c r="L87" s="18"/>
      <c r="M87" s="18"/>
      <c r="N87" s="18"/>
      <c r="O87" s="19"/>
      <c r="P87" s="25" t="str">
        <f>IF(F87="","",IF(O87="",IFERROR(INDEX(Catalogue!$G$6:$G$55,MATCH(F87,Catalogue!$B$6:$B$55,0)),0),O87))</f>
        <v/>
      </c>
      <c r="Q87" s="25" t="str">
        <f>IF(F87="","",N(G87)*(IFERROR(INDEX(Catalogue!$E$6:$E$55,MATCH(F87,Catalogue!$B$6:$B$55,0)),0)+IFERROR(INDEX(Catalogue!$F$6:$F$55,MATCH(F87,Catalogue!$B$6:$B$55,0)),0)+IFERROR(INDEX(Catalogue!$H$6:$H$55,MATCH(F87,Catalogue!$B$6:$B$55,0)),0)))</f>
        <v/>
      </c>
      <c r="R87" s="25" t="str">
        <f t="shared" si="6"/>
        <v/>
      </c>
      <c r="S87" s="18"/>
      <c r="T87" s="24" t="str">
        <f t="shared" si="7"/>
        <v/>
      </c>
      <c r="U87" s="28" t="str">
        <f>IF(D87="","",IF(COUNTIF(D$6:D87,D87)=1,"Nouveau","Fidèle"))</f>
        <v/>
      </c>
    </row>
    <row r="88" spans="1:21" x14ac:dyDescent="0.25">
      <c r="A88" s="41" t="str">
        <f t="shared" si="4"/>
        <v/>
      </c>
      <c r="B88" s="38"/>
      <c r="C88" s="18"/>
      <c r="D88" s="18"/>
      <c r="E88" s="18"/>
      <c r="F88" s="18"/>
      <c r="G88" s="20"/>
      <c r="H88" s="19"/>
      <c r="I88" s="25" t="str">
        <f>IF(F88="","",IF(H88="",IFERROR(INDEX(Catalogue!$I$6:$I$55,MATCH(F88,Catalogue!$B$6:$B$55,0)),0),H88))</f>
        <v/>
      </c>
      <c r="J88" s="19"/>
      <c r="K88" s="25" t="str">
        <f t="shared" si="5"/>
        <v/>
      </c>
      <c r="L88" s="18"/>
      <c r="M88" s="18"/>
      <c r="N88" s="18"/>
      <c r="O88" s="19"/>
      <c r="P88" s="25" t="str">
        <f>IF(F88="","",IF(O88="",IFERROR(INDEX(Catalogue!$G$6:$G$55,MATCH(F88,Catalogue!$B$6:$B$55,0)),0),O88))</f>
        <v/>
      </c>
      <c r="Q88" s="25" t="str">
        <f>IF(F88="","",N(G88)*(IFERROR(INDEX(Catalogue!$E$6:$E$55,MATCH(F88,Catalogue!$B$6:$B$55,0)),0)+IFERROR(INDEX(Catalogue!$F$6:$F$55,MATCH(F88,Catalogue!$B$6:$B$55,0)),0)+IFERROR(INDEX(Catalogue!$H$6:$H$55,MATCH(F88,Catalogue!$B$6:$B$55,0)),0)))</f>
        <v/>
      </c>
      <c r="R88" s="25" t="str">
        <f t="shared" si="6"/>
        <v/>
      </c>
      <c r="S88" s="18"/>
      <c r="T88" s="24" t="str">
        <f t="shared" si="7"/>
        <v/>
      </c>
      <c r="U88" s="28" t="str">
        <f>IF(D88="","",IF(COUNTIF(D$6:D88,D88)=1,"Nouveau","Fidèle"))</f>
        <v/>
      </c>
    </row>
    <row r="89" spans="1:21" x14ac:dyDescent="0.25">
      <c r="A89" s="41" t="str">
        <f t="shared" si="4"/>
        <v/>
      </c>
      <c r="B89" s="38"/>
      <c r="C89" s="18"/>
      <c r="D89" s="18"/>
      <c r="E89" s="18"/>
      <c r="F89" s="18"/>
      <c r="G89" s="20"/>
      <c r="H89" s="19"/>
      <c r="I89" s="25" t="str">
        <f>IF(F89="","",IF(H89="",IFERROR(INDEX(Catalogue!$I$6:$I$55,MATCH(F89,Catalogue!$B$6:$B$55,0)),0),H89))</f>
        <v/>
      </c>
      <c r="J89" s="19"/>
      <c r="K89" s="25" t="str">
        <f t="shared" si="5"/>
        <v/>
      </c>
      <c r="L89" s="18"/>
      <c r="M89" s="18"/>
      <c r="N89" s="18"/>
      <c r="O89" s="19"/>
      <c r="P89" s="25" t="str">
        <f>IF(F89="","",IF(O89="",IFERROR(INDEX(Catalogue!$G$6:$G$55,MATCH(F89,Catalogue!$B$6:$B$55,0)),0),O89))</f>
        <v/>
      </c>
      <c r="Q89" s="25" t="str">
        <f>IF(F89="","",N(G89)*(IFERROR(INDEX(Catalogue!$E$6:$E$55,MATCH(F89,Catalogue!$B$6:$B$55,0)),0)+IFERROR(INDEX(Catalogue!$F$6:$F$55,MATCH(F89,Catalogue!$B$6:$B$55,0)),0)+IFERROR(INDEX(Catalogue!$H$6:$H$55,MATCH(F89,Catalogue!$B$6:$B$55,0)),0)))</f>
        <v/>
      </c>
      <c r="R89" s="25" t="str">
        <f t="shared" si="6"/>
        <v/>
      </c>
      <c r="S89" s="18"/>
      <c r="T89" s="24" t="str">
        <f t="shared" si="7"/>
        <v/>
      </c>
      <c r="U89" s="28" t="str">
        <f>IF(D89="","",IF(COUNTIF(D$6:D89,D89)=1,"Nouveau","Fidèle"))</f>
        <v/>
      </c>
    </row>
    <row r="90" spans="1:21" x14ac:dyDescent="0.25">
      <c r="A90" s="41" t="str">
        <f t="shared" si="4"/>
        <v/>
      </c>
      <c r="B90" s="38"/>
      <c r="C90" s="18"/>
      <c r="D90" s="18"/>
      <c r="E90" s="18"/>
      <c r="F90" s="18"/>
      <c r="G90" s="20"/>
      <c r="H90" s="19"/>
      <c r="I90" s="25" t="str">
        <f>IF(F90="","",IF(H90="",IFERROR(INDEX(Catalogue!$I$6:$I$55,MATCH(F90,Catalogue!$B$6:$B$55,0)),0),H90))</f>
        <v/>
      </c>
      <c r="J90" s="19"/>
      <c r="K90" s="25" t="str">
        <f t="shared" si="5"/>
        <v/>
      </c>
      <c r="L90" s="18"/>
      <c r="M90" s="18"/>
      <c r="N90" s="18"/>
      <c r="O90" s="19"/>
      <c r="P90" s="25" t="str">
        <f>IF(F90="","",IF(O90="",IFERROR(INDEX(Catalogue!$G$6:$G$55,MATCH(F90,Catalogue!$B$6:$B$55,0)),0),O90))</f>
        <v/>
      </c>
      <c r="Q90" s="25" t="str">
        <f>IF(F90="","",N(G90)*(IFERROR(INDEX(Catalogue!$E$6:$E$55,MATCH(F90,Catalogue!$B$6:$B$55,0)),0)+IFERROR(INDEX(Catalogue!$F$6:$F$55,MATCH(F90,Catalogue!$B$6:$B$55,0)),0)+IFERROR(INDEX(Catalogue!$H$6:$H$55,MATCH(F90,Catalogue!$B$6:$B$55,0)),0)))</f>
        <v/>
      </c>
      <c r="R90" s="25" t="str">
        <f t="shared" si="6"/>
        <v/>
      </c>
      <c r="S90" s="18"/>
      <c r="T90" s="24" t="str">
        <f t="shared" si="7"/>
        <v/>
      </c>
      <c r="U90" s="28" t="str">
        <f>IF(D90="","",IF(COUNTIF(D$6:D90,D90)=1,"Nouveau","Fidèle"))</f>
        <v/>
      </c>
    </row>
    <row r="91" spans="1:21" x14ac:dyDescent="0.25">
      <c r="A91" s="41" t="str">
        <f t="shared" si="4"/>
        <v/>
      </c>
      <c r="B91" s="38"/>
      <c r="C91" s="18"/>
      <c r="D91" s="18"/>
      <c r="E91" s="18"/>
      <c r="F91" s="18"/>
      <c r="G91" s="20"/>
      <c r="H91" s="19"/>
      <c r="I91" s="25" t="str">
        <f>IF(F91="","",IF(H91="",IFERROR(INDEX(Catalogue!$I$6:$I$55,MATCH(F91,Catalogue!$B$6:$B$55,0)),0),H91))</f>
        <v/>
      </c>
      <c r="J91" s="19"/>
      <c r="K91" s="25" t="str">
        <f t="shared" si="5"/>
        <v/>
      </c>
      <c r="L91" s="18"/>
      <c r="M91" s="18"/>
      <c r="N91" s="18"/>
      <c r="O91" s="19"/>
      <c r="P91" s="25" t="str">
        <f>IF(F91="","",IF(O91="",IFERROR(INDEX(Catalogue!$G$6:$G$55,MATCH(F91,Catalogue!$B$6:$B$55,0)),0),O91))</f>
        <v/>
      </c>
      <c r="Q91" s="25" t="str">
        <f>IF(F91="","",N(G91)*(IFERROR(INDEX(Catalogue!$E$6:$E$55,MATCH(F91,Catalogue!$B$6:$B$55,0)),0)+IFERROR(INDEX(Catalogue!$F$6:$F$55,MATCH(F91,Catalogue!$B$6:$B$55,0)),0)+IFERROR(INDEX(Catalogue!$H$6:$H$55,MATCH(F91,Catalogue!$B$6:$B$55,0)),0)))</f>
        <v/>
      </c>
      <c r="R91" s="25" t="str">
        <f t="shared" si="6"/>
        <v/>
      </c>
      <c r="S91" s="18"/>
      <c r="T91" s="24" t="str">
        <f t="shared" si="7"/>
        <v/>
      </c>
      <c r="U91" s="28" t="str">
        <f>IF(D91="","",IF(COUNTIF(D$6:D91,D91)=1,"Nouveau","Fidèle"))</f>
        <v/>
      </c>
    </row>
    <row r="92" spans="1:21" x14ac:dyDescent="0.25">
      <c r="A92" s="41" t="str">
        <f t="shared" si="4"/>
        <v/>
      </c>
      <c r="B92" s="38"/>
      <c r="C92" s="18"/>
      <c r="D92" s="18"/>
      <c r="E92" s="18"/>
      <c r="F92" s="18"/>
      <c r="G92" s="20"/>
      <c r="H92" s="19"/>
      <c r="I92" s="25" t="str">
        <f>IF(F92="","",IF(H92="",IFERROR(INDEX(Catalogue!$I$6:$I$55,MATCH(F92,Catalogue!$B$6:$B$55,0)),0),H92))</f>
        <v/>
      </c>
      <c r="J92" s="19"/>
      <c r="K92" s="25" t="str">
        <f t="shared" si="5"/>
        <v/>
      </c>
      <c r="L92" s="18"/>
      <c r="M92" s="18"/>
      <c r="N92" s="18"/>
      <c r="O92" s="19"/>
      <c r="P92" s="25" t="str">
        <f>IF(F92="","",IF(O92="",IFERROR(INDEX(Catalogue!$G$6:$G$55,MATCH(F92,Catalogue!$B$6:$B$55,0)),0),O92))</f>
        <v/>
      </c>
      <c r="Q92" s="25" t="str">
        <f>IF(F92="","",N(G92)*(IFERROR(INDEX(Catalogue!$E$6:$E$55,MATCH(F92,Catalogue!$B$6:$B$55,0)),0)+IFERROR(INDEX(Catalogue!$F$6:$F$55,MATCH(F92,Catalogue!$B$6:$B$55,0)),0)+IFERROR(INDEX(Catalogue!$H$6:$H$55,MATCH(F92,Catalogue!$B$6:$B$55,0)),0)))</f>
        <v/>
      </c>
      <c r="R92" s="25" t="str">
        <f t="shared" si="6"/>
        <v/>
      </c>
      <c r="S92" s="18"/>
      <c r="T92" s="24" t="str">
        <f t="shared" si="7"/>
        <v/>
      </c>
      <c r="U92" s="28" t="str">
        <f>IF(D92="","",IF(COUNTIF(D$6:D92,D92)=1,"Nouveau","Fidèle"))</f>
        <v/>
      </c>
    </row>
    <row r="93" spans="1:21" x14ac:dyDescent="0.25">
      <c r="A93" s="41" t="str">
        <f t="shared" si="4"/>
        <v/>
      </c>
      <c r="B93" s="38"/>
      <c r="C93" s="18"/>
      <c r="D93" s="18"/>
      <c r="E93" s="18"/>
      <c r="F93" s="18"/>
      <c r="G93" s="20"/>
      <c r="H93" s="19"/>
      <c r="I93" s="25" t="str">
        <f>IF(F93="","",IF(H93="",IFERROR(INDEX(Catalogue!$I$6:$I$55,MATCH(F93,Catalogue!$B$6:$B$55,0)),0),H93))</f>
        <v/>
      </c>
      <c r="J93" s="19"/>
      <c r="K93" s="25" t="str">
        <f t="shared" si="5"/>
        <v/>
      </c>
      <c r="L93" s="18"/>
      <c r="M93" s="18"/>
      <c r="N93" s="18"/>
      <c r="O93" s="19"/>
      <c r="P93" s="25" t="str">
        <f>IF(F93="","",IF(O93="",IFERROR(INDEX(Catalogue!$G$6:$G$55,MATCH(F93,Catalogue!$B$6:$B$55,0)),0),O93))</f>
        <v/>
      </c>
      <c r="Q93" s="25" t="str">
        <f>IF(F93="","",N(G93)*(IFERROR(INDEX(Catalogue!$E$6:$E$55,MATCH(F93,Catalogue!$B$6:$B$55,0)),0)+IFERROR(INDEX(Catalogue!$F$6:$F$55,MATCH(F93,Catalogue!$B$6:$B$55,0)),0)+IFERROR(INDEX(Catalogue!$H$6:$H$55,MATCH(F93,Catalogue!$B$6:$B$55,0)),0)))</f>
        <v/>
      </c>
      <c r="R93" s="25" t="str">
        <f t="shared" si="6"/>
        <v/>
      </c>
      <c r="S93" s="18"/>
      <c r="T93" s="24" t="str">
        <f t="shared" si="7"/>
        <v/>
      </c>
      <c r="U93" s="28" t="str">
        <f>IF(D93="","",IF(COUNTIF(D$6:D93,D93)=1,"Nouveau","Fidèle"))</f>
        <v/>
      </c>
    </row>
    <row r="94" spans="1:21" x14ac:dyDescent="0.25">
      <c r="A94" s="41" t="str">
        <f t="shared" si="4"/>
        <v/>
      </c>
      <c r="B94" s="38"/>
      <c r="C94" s="18"/>
      <c r="D94" s="18"/>
      <c r="E94" s="18"/>
      <c r="F94" s="18"/>
      <c r="G94" s="20"/>
      <c r="H94" s="19"/>
      <c r="I94" s="25" t="str">
        <f>IF(F94="","",IF(H94="",IFERROR(INDEX(Catalogue!$I$6:$I$55,MATCH(F94,Catalogue!$B$6:$B$55,0)),0),H94))</f>
        <v/>
      </c>
      <c r="J94" s="19"/>
      <c r="K94" s="25" t="str">
        <f t="shared" si="5"/>
        <v/>
      </c>
      <c r="L94" s="18"/>
      <c r="M94" s="18"/>
      <c r="N94" s="18"/>
      <c r="O94" s="19"/>
      <c r="P94" s="25" t="str">
        <f>IF(F94="","",IF(O94="",IFERROR(INDEX(Catalogue!$G$6:$G$55,MATCH(F94,Catalogue!$B$6:$B$55,0)),0),O94))</f>
        <v/>
      </c>
      <c r="Q94" s="25" t="str">
        <f>IF(F94="","",N(G94)*(IFERROR(INDEX(Catalogue!$E$6:$E$55,MATCH(F94,Catalogue!$B$6:$B$55,0)),0)+IFERROR(INDEX(Catalogue!$F$6:$F$55,MATCH(F94,Catalogue!$B$6:$B$55,0)),0)+IFERROR(INDEX(Catalogue!$H$6:$H$55,MATCH(F94,Catalogue!$B$6:$B$55,0)),0)))</f>
        <v/>
      </c>
      <c r="R94" s="25" t="str">
        <f t="shared" si="6"/>
        <v/>
      </c>
      <c r="S94" s="18"/>
      <c r="T94" s="24" t="str">
        <f t="shared" si="7"/>
        <v/>
      </c>
      <c r="U94" s="28" t="str">
        <f>IF(D94="","",IF(COUNTIF(D$6:D94,D94)=1,"Nouveau","Fidèle"))</f>
        <v/>
      </c>
    </row>
    <row r="95" spans="1:21" x14ac:dyDescent="0.25">
      <c r="A95" s="41" t="str">
        <f t="shared" si="4"/>
        <v/>
      </c>
      <c r="B95" s="38"/>
      <c r="C95" s="18"/>
      <c r="D95" s="18"/>
      <c r="E95" s="18"/>
      <c r="F95" s="18"/>
      <c r="G95" s="20"/>
      <c r="H95" s="19"/>
      <c r="I95" s="25" t="str">
        <f>IF(F95="","",IF(H95="",IFERROR(INDEX(Catalogue!$I$6:$I$55,MATCH(F95,Catalogue!$B$6:$B$55,0)),0),H95))</f>
        <v/>
      </c>
      <c r="J95" s="19"/>
      <c r="K95" s="25" t="str">
        <f t="shared" si="5"/>
        <v/>
      </c>
      <c r="L95" s="18"/>
      <c r="M95" s="18"/>
      <c r="N95" s="18"/>
      <c r="O95" s="19"/>
      <c r="P95" s="25" t="str">
        <f>IF(F95="","",IF(O95="",IFERROR(INDEX(Catalogue!$G$6:$G$55,MATCH(F95,Catalogue!$B$6:$B$55,0)),0),O95))</f>
        <v/>
      </c>
      <c r="Q95" s="25" t="str">
        <f>IF(F95="","",N(G95)*(IFERROR(INDEX(Catalogue!$E$6:$E$55,MATCH(F95,Catalogue!$B$6:$B$55,0)),0)+IFERROR(INDEX(Catalogue!$F$6:$F$55,MATCH(F95,Catalogue!$B$6:$B$55,0)),0)+IFERROR(INDEX(Catalogue!$H$6:$H$55,MATCH(F95,Catalogue!$B$6:$B$55,0)),0)))</f>
        <v/>
      </c>
      <c r="R95" s="25" t="str">
        <f t="shared" si="6"/>
        <v/>
      </c>
      <c r="S95" s="18"/>
      <c r="T95" s="24" t="str">
        <f t="shared" si="7"/>
        <v/>
      </c>
      <c r="U95" s="28" t="str">
        <f>IF(D95="","",IF(COUNTIF(D$6:D95,D95)=1,"Nouveau","Fidèle"))</f>
        <v/>
      </c>
    </row>
    <row r="96" spans="1:21" x14ac:dyDescent="0.25">
      <c r="A96" s="41" t="str">
        <f t="shared" si="4"/>
        <v/>
      </c>
      <c r="B96" s="38"/>
      <c r="C96" s="18"/>
      <c r="D96" s="18"/>
      <c r="E96" s="18"/>
      <c r="F96" s="18"/>
      <c r="G96" s="20"/>
      <c r="H96" s="19"/>
      <c r="I96" s="25" t="str">
        <f>IF(F96="","",IF(H96="",IFERROR(INDEX(Catalogue!$I$6:$I$55,MATCH(F96,Catalogue!$B$6:$B$55,0)),0),H96))</f>
        <v/>
      </c>
      <c r="J96" s="19"/>
      <c r="K96" s="25" t="str">
        <f t="shared" si="5"/>
        <v/>
      </c>
      <c r="L96" s="18"/>
      <c r="M96" s="18"/>
      <c r="N96" s="18"/>
      <c r="O96" s="19"/>
      <c r="P96" s="25" t="str">
        <f>IF(F96="","",IF(O96="",IFERROR(INDEX(Catalogue!$G$6:$G$55,MATCH(F96,Catalogue!$B$6:$B$55,0)),0),O96))</f>
        <v/>
      </c>
      <c r="Q96" s="25" t="str">
        <f>IF(F96="","",N(G96)*(IFERROR(INDEX(Catalogue!$E$6:$E$55,MATCH(F96,Catalogue!$B$6:$B$55,0)),0)+IFERROR(INDEX(Catalogue!$F$6:$F$55,MATCH(F96,Catalogue!$B$6:$B$55,0)),0)+IFERROR(INDEX(Catalogue!$H$6:$H$55,MATCH(F96,Catalogue!$B$6:$B$55,0)),0)))</f>
        <v/>
      </c>
      <c r="R96" s="25" t="str">
        <f t="shared" si="6"/>
        <v/>
      </c>
      <c r="S96" s="18"/>
      <c r="T96" s="24" t="str">
        <f t="shared" si="7"/>
        <v/>
      </c>
      <c r="U96" s="28" t="str">
        <f>IF(D96="","",IF(COUNTIF(D$6:D96,D96)=1,"Nouveau","Fidèle"))</f>
        <v/>
      </c>
    </row>
    <row r="97" spans="1:21" x14ac:dyDescent="0.25">
      <c r="A97" s="41" t="str">
        <f t="shared" si="4"/>
        <v/>
      </c>
      <c r="B97" s="38"/>
      <c r="C97" s="18"/>
      <c r="D97" s="18"/>
      <c r="E97" s="18"/>
      <c r="F97" s="18"/>
      <c r="G97" s="20"/>
      <c r="H97" s="19"/>
      <c r="I97" s="25" t="str">
        <f>IF(F97="","",IF(H97="",IFERROR(INDEX(Catalogue!$I$6:$I$55,MATCH(F97,Catalogue!$B$6:$B$55,0)),0),H97))</f>
        <v/>
      </c>
      <c r="J97" s="19"/>
      <c r="K97" s="25" t="str">
        <f t="shared" si="5"/>
        <v/>
      </c>
      <c r="L97" s="18"/>
      <c r="M97" s="18"/>
      <c r="N97" s="18"/>
      <c r="O97" s="19"/>
      <c r="P97" s="25" t="str">
        <f>IF(F97="","",IF(O97="",IFERROR(INDEX(Catalogue!$G$6:$G$55,MATCH(F97,Catalogue!$B$6:$B$55,0)),0),O97))</f>
        <v/>
      </c>
      <c r="Q97" s="25" t="str">
        <f>IF(F97="","",N(G97)*(IFERROR(INDEX(Catalogue!$E$6:$E$55,MATCH(F97,Catalogue!$B$6:$B$55,0)),0)+IFERROR(INDEX(Catalogue!$F$6:$F$55,MATCH(F97,Catalogue!$B$6:$B$55,0)),0)+IFERROR(INDEX(Catalogue!$H$6:$H$55,MATCH(F97,Catalogue!$B$6:$B$55,0)),0)))</f>
        <v/>
      </c>
      <c r="R97" s="25" t="str">
        <f t="shared" si="6"/>
        <v/>
      </c>
      <c r="S97" s="18"/>
      <c r="T97" s="24" t="str">
        <f t="shared" si="7"/>
        <v/>
      </c>
      <c r="U97" s="28" t="str">
        <f>IF(D97="","",IF(COUNTIF(D$6:D97,D97)=1,"Nouveau","Fidèle"))</f>
        <v/>
      </c>
    </row>
    <row r="98" spans="1:21" x14ac:dyDescent="0.25">
      <c r="A98" s="41" t="str">
        <f t="shared" si="4"/>
        <v/>
      </c>
      <c r="B98" s="38"/>
      <c r="C98" s="18"/>
      <c r="D98" s="18"/>
      <c r="E98" s="18"/>
      <c r="F98" s="18"/>
      <c r="G98" s="20"/>
      <c r="H98" s="19"/>
      <c r="I98" s="25" t="str">
        <f>IF(F98="","",IF(H98="",IFERROR(INDEX(Catalogue!$I$6:$I$55,MATCH(F98,Catalogue!$B$6:$B$55,0)),0),H98))</f>
        <v/>
      </c>
      <c r="J98" s="19"/>
      <c r="K98" s="25" t="str">
        <f t="shared" si="5"/>
        <v/>
      </c>
      <c r="L98" s="18"/>
      <c r="M98" s="18"/>
      <c r="N98" s="18"/>
      <c r="O98" s="19"/>
      <c r="P98" s="25" t="str">
        <f>IF(F98="","",IF(O98="",IFERROR(INDEX(Catalogue!$G$6:$G$55,MATCH(F98,Catalogue!$B$6:$B$55,0)),0),O98))</f>
        <v/>
      </c>
      <c r="Q98" s="25" t="str">
        <f>IF(F98="","",N(G98)*(IFERROR(INDEX(Catalogue!$E$6:$E$55,MATCH(F98,Catalogue!$B$6:$B$55,0)),0)+IFERROR(INDEX(Catalogue!$F$6:$F$55,MATCH(F98,Catalogue!$B$6:$B$55,0)),0)+IFERROR(INDEX(Catalogue!$H$6:$H$55,MATCH(F98,Catalogue!$B$6:$B$55,0)),0)))</f>
        <v/>
      </c>
      <c r="R98" s="25" t="str">
        <f t="shared" si="6"/>
        <v/>
      </c>
      <c r="S98" s="18"/>
      <c r="T98" s="24" t="str">
        <f t="shared" si="7"/>
        <v/>
      </c>
      <c r="U98" s="28" t="str">
        <f>IF(D98="","",IF(COUNTIF(D$6:D98,D98)=1,"Nouveau","Fidèle"))</f>
        <v/>
      </c>
    </row>
    <row r="99" spans="1:21" x14ac:dyDescent="0.25">
      <c r="A99" s="41" t="str">
        <f t="shared" si="4"/>
        <v/>
      </c>
      <c r="B99" s="38"/>
      <c r="C99" s="18"/>
      <c r="D99" s="18"/>
      <c r="E99" s="18"/>
      <c r="F99" s="18"/>
      <c r="G99" s="20"/>
      <c r="H99" s="19"/>
      <c r="I99" s="25" t="str">
        <f>IF(F99="","",IF(H99="",IFERROR(INDEX(Catalogue!$I$6:$I$55,MATCH(F99,Catalogue!$B$6:$B$55,0)),0),H99))</f>
        <v/>
      </c>
      <c r="J99" s="19"/>
      <c r="K99" s="25" t="str">
        <f t="shared" si="5"/>
        <v/>
      </c>
      <c r="L99" s="18"/>
      <c r="M99" s="18"/>
      <c r="N99" s="18"/>
      <c r="O99" s="19"/>
      <c r="P99" s="25" t="str">
        <f>IF(F99="","",IF(O99="",IFERROR(INDEX(Catalogue!$G$6:$G$55,MATCH(F99,Catalogue!$B$6:$B$55,0)),0),O99))</f>
        <v/>
      </c>
      <c r="Q99" s="25" t="str">
        <f>IF(F99="","",N(G99)*(IFERROR(INDEX(Catalogue!$E$6:$E$55,MATCH(F99,Catalogue!$B$6:$B$55,0)),0)+IFERROR(INDEX(Catalogue!$F$6:$F$55,MATCH(F99,Catalogue!$B$6:$B$55,0)),0)+IFERROR(INDEX(Catalogue!$H$6:$H$55,MATCH(F99,Catalogue!$B$6:$B$55,0)),0)))</f>
        <v/>
      </c>
      <c r="R99" s="25" t="str">
        <f t="shared" si="6"/>
        <v/>
      </c>
      <c r="S99" s="18"/>
      <c r="T99" s="24" t="str">
        <f t="shared" si="7"/>
        <v/>
      </c>
      <c r="U99" s="28" t="str">
        <f>IF(D99="","",IF(COUNTIF(D$6:D99,D99)=1,"Nouveau","Fidèle"))</f>
        <v/>
      </c>
    </row>
    <row r="100" spans="1:21" x14ac:dyDescent="0.25">
      <c r="A100" s="41" t="str">
        <f t="shared" si="4"/>
        <v/>
      </c>
      <c r="B100" s="38"/>
      <c r="C100" s="18"/>
      <c r="D100" s="18"/>
      <c r="E100" s="18"/>
      <c r="F100" s="18"/>
      <c r="G100" s="20"/>
      <c r="H100" s="19"/>
      <c r="I100" s="25" t="str">
        <f>IF(F100="","",IF(H100="",IFERROR(INDEX(Catalogue!$I$6:$I$55,MATCH(F100,Catalogue!$B$6:$B$55,0)),0),H100))</f>
        <v/>
      </c>
      <c r="J100" s="19"/>
      <c r="K100" s="25" t="str">
        <f t="shared" si="5"/>
        <v/>
      </c>
      <c r="L100" s="18"/>
      <c r="M100" s="18"/>
      <c r="N100" s="18"/>
      <c r="O100" s="19"/>
      <c r="P100" s="25" t="str">
        <f>IF(F100="","",IF(O100="",IFERROR(INDEX(Catalogue!$G$6:$G$55,MATCH(F100,Catalogue!$B$6:$B$55,0)),0),O100))</f>
        <v/>
      </c>
      <c r="Q100" s="25" t="str">
        <f>IF(F100="","",N(G100)*(IFERROR(INDEX(Catalogue!$E$6:$E$55,MATCH(F100,Catalogue!$B$6:$B$55,0)),0)+IFERROR(INDEX(Catalogue!$F$6:$F$55,MATCH(F100,Catalogue!$B$6:$B$55,0)),0)+IFERROR(INDEX(Catalogue!$H$6:$H$55,MATCH(F100,Catalogue!$B$6:$B$55,0)),0)))</f>
        <v/>
      </c>
      <c r="R100" s="25" t="str">
        <f t="shared" si="6"/>
        <v/>
      </c>
      <c r="S100" s="18"/>
      <c r="T100" s="24" t="str">
        <f t="shared" si="7"/>
        <v/>
      </c>
      <c r="U100" s="28" t="str">
        <f>IF(D100="","",IF(COUNTIF(D$6:D100,D100)=1,"Nouveau","Fidèle"))</f>
        <v/>
      </c>
    </row>
    <row r="101" spans="1:21" x14ac:dyDescent="0.25">
      <c r="A101" s="41" t="str">
        <f t="shared" si="4"/>
        <v/>
      </c>
      <c r="B101" s="38"/>
      <c r="C101" s="18"/>
      <c r="D101" s="18"/>
      <c r="E101" s="18"/>
      <c r="F101" s="18"/>
      <c r="G101" s="20"/>
      <c r="H101" s="19"/>
      <c r="I101" s="25" t="str">
        <f>IF(F101="","",IF(H101="",IFERROR(INDEX(Catalogue!$I$6:$I$55,MATCH(F101,Catalogue!$B$6:$B$55,0)),0),H101))</f>
        <v/>
      </c>
      <c r="J101" s="19"/>
      <c r="K101" s="25" t="str">
        <f t="shared" si="5"/>
        <v/>
      </c>
      <c r="L101" s="18"/>
      <c r="M101" s="18"/>
      <c r="N101" s="18"/>
      <c r="O101" s="19"/>
      <c r="P101" s="25" t="str">
        <f>IF(F101="","",IF(O101="",IFERROR(INDEX(Catalogue!$G$6:$G$55,MATCH(F101,Catalogue!$B$6:$B$55,0)),0),O101))</f>
        <v/>
      </c>
      <c r="Q101" s="25" t="str">
        <f>IF(F101="","",N(G101)*(IFERROR(INDEX(Catalogue!$E$6:$E$55,MATCH(F101,Catalogue!$B$6:$B$55,0)),0)+IFERROR(INDEX(Catalogue!$F$6:$F$55,MATCH(F101,Catalogue!$B$6:$B$55,0)),0)+IFERROR(INDEX(Catalogue!$H$6:$H$55,MATCH(F101,Catalogue!$B$6:$B$55,0)),0)))</f>
        <v/>
      </c>
      <c r="R101" s="25" t="str">
        <f t="shared" si="6"/>
        <v/>
      </c>
      <c r="S101" s="18"/>
      <c r="T101" s="24" t="str">
        <f t="shared" si="7"/>
        <v/>
      </c>
      <c r="U101" s="28" t="str">
        <f>IF(D101="","",IF(COUNTIF(D$6:D101,D101)=1,"Nouveau","Fidèle"))</f>
        <v/>
      </c>
    </row>
    <row r="102" spans="1:21" x14ac:dyDescent="0.25">
      <c r="A102" s="41" t="str">
        <f t="shared" si="4"/>
        <v/>
      </c>
      <c r="B102" s="38"/>
      <c r="C102" s="18"/>
      <c r="D102" s="18"/>
      <c r="E102" s="18"/>
      <c r="F102" s="18"/>
      <c r="G102" s="20"/>
      <c r="H102" s="19"/>
      <c r="I102" s="25" t="str">
        <f>IF(F102="","",IF(H102="",IFERROR(INDEX(Catalogue!$I$6:$I$55,MATCH(F102,Catalogue!$B$6:$B$55,0)),0),H102))</f>
        <v/>
      </c>
      <c r="J102" s="19"/>
      <c r="K102" s="25" t="str">
        <f t="shared" si="5"/>
        <v/>
      </c>
      <c r="L102" s="18"/>
      <c r="M102" s="18"/>
      <c r="N102" s="18"/>
      <c r="O102" s="19"/>
      <c r="P102" s="25" t="str">
        <f>IF(F102="","",IF(O102="",IFERROR(INDEX(Catalogue!$G$6:$G$55,MATCH(F102,Catalogue!$B$6:$B$55,0)),0),O102))</f>
        <v/>
      </c>
      <c r="Q102" s="25" t="str">
        <f>IF(F102="","",N(G102)*(IFERROR(INDEX(Catalogue!$E$6:$E$55,MATCH(F102,Catalogue!$B$6:$B$55,0)),0)+IFERROR(INDEX(Catalogue!$F$6:$F$55,MATCH(F102,Catalogue!$B$6:$B$55,0)),0)+IFERROR(INDEX(Catalogue!$H$6:$H$55,MATCH(F102,Catalogue!$B$6:$B$55,0)),0)))</f>
        <v/>
      </c>
      <c r="R102" s="25" t="str">
        <f t="shared" si="6"/>
        <v/>
      </c>
      <c r="S102" s="18"/>
      <c r="T102" s="24" t="str">
        <f t="shared" si="7"/>
        <v/>
      </c>
      <c r="U102" s="28" t="str">
        <f>IF(D102="","",IF(COUNTIF(D$6:D102,D102)=1,"Nouveau","Fidèle"))</f>
        <v/>
      </c>
    </row>
    <row r="103" spans="1:21" x14ac:dyDescent="0.25">
      <c r="A103" s="41" t="str">
        <f t="shared" si="4"/>
        <v/>
      </c>
      <c r="B103" s="38"/>
      <c r="C103" s="18"/>
      <c r="D103" s="18"/>
      <c r="E103" s="18"/>
      <c r="F103" s="18"/>
      <c r="G103" s="20"/>
      <c r="H103" s="19"/>
      <c r="I103" s="25" t="str">
        <f>IF(F103="","",IF(H103="",IFERROR(INDEX(Catalogue!$I$6:$I$55,MATCH(F103,Catalogue!$B$6:$B$55,0)),0),H103))</f>
        <v/>
      </c>
      <c r="J103" s="19"/>
      <c r="K103" s="25" t="str">
        <f t="shared" si="5"/>
        <v/>
      </c>
      <c r="L103" s="18"/>
      <c r="M103" s="18"/>
      <c r="N103" s="18"/>
      <c r="O103" s="19"/>
      <c r="P103" s="25" t="str">
        <f>IF(F103="","",IF(O103="",IFERROR(INDEX(Catalogue!$G$6:$G$55,MATCH(F103,Catalogue!$B$6:$B$55,0)),0),O103))</f>
        <v/>
      </c>
      <c r="Q103" s="25" t="str">
        <f>IF(F103="","",N(G103)*(IFERROR(INDEX(Catalogue!$E$6:$E$55,MATCH(F103,Catalogue!$B$6:$B$55,0)),0)+IFERROR(INDEX(Catalogue!$F$6:$F$55,MATCH(F103,Catalogue!$B$6:$B$55,0)),0)+IFERROR(INDEX(Catalogue!$H$6:$H$55,MATCH(F103,Catalogue!$B$6:$B$55,0)),0)))</f>
        <v/>
      </c>
      <c r="R103" s="25" t="str">
        <f t="shared" si="6"/>
        <v/>
      </c>
      <c r="S103" s="18"/>
      <c r="T103" s="24" t="str">
        <f t="shared" si="7"/>
        <v/>
      </c>
      <c r="U103" s="28" t="str">
        <f>IF(D103="","",IF(COUNTIF(D$6:D103,D103)=1,"Nouveau","Fidèle"))</f>
        <v/>
      </c>
    </row>
    <row r="104" spans="1:21" x14ac:dyDescent="0.25">
      <c r="A104" s="41" t="str">
        <f t="shared" si="4"/>
        <v/>
      </c>
      <c r="B104" s="38"/>
      <c r="C104" s="18"/>
      <c r="D104" s="18"/>
      <c r="E104" s="18"/>
      <c r="F104" s="18"/>
      <c r="G104" s="20"/>
      <c r="H104" s="19"/>
      <c r="I104" s="25" t="str">
        <f>IF(F104="","",IF(H104="",IFERROR(INDEX(Catalogue!$I$6:$I$55,MATCH(F104,Catalogue!$B$6:$B$55,0)),0),H104))</f>
        <v/>
      </c>
      <c r="J104" s="19"/>
      <c r="K104" s="25" t="str">
        <f t="shared" si="5"/>
        <v/>
      </c>
      <c r="L104" s="18"/>
      <c r="M104" s="18"/>
      <c r="N104" s="18"/>
      <c r="O104" s="19"/>
      <c r="P104" s="25" t="str">
        <f>IF(F104="","",IF(O104="",IFERROR(INDEX(Catalogue!$G$6:$G$55,MATCH(F104,Catalogue!$B$6:$B$55,0)),0),O104))</f>
        <v/>
      </c>
      <c r="Q104" s="25" t="str">
        <f>IF(F104="","",N(G104)*(IFERROR(INDEX(Catalogue!$E$6:$E$55,MATCH(F104,Catalogue!$B$6:$B$55,0)),0)+IFERROR(INDEX(Catalogue!$F$6:$F$55,MATCH(F104,Catalogue!$B$6:$B$55,0)),0)+IFERROR(INDEX(Catalogue!$H$6:$H$55,MATCH(F104,Catalogue!$B$6:$B$55,0)),0)))</f>
        <v/>
      </c>
      <c r="R104" s="25" t="str">
        <f t="shared" si="6"/>
        <v/>
      </c>
      <c r="S104" s="18"/>
      <c r="T104" s="24" t="str">
        <f t="shared" si="7"/>
        <v/>
      </c>
      <c r="U104" s="28" t="str">
        <f>IF(D104="","",IF(COUNTIF(D$6:D104,D104)=1,"Nouveau","Fidèle"))</f>
        <v/>
      </c>
    </row>
    <row r="105" spans="1:21" x14ac:dyDescent="0.25">
      <c r="A105" s="41" t="str">
        <f t="shared" si="4"/>
        <v/>
      </c>
      <c r="B105" s="38"/>
      <c r="C105" s="18"/>
      <c r="D105" s="18"/>
      <c r="E105" s="18"/>
      <c r="F105" s="18"/>
      <c r="G105" s="20"/>
      <c r="H105" s="19"/>
      <c r="I105" s="25" t="str">
        <f>IF(F105="","",IF(H105="",IFERROR(INDEX(Catalogue!$I$6:$I$55,MATCH(F105,Catalogue!$B$6:$B$55,0)),0),H105))</f>
        <v/>
      </c>
      <c r="J105" s="19"/>
      <c r="K105" s="25" t="str">
        <f t="shared" si="5"/>
        <v/>
      </c>
      <c r="L105" s="18"/>
      <c r="M105" s="18"/>
      <c r="N105" s="18"/>
      <c r="O105" s="19"/>
      <c r="P105" s="25" t="str">
        <f>IF(F105="","",IF(O105="",IFERROR(INDEX(Catalogue!$G$6:$G$55,MATCH(F105,Catalogue!$B$6:$B$55,0)),0),O105))</f>
        <v/>
      </c>
      <c r="Q105" s="25" t="str">
        <f>IF(F105="","",N(G105)*(IFERROR(INDEX(Catalogue!$E$6:$E$55,MATCH(F105,Catalogue!$B$6:$B$55,0)),0)+IFERROR(INDEX(Catalogue!$F$6:$F$55,MATCH(F105,Catalogue!$B$6:$B$55,0)),0)+IFERROR(INDEX(Catalogue!$H$6:$H$55,MATCH(F105,Catalogue!$B$6:$B$55,0)),0)))</f>
        <v/>
      </c>
      <c r="R105" s="25" t="str">
        <f t="shared" si="6"/>
        <v/>
      </c>
      <c r="S105" s="18"/>
      <c r="T105" s="24" t="str">
        <f t="shared" si="7"/>
        <v/>
      </c>
      <c r="U105" s="28" t="str">
        <f>IF(D105="","",IF(COUNTIF(D$6:D105,D105)=1,"Nouveau","Fidèle"))</f>
        <v/>
      </c>
    </row>
    <row r="106" spans="1:21" x14ac:dyDescent="0.25">
      <c r="A106" s="41" t="str">
        <f t="shared" si="4"/>
        <v/>
      </c>
      <c r="B106" s="38"/>
      <c r="C106" s="18"/>
      <c r="D106" s="18"/>
      <c r="E106" s="18"/>
      <c r="F106" s="18"/>
      <c r="G106" s="20"/>
      <c r="H106" s="19"/>
      <c r="I106" s="25" t="str">
        <f>IF(F106="","",IF(H106="",IFERROR(INDEX(Catalogue!$I$6:$I$55,MATCH(F106,Catalogue!$B$6:$B$55,0)),0),H106))</f>
        <v/>
      </c>
      <c r="J106" s="19"/>
      <c r="K106" s="25" t="str">
        <f t="shared" si="5"/>
        <v/>
      </c>
      <c r="L106" s="18"/>
      <c r="M106" s="18"/>
      <c r="N106" s="18"/>
      <c r="O106" s="19"/>
      <c r="P106" s="25" t="str">
        <f>IF(F106="","",IF(O106="",IFERROR(INDEX(Catalogue!$G$6:$G$55,MATCH(F106,Catalogue!$B$6:$B$55,0)),0),O106))</f>
        <v/>
      </c>
      <c r="Q106" s="25" t="str">
        <f>IF(F106="","",N(G106)*(IFERROR(INDEX(Catalogue!$E$6:$E$55,MATCH(F106,Catalogue!$B$6:$B$55,0)),0)+IFERROR(INDEX(Catalogue!$F$6:$F$55,MATCH(F106,Catalogue!$B$6:$B$55,0)),0)+IFERROR(INDEX(Catalogue!$H$6:$H$55,MATCH(F106,Catalogue!$B$6:$B$55,0)),0)))</f>
        <v/>
      </c>
      <c r="R106" s="25" t="str">
        <f t="shared" si="6"/>
        <v/>
      </c>
      <c r="S106" s="18"/>
      <c r="T106" s="24" t="str">
        <f t="shared" si="7"/>
        <v/>
      </c>
      <c r="U106" s="28" t="str">
        <f>IF(D106="","",IF(COUNTIF(D$6:D106,D106)=1,"Nouveau","Fidèle"))</f>
        <v/>
      </c>
    </row>
    <row r="107" spans="1:21" x14ac:dyDescent="0.25">
      <c r="A107" s="41" t="str">
        <f t="shared" si="4"/>
        <v/>
      </c>
      <c r="B107" s="38"/>
      <c r="C107" s="18"/>
      <c r="D107" s="18"/>
      <c r="E107" s="18"/>
      <c r="F107" s="18"/>
      <c r="G107" s="20"/>
      <c r="H107" s="19"/>
      <c r="I107" s="25" t="str">
        <f>IF(F107="","",IF(H107="",IFERROR(INDEX(Catalogue!$I$6:$I$55,MATCH(F107,Catalogue!$B$6:$B$55,0)),0),H107))</f>
        <v/>
      </c>
      <c r="J107" s="19"/>
      <c r="K107" s="25" t="str">
        <f t="shared" si="5"/>
        <v/>
      </c>
      <c r="L107" s="18"/>
      <c r="M107" s="18"/>
      <c r="N107" s="18"/>
      <c r="O107" s="19"/>
      <c r="P107" s="25" t="str">
        <f>IF(F107="","",IF(O107="",IFERROR(INDEX(Catalogue!$G$6:$G$55,MATCH(F107,Catalogue!$B$6:$B$55,0)),0),O107))</f>
        <v/>
      </c>
      <c r="Q107" s="25" t="str">
        <f>IF(F107="","",N(G107)*(IFERROR(INDEX(Catalogue!$E$6:$E$55,MATCH(F107,Catalogue!$B$6:$B$55,0)),0)+IFERROR(INDEX(Catalogue!$F$6:$F$55,MATCH(F107,Catalogue!$B$6:$B$55,0)),0)+IFERROR(INDEX(Catalogue!$H$6:$H$55,MATCH(F107,Catalogue!$B$6:$B$55,0)),0)))</f>
        <v/>
      </c>
      <c r="R107" s="25" t="str">
        <f t="shared" si="6"/>
        <v/>
      </c>
      <c r="S107" s="18"/>
      <c r="T107" s="24" t="str">
        <f t="shared" si="7"/>
        <v/>
      </c>
      <c r="U107" s="28" t="str">
        <f>IF(D107="","",IF(COUNTIF(D$6:D107,D107)=1,"Nouveau","Fidèle"))</f>
        <v/>
      </c>
    </row>
    <row r="108" spans="1:21" x14ac:dyDescent="0.25">
      <c r="A108" s="41" t="str">
        <f t="shared" si="4"/>
        <v/>
      </c>
      <c r="B108" s="38"/>
      <c r="C108" s="18"/>
      <c r="D108" s="18"/>
      <c r="E108" s="18"/>
      <c r="F108" s="18"/>
      <c r="G108" s="20"/>
      <c r="H108" s="19"/>
      <c r="I108" s="25" t="str">
        <f>IF(F108="","",IF(H108="",IFERROR(INDEX(Catalogue!$I$6:$I$55,MATCH(F108,Catalogue!$B$6:$B$55,0)),0),H108))</f>
        <v/>
      </c>
      <c r="J108" s="19"/>
      <c r="K108" s="25" t="str">
        <f t="shared" si="5"/>
        <v/>
      </c>
      <c r="L108" s="18"/>
      <c r="M108" s="18"/>
      <c r="N108" s="18"/>
      <c r="O108" s="19"/>
      <c r="P108" s="25" t="str">
        <f>IF(F108="","",IF(O108="",IFERROR(INDEX(Catalogue!$G$6:$G$55,MATCH(F108,Catalogue!$B$6:$B$55,0)),0),O108))</f>
        <v/>
      </c>
      <c r="Q108" s="25" t="str">
        <f>IF(F108="","",N(G108)*(IFERROR(INDEX(Catalogue!$E$6:$E$55,MATCH(F108,Catalogue!$B$6:$B$55,0)),0)+IFERROR(INDEX(Catalogue!$F$6:$F$55,MATCH(F108,Catalogue!$B$6:$B$55,0)),0)+IFERROR(INDEX(Catalogue!$H$6:$H$55,MATCH(F108,Catalogue!$B$6:$B$55,0)),0)))</f>
        <v/>
      </c>
      <c r="R108" s="25" t="str">
        <f t="shared" si="6"/>
        <v/>
      </c>
      <c r="S108" s="18"/>
      <c r="T108" s="24" t="str">
        <f t="shared" si="7"/>
        <v/>
      </c>
      <c r="U108" s="28" t="str">
        <f>IF(D108="","",IF(COUNTIF(D$6:D108,D108)=1,"Nouveau","Fidèle"))</f>
        <v/>
      </c>
    </row>
    <row r="109" spans="1:21" x14ac:dyDescent="0.25">
      <c r="A109" s="41" t="str">
        <f t="shared" si="4"/>
        <v/>
      </c>
      <c r="B109" s="38"/>
      <c r="C109" s="18"/>
      <c r="D109" s="18"/>
      <c r="E109" s="18"/>
      <c r="F109" s="18"/>
      <c r="G109" s="20"/>
      <c r="H109" s="19"/>
      <c r="I109" s="25" t="str">
        <f>IF(F109="","",IF(H109="",IFERROR(INDEX(Catalogue!$I$6:$I$55,MATCH(F109,Catalogue!$B$6:$B$55,0)),0),H109))</f>
        <v/>
      </c>
      <c r="J109" s="19"/>
      <c r="K109" s="25" t="str">
        <f t="shared" si="5"/>
        <v/>
      </c>
      <c r="L109" s="18"/>
      <c r="M109" s="18"/>
      <c r="N109" s="18"/>
      <c r="O109" s="19"/>
      <c r="P109" s="25" t="str">
        <f>IF(F109="","",IF(O109="",IFERROR(INDEX(Catalogue!$G$6:$G$55,MATCH(F109,Catalogue!$B$6:$B$55,0)),0),O109))</f>
        <v/>
      </c>
      <c r="Q109" s="25" t="str">
        <f>IF(F109="","",N(G109)*(IFERROR(INDEX(Catalogue!$E$6:$E$55,MATCH(F109,Catalogue!$B$6:$B$55,0)),0)+IFERROR(INDEX(Catalogue!$F$6:$F$55,MATCH(F109,Catalogue!$B$6:$B$55,0)),0)+IFERROR(INDEX(Catalogue!$H$6:$H$55,MATCH(F109,Catalogue!$B$6:$B$55,0)),0)))</f>
        <v/>
      </c>
      <c r="R109" s="25" t="str">
        <f t="shared" si="6"/>
        <v/>
      </c>
      <c r="S109" s="18"/>
      <c r="T109" s="24" t="str">
        <f t="shared" si="7"/>
        <v/>
      </c>
      <c r="U109" s="28" t="str">
        <f>IF(D109="","",IF(COUNTIF(D$6:D109,D109)=1,"Nouveau","Fidèle"))</f>
        <v/>
      </c>
    </row>
    <row r="110" spans="1:21" x14ac:dyDescent="0.25">
      <c r="A110" s="41" t="str">
        <f t="shared" si="4"/>
        <v/>
      </c>
      <c r="B110" s="38"/>
      <c r="C110" s="18"/>
      <c r="D110" s="18"/>
      <c r="E110" s="18"/>
      <c r="F110" s="18"/>
      <c r="G110" s="20"/>
      <c r="H110" s="19"/>
      <c r="I110" s="25" t="str">
        <f>IF(F110="","",IF(H110="",IFERROR(INDEX(Catalogue!$I$6:$I$55,MATCH(F110,Catalogue!$B$6:$B$55,0)),0),H110))</f>
        <v/>
      </c>
      <c r="J110" s="19"/>
      <c r="K110" s="25" t="str">
        <f t="shared" si="5"/>
        <v/>
      </c>
      <c r="L110" s="18"/>
      <c r="M110" s="18"/>
      <c r="N110" s="18"/>
      <c r="O110" s="19"/>
      <c r="P110" s="25" t="str">
        <f>IF(F110="","",IF(O110="",IFERROR(INDEX(Catalogue!$G$6:$G$55,MATCH(F110,Catalogue!$B$6:$B$55,0)),0),O110))</f>
        <v/>
      </c>
      <c r="Q110" s="25" t="str">
        <f>IF(F110="","",N(G110)*(IFERROR(INDEX(Catalogue!$E$6:$E$55,MATCH(F110,Catalogue!$B$6:$B$55,0)),0)+IFERROR(INDEX(Catalogue!$F$6:$F$55,MATCH(F110,Catalogue!$B$6:$B$55,0)),0)+IFERROR(INDEX(Catalogue!$H$6:$H$55,MATCH(F110,Catalogue!$B$6:$B$55,0)),0)))</f>
        <v/>
      </c>
      <c r="R110" s="25" t="str">
        <f t="shared" si="6"/>
        <v/>
      </c>
      <c r="S110" s="18"/>
      <c r="T110" s="24" t="str">
        <f t="shared" si="7"/>
        <v/>
      </c>
      <c r="U110" s="28" t="str">
        <f>IF(D110="","",IF(COUNTIF(D$6:D110,D110)=1,"Nouveau","Fidèle"))</f>
        <v/>
      </c>
    </row>
    <row r="111" spans="1:21" x14ac:dyDescent="0.25">
      <c r="A111" s="41" t="str">
        <f t="shared" si="4"/>
        <v/>
      </c>
      <c r="B111" s="38"/>
      <c r="C111" s="18"/>
      <c r="D111" s="18"/>
      <c r="E111" s="18"/>
      <c r="F111" s="18"/>
      <c r="G111" s="20"/>
      <c r="H111" s="19"/>
      <c r="I111" s="25" t="str">
        <f>IF(F111="","",IF(H111="",IFERROR(INDEX(Catalogue!$I$6:$I$55,MATCH(F111,Catalogue!$B$6:$B$55,0)),0),H111))</f>
        <v/>
      </c>
      <c r="J111" s="19"/>
      <c r="K111" s="25" t="str">
        <f t="shared" si="5"/>
        <v/>
      </c>
      <c r="L111" s="18"/>
      <c r="M111" s="18"/>
      <c r="N111" s="18"/>
      <c r="O111" s="19"/>
      <c r="P111" s="25" t="str">
        <f>IF(F111="","",IF(O111="",IFERROR(INDEX(Catalogue!$G$6:$G$55,MATCH(F111,Catalogue!$B$6:$B$55,0)),0),O111))</f>
        <v/>
      </c>
      <c r="Q111" s="25" t="str">
        <f>IF(F111="","",N(G111)*(IFERROR(INDEX(Catalogue!$E$6:$E$55,MATCH(F111,Catalogue!$B$6:$B$55,0)),0)+IFERROR(INDEX(Catalogue!$F$6:$F$55,MATCH(F111,Catalogue!$B$6:$B$55,0)),0)+IFERROR(INDEX(Catalogue!$H$6:$H$55,MATCH(F111,Catalogue!$B$6:$B$55,0)),0)))</f>
        <v/>
      </c>
      <c r="R111" s="25" t="str">
        <f t="shared" si="6"/>
        <v/>
      </c>
      <c r="S111" s="18"/>
      <c r="T111" s="24" t="str">
        <f t="shared" si="7"/>
        <v/>
      </c>
      <c r="U111" s="28" t="str">
        <f>IF(D111="","",IF(COUNTIF(D$6:D111,D111)=1,"Nouveau","Fidèle"))</f>
        <v/>
      </c>
    </row>
    <row r="112" spans="1:21" x14ac:dyDescent="0.25">
      <c r="A112" s="41" t="str">
        <f t="shared" si="4"/>
        <v/>
      </c>
      <c r="B112" s="38"/>
      <c r="C112" s="18"/>
      <c r="D112" s="18"/>
      <c r="E112" s="18"/>
      <c r="F112" s="18"/>
      <c r="G112" s="20"/>
      <c r="H112" s="19"/>
      <c r="I112" s="25" t="str">
        <f>IF(F112="","",IF(H112="",IFERROR(INDEX(Catalogue!$I$6:$I$55,MATCH(F112,Catalogue!$B$6:$B$55,0)),0),H112))</f>
        <v/>
      </c>
      <c r="J112" s="19"/>
      <c r="K112" s="25" t="str">
        <f t="shared" si="5"/>
        <v/>
      </c>
      <c r="L112" s="18"/>
      <c r="M112" s="18"/>
      <c r="N112" s="18"/>
      <c r="O112" s="19"/>
      <c r="P112" s="25" t="str">
        <f>IF(F112="","",IF(O112="",IFERROR(INDEX(Catalogue!$G$6:$G$55,MATCH(F112,Catalogue!$B$6:$B$55,0)),0),O112))</f>
        <v/>
      </c>
      <c r="Q112" s="25" t="str">
        <f>IF(F112="","",N(G112)*(IFERROR(INDEX(Catalogue!$E$6:$E$55,MATCH(F112,Catalogue!$B$6:$B$55,0)),0)+IFERROR(INDEX(Catalogue!$F$6:$F$55,MATCH(F112,Catalogue!$B$6:$B$55,0)),0)+IFERROR(INDEX(Catalogue!$H$6:$H$55,MATCH(F112,Catalogue!$B$6:$B$55,0)),0)))</f>
        <v/>
      </c>
      <c r="R112" s="25" t="str">
        <f t="shared" si="6"/>
        <v/>
      </c>
      <c r="S112" s="18"/>
      <c r="T112" s="24" t="str">
        <f t="shared" si="7"/>
        <v/>
      </c>
      <c r="U112" s="28" t="str">
        <f>IF(D112="","",IF(COUNTIF(D$6:D112,D112)=1,"Nouveau","Fidèle"))</f>
        <v/>
      </c>
    </row>
    <row r="113" spans="1:21" x14ac:dyDescent="0.25">
      <c r="A113" s="41" t="str">
        <f t="shared" si="4"/>
        <v/>
      </c>
      <c r="B113" s="38"/>
      <c r="C113" s="18"/>
      <c r="D113" s="18"/>
      <c r="E113" s="18"/>
      <c r="F113" s="18"/>
      <c r="G113" s="20"/>
      <c r="H113" s="19"/>
      <c r="I113" s="25" t="str">
        <f>IF(F113="","",IF(H113="",IFERROR(INDEX(Catalogue!$I$6:$I$55,MATCH(F113,Catalogue!$B$6:$B$55,0)),0),H113))</f>
        <v/>
      </c>
      <c r="J113" s="19"/>
      <c r="K113" s="25" t="str">
        <f t="shared" si="5"/>
        <v/>
      </c>
      <c r="L113" s="18"/>
      <c r="M113" s="18"/>
      <c r="N113" s="18"/>
      <c r="O113" s="19"/>
      <c r="P113" s="25" t="str">
        <f>IF(F113="","",IF(O113="",IFERROR(INDEX(Catalogue!$G$6:$G$55,MATCH(F113,Catalogue!$B$6:$B$55,0)),0),O113))</f>
        <v/>
      </c>
      <c r="Q113" s="25" t="str">
        <f>IF(F113="","",N(G113)*(IFERROR(INDEX(Catalogue!$E$6:$E$55,MATCH(F113,Catalogue!$B$6:$B$55,0)),0)+IFERROR(INDEX(Catalogue!$F$6:$F$55,MATCH(F113,Catalogue!$B$6:$B$55,0)),0)+IFERROR(INDEX(Catalogue!$H$6:$H$55,MATCH(F113,Catalogue!$B$6:$B$55,0)),0)))</f>
        <v/>
      </c>
      <c r="R113" s="25" t="str">
        <f t="shared" si="6"/>
        <v/>
      </c>
      <c r="S113" s="18"/>
      <c r="T113" s="24" t="str">
        <f t="shared" si="7"/>
        <v/>
      </c>
      <c r="U113" s="28" t="str">
        <f>IF(D113="","",IF(COUNTIF(D$6:D113,D113)=1,"Nouveau","Fidèle"))</f>
        <v/>
      </c>
    </row>
    <row r="114" spans="1:21" x14ac:dyDescent="0.25">
      <c r="A114" s="41" t="str">
        <f t="shared" si="4"/>
        <v/>
      </c>
      <c r="B114" s="38"/>
      <c r="C114" s="18"/>
      <c r="D114" s="18"/>
      <c r="E114" s="18"/>
      <c r="F114" s="18"/>
      <c r="G114" s="20"/>
      <c r="H114" s="19"/>
      <c r="I114" s="25" t="str">
        <f>IF(F114="","",IF(H114="",IFERROR(INDEX(Catalogue!$I$6:$I$55,MATCH(F114,Catalogue!$B$6:$B$55,0)),0),H114))</f>
        <v/>
      </c>
      <c r="J114" s="19"/>
      <c r="K114" s="25" t="str">
        <f t="shared" si="5"/>
        <v/>
      </c>
      <c r="L114" s="18"/>
      <c r="M114" s="18"/>
      <c r="N114" s="18"/>
      <c r="O114" s="19"/>
      <c r="P114" s="25" t="str">
        <f>IF(F114="","",IF(O114="",IFERROR(INDEX(Catalogue!$G$6:$G$55,MATCH(F114,Catalogue!$B$6:$B$55,0)),0),O114))</f>
        <v/>
      </c>
      <c r="Q114" s="25" t="str">
        <f>IF(F114="","",N(G114)*(IFERROR(INDEX(Catalogue!$E$6:$E$55,MATCH(F114,Catalogue!$B$6:$B$55,0)),0)+IFERROR(INDEX(Catalogue!$F$6:$F$55,MATCH(F114,Catalogue!$B$6:$B$55,0)),0)+IFERROR(INDEX(Catalogue!$H$6:$H$55,MATCH(F114,Catalogue!$B$6:$B$55,0)),0)))</f>
        <v/>
      </c>
      <c r="R114" s="25" t="str">
        <f t="shared" si="6"/>
        <v/>
      </c>
      <c r="S114" s="18"/>
      <c r="T114" s="24" t="str">
        <f t="shared" si="7"/>
        <v/>
      </c>
      <c r="U114" s="28" t="str">
        <f>IF(D114="","",IF(COUNTIF(D$6:D114,D114)=1,"Nouveau","Fidèle"))</f>
        <v/>
      </c>
    </row>
    <row r="115" spans="1:21" x14ac:dyDescent="0.25">
      <c r="A115" s="41" t="str">
        <f t="shared" si="4"/>
        <v/>
      </c>
      <c r="B115" s="38"/>
      <c r="C115" s="18"/>
      <c r="D115" s="18"/>
      <c r="E115" s="18"/>
      <c r="F115" s="18"/>
      <c r="G115" s="20"/>
      <c r="H115" s="19"/>
      <c r="I115" s="25" t="str">
        <f>IF(F115="","",IF(H115="",IFERROR(INDEX(Catalogue!$I$6:$I$55,MATCH(F115,Catalogue!$B$6:$B$55,0)),0),H115))</f>
        <v/>
      </c>
      <c r="J115" s="19"/>
      <c r="K115" s="25" t="str">
        <f t="shared" si="5"/>
        <v/>
      </c>
      <c r="L115" s="18"/>
      <c r="M115" s="18"/>
      <c r="N115" s="18"/>
      <c r="O115" s="19"/>
      <c r="P115" s="25" t="str">
        <f>IF(F115="","",IF(O115="",IFERROR(INDEX(Catalogue!$G$6:$G$55,MATCH(F115,Catalogue!$B$6:$B$55,0)),0),O115))</f>
        <v/>
      </c>
      <c r="Q115" s="25" t="str">
        <f>IF(F115="","",N(G115)*(IFERROR(INDEX(Catalogue!$E$6:$E$55,MATCH(F115,Catalogue!$B$6:$B$55,0)),0)+IFERROR(INDEX(Catalogue!$F$6:$F$55,MATCH(F115,Catalogue!$B$6:$B$55,0)),0)+IFERROR(INDEX(Catalogue!$H$6:$H$55,MATCH(F115,Catalogue!$B$6:$B$55,0)),0)))</f>
        <v/>
      </c>
      <c r="R115" s="25" t="str">
        <f t="shared" si="6"/>
        <v/>
      </c>
      <c r="S115" s="18"/>
      <c r="T115" s="24" t="str">
        <f t="shared" si="7"/>
        <v/>
      </c>
      <c r="U115" s="28" t="str">
        <f>IF(D115="","",IF(COUNTIF(D$6:D115,D115)=1,"Nouveau","Fidèle"))</f>
        <v/>
      </c>
    </row>
    <row r="116" spans="1:21" x14ac:dyDescent="0.25">
      <c r="A116" s="41" t="str">
        <f t="shared" si="4"/>
        <v/>
      </c>
      <c r="B116" s="38"/>
      <c r="C116" s="18"/>
      <c r="D116" s="18"/>
      <c r="E116" s="18"/>
      <c r="F116" s="18"/>
      <c r="G116" s="20"/>
      <c r="H116" s="19"/>
      <c r="I116" s="25" t="str">
        <f>IF(F116="","",IF(H116="",IFERROR(INDEX(Catalogue!$I$6:$I$55,MATCH(F116,Catalogue!$B$6:$B$55,0)),0),H116))</f>
        <v/>
      </c>
      <c r="J116" s="19"/>
      <c r="K116" s="25" t="str">
        <f t="shared" si="5"/>
        <v/>
      </c>
      <c r="L116" s="18"/>
      <c r="M116" s="18"/>
      <c r="N116" s="18"/>
      <c r="O116" s="19"/>
      <c r="P116" s="25" t="str">
        <f>IF(F116="","",IF(O116="",IFERROR(INDEX(Catalogue!$G$6:$G$55,MATCH(F116,Catalogue!$B$6:$B$55,0)),0),O116))</f>
        <v/>
      </c>
      <c r="Q116" s="25" t="str">
        <f>IF(F116="","",N(G116)*(IFERROR(INDEX(Catalogue!$E$6:$E$55,MATCH(F116,Catalogue!$B$6:$B$55,0)),0)+IFERROR(INDEX(Catalogue!$F$6:$F$55,MATCH(F116,Catalogue!$B$6:$B$55,0)),0)+IFERROR(INDEX(Catalogue!$H$6:$H$55,MATCH(F116,Catalogue!$B$6:$B$55,0)),0)))</f>
        <v/>
      </c>
      <c r="R116" s="25" t="str">
        <f t="shared" si="6"/>
        <v/>
      </c>
      <c r="S116" s="18"/>
      <c r="T116" s="24" t="str">
        <f t="shared" si="7"/>
        <v/>
      </c>
      <c r="U116" s="28" t="str">
        <f>IF(D116="","",IF(COUNTIF(D$6:D116,D116)=1,"Nouveau","Fidèle"))</f>
        <v/>
      </c>
    </row>
    <row r="117" spans="1:21" x14ac:dyDescent="0.25">
      <c r="A117" s="41" t="str">
        <f t="shared" si="4"/>
        <v/>
      </c>
      <c r="B117" s="38"/>
      <c r="C117" s="18"/>
      <c r="D117" s="18"/>
      <c r="E117" s="18"/>
      <c r="F117" s="18"/>
      <c r="G117" s="20"/>
      <c r="H117" s="19"/>
      <c r="I117" s="25" t="str">
        <f>IF(F117="","",IF(H117="",IFERROR(INDEX(Catalogue!$I$6:$I$55,MATCH(F117,Catalogue!$B$6:$B$55,0)),0),H117))</f>
        <v/>
      </c>
      <c r="J117" s="19"/>
      <c r="K117" s="25" t="str">
        <f t="shared" si="5"/>
        <v/>
      </c>
      <c r="L117" s="18"/>
      <c r="M117" s="18"/>
      <c r="N117" s="18"/>
      <c r="O117" s="19"/>
      <c r="P117" s="25" t="str">
        <f>IF(F117="","",IF(O117="",IFERROR(INDEX(Catalogue!$G$6:$G$55,MATCH(F117,Catalogue!$B$6:$B$55,0)),0),O117))</f>
        <v/>
      </c>
      <c r="Q117" s="25" t="str">
        <f>IF(F117="","",N(G117)*(IFERROR(INDEX(Catalogue!$E$6:$E$55,MATCH(F117,Catalogue!$B$6:$B$55,0)),0)+IFERROR(INDEX(Catalogue!$F$6:$F$55,MATCH(F117,Catalogue!$B$6:$B$55,0)),0)+IFERROR(INDEX(Catalogue!$H$6:$H$55,MATCH(F117,Catalogue!$B$6:$B$55,0)),0)))</f>
        <v/>
      </c>
      <c r="R117" s="25" t="str">
        <f t="shared" si="6"/>
        <v/>
      </c>
      <c r="S117" s="18"/>
      <c r="T117" s="24" t="str">
        <f t="shared" si="7"/>
        <v/>
      </c>
      <c r="U117" s="28" t="str">
        <f>IF(D117="","",IF(COUNTIF(D$6:D117,D117)=1,"Nouveau","Fidèle"))</f>
        <v/>
      </c>
    </row>
    <row r="118" spans="1:21" x14ac:dyDescent="0.25">
      <c r="A118" s="41" t="str">
        <f t="shared" si="4"/>
        <v/>
      </c>
      <c r="B118" s="38"/>
      <c r="C118" s="18"/>
      <c r="D118" s="18"/>
      <c r="E118" s="18"/>
      <c r="F118" s="18"/>
      <c r="G118" s="20"/>
      <c r="H118" s="19"/>
      <c r="I118" s="25" t="str">
        <f>IF(F118="","",IF(H118="",IFERROR(INDEX(Catalogue!$I$6:$I$55,MATCH(F118,Catalogue!$B$6:$B$55,0)),0),H118))</f>
        <v/>
      </c>
      <c r="J118" s="19"/>
      <c r="K118" s="25" t="str">
        <f t="shared" si="5"/>
        <v/>
      </c>
      <c r="L118" s="18"/>
      <c r="M118" s="18"/>
      <c r="N118" s="18"/>
      <c r="O118" s="19"/>
      <c r="P118" s="25" t="str">
        <f>IF(F118="","",IF(O118="",IFERROR(INDEX(Catalogue!$G$6:$G$55,MATCH(F118,Catalogue!$B$6:$B$55,0)),0),O118))</f>
        <v/>
      </c>
      <c r="Q118" s="25" t="str">
        <f>IF(F118="","",N(G118)*(IFERROR(INDEX(Catalogue!$E$6:$E$55,MATCH(F118,Catalogue!$B$6:$B$55,0)),0)+IFERROR(INDEX(Catalogue!$F$6:$F$55,MATCH(F118,Catalogue!$B$6:$B$55,0)),0)+IFERROR(INDEX(Catalogue!$H$6:$H$55,MATCH(F118,Catalogue!$B$6:$B$55,0)),0)))</f>
        <v/>
      </c>
      <c r="R118" s="25" t="str">
        <f t="shared" si="6"/>
        <v/>
      </c>
      <c r="S118" s="18"/>
      <c r="T118" s="24" t="str">
        <f t="shared" si="7"/>
        <v/>
      </c>
      <c r="U118" s="28" t="str">
        <f>IF(D118="","",IF(COUNTIF(D$6:D118,D118)=1,"Nouveau","Fidèle"))</f>
        <v/>
      </c>
    </row>
    <row r="119" spans="1:21" x14ac:dyDescent="0.25">
      <c r="A119" s="41" t="str">
        <f t="shared" si="4"/>
        <v/>
      </c>
      <c r="B119" s="38"/>
      <c r="C119" s="18"/>
      <c r="D119" s="18"/>
      <c r="E119" s="18"/>
      <c r="F119" s="18"/>
      <c r="G119" s="20"/>
      <c r="H119" s="19"/>
      <c r="I119" s="25" t="str">
        <f>IF(F119="","",IF(H119="",IFERROR(INDEX(Catalogue!$I$6:$I$55,MATCH(F119,Catalogue!$B$6:$B$55,0)),0),H119))</f>
        <v/>
      </c>
      <c r="J119" s="19"/>
      <c r="K119" s="25" t="str">
        <f t="shared" si="5"/>
        <v/>
      </c>
      <c r="L119" s="18"/>
      <c r="M119" s="18"/>
      <c r="N119" s="18"/>
      <c r="O119" s="19"/>
      <c r="P119" s="25" t="str">
        <f>IF(F119="","",IF(O119="",IFERROR(INDEX(Catalogue!$G$6:$G$55,MATCH(F119,Catalogue!$B$6:$B$55,0)),0),O119))</f>
        <v/>
      </c>
      <c r="Q119" s="25" t="str">
        <f>IF(F119="","",N(G119)*(IFERROR(INDEX(Catalogue!$E$6:$E$55,MATCH(F119,Catalogue!$B$6:$B$55,0)),0)+IFERROR(INDEX(Catalogue!$F$6:$F$55,MATCH(F119,Catalogue!$B$6:$B$55,0)),0)+IFERROR(INDEX(Catalogue!$H$6:$H$55,MATCH(F119,Catalogue!$B$6:$B$55,0)),0)))</f>
        <v/>
      </c>
      <c r="R119" s="25" t="str">
        <f t="shared" si="6"/>
        <v/>
      </c>
      <c r="S119" s="18"/>
      <c r="T119" s="24" t="str">
        <f t="shared" si="7"/>
        <v/>
      </c>
      <c r="U119" s="28" t="str">
        <f>IF(D119="","",IF(COUNTIF(D$6:D119,D119)=1,"Nouveau","Fidèle"))</f>
        <v/>
      </c>
    </row>
    <row r="120" spans="1:21" x14ac:dyDescent="0.25">
      <c r="A120" s="41" t="str">
        <f t="shared" si="4"/>
        <v/>
      </c>
      <c r="B120" s="38"/>
      <c r="C120" s="18"/>
      <c r="D120" s="18"/>
      <c r="E120" s="18"/>
      <c r="F120" s="18"/>
      <c r="G120" s="20"/>
      <c r="H120" s="19"/>
      <c r="I120" s="25" t="str">
        <f>IF(F120="","",IF(H120="",IFERROR(INDEX(Catalogue!$I$6:$I$55,MATCH(F120,Catalogue!$B$6:$B$55,0)),0),H120))</f>
        <v/>
      </c>
      <c r="J120" s="19"/>
      <c r="K120" s="25" t="str">
        <f t="shared" si="5"/>
        <v/>
      </c>
      <c r="L120" s="18"/>
      <c r="M120" s="18"/>
      <c r="N120" s="18"/>
      <c r="O120" s="19"/>
      <c r="P120" s="25" t="str">
        <f>IF(F120="","",IF(O120="",IFERROR(INDEX(Catalogue!$G$6:$G$55,MATCH(F120,Catalogue!$B$6:$B$55,0)),0),O120))</f>
        <v/>
      </c>
      <c r="Q120" s="25" t="str">
        <f>IF(F120="","",N(G120)*(IFERROR(INDEX(Catalogue!$E$6:$E$55,MATCH(F120,Catalogue!$B$6:$B$55,0)),0)+IFERROR(INDEX(Catalogue!$F$6:$F$55,MATCH(F120,Catalogue!$B$6:$B$55,0)),0)+IFERROR(INDEX(Catalogue!$H$6:$H$55,MATCH(F120,Catalogue!$B$6:$B$55,0)),0)))</f>
        <v/>
      </c>
      <c r="R120" s="25" t="str">
        <f t="shared" si="6"/>
        <v/>
      </c>
      <c r="S120" s="18"/>
      <c r="T120" s="24" t="str">
        <f t="shared" si="7"/>
        <v/>
      </c>
      <c r="U120" s="28" t="str">
        <f>IF(D120="","",IF(COUNTIF(D$6:D120,D120)=1,"Nouveau","Fidèle"))</f>
        <v/>
      </c>
    </row>
    <row r="121" spans="1:21" x14ac:dyDescent="0.25">
      <c r="A121" s="41" t="str">
        <f t="shared" si="4"/>
        <v/>
      </c>
      <c r="B121" s="38"/>
      <c r="C121" s="18"/>
      <c r="D121" s="18"/>
      <c r="E121" s="18"/>
      <c r="F121" s="18"/>
      <c r="G121" s="20"/>
      <c r="H121" s="19"/>
      <c r="I121" s="25" t="str">
        <f>IF(F121="","",IF(H121="",IFERROR(INDEX(Catalogue!$I$6:$I$55,MATCH(F121,Catalogue!$B$6:$B$55,0)),0),H121))</f>
        <v/>
      </c>
      <c r="J121" s="19"/>
      <c r="K121" s="25" t="str">
        <f t="shared" si="5"/>
        <v/>
      </c>
      <c r="L121" s="18"/>
      <c r="M121" s="18"/>
      <c r="N121" s="18"/>
      <c r="O121" s="19"/>
      <c r="P121" s="25" t="str">
        <f>IF(F121="","",IF(O121="",IFERROR(INDEX(Catalogue!$G$6:$G$55,MATCH(F121,Catalogue!$B$6:$B$55,0)),0),O121))</f>
        <v/>
      </c>
      <c r="Q121" s="25" t="str">
        <f>IF(F121="","",N(G121)*(IFERROR(INDEX(Catalogue!$E$6:$E$55,MATCH(F121,Catalogue!$B$6:$B$55,0)),0)+IFERROR(INDEX(Catalogue!$F$6:$F$55,MATCH(F121,Catalogue!$B$6:$B$55,0)),0)+IFERROR(INDEX(Catalogue!$H$6:$H$55,MATCH(F121,Catalogue!$B$6:$B$55,0)),0)))</f>
        <v/>
      </c>
      <c r="R121" s="25" t="str">
        <f t="shared" si="6"/>
        <v/>
      </c>
      <c r="S121" s="18"/>
      <c r="T121" s="24" t="str">
        <f t="shared" si="7"/>
        <v/>
      </c>
      <c r="U121" s="28" t="str">
        <f>IF(D121="","",IF(COUNTIF(D$6:D121,D121)=1,"Nouveau","Fidèle"))</f>
        <v/>
      </c>
    </row>
    <row r="122" spans="1:21" x14ac:dyDescent="0.25">
      <c r="A122" s="41" t="str">
        <f t="shared" si="4"/>
        <v/>
      </c>
      <c r="B122" s="38"/>
      <c r="C122" s="18"/>
      <c r="D122" s="18"/>
      <c r="E122" s="18"/>
      <c r="F122" s="18"/>
      <c r="G122" s="20"/>
      <c r="H122" s="19"/>
      <c r="I122" s="25" t="str">
        <f>IF(F122="","",IF(H122="",IFERROR(INDEX(Catalogue!$I$6:$I$55,MATCH(F122,Catalogue!$B$6:$B$55,0)),0),H122))</f>
        <v/>
      </c>
      <c r="J122" s="19"/>
      <c r="K122" s="25" t="str">
        <f t="shared" si="5"/>
        <v/>
      </c>
      <c r="L122" s="18"/>
      <c r="M122" s="18"/>
      <c r="N122" s="18"/>
      <c r="O122" s="19"/>
      <c r="P122" s="25" t="str">
        <f>IF(F122="","",IF(O122="",IFERROR(INDEX(Catalogue!$G$6:$G$55,MATCH(F122,Catalogue!$B$6:$B$55,0)),0),O122))</f>
        <v/>
      </c>
      <c r="Q122" s="25" t="str">
        <f>IF(F122="","",N(G122)*(IFERROR(INDEX(Catalogue!$E$6:$E$55,MATCH(F122,Catalogue!$B$6:$B$55,0)),0)+IFERROR(INDEX(Catalogue!$F$6:$F$55,MATCH(F122,Catalogue!$B$6:$B$55,0)),0)+IFERROR(INDEX(Catalogue!$H$6:$H$55,MATCH(F122,Catalogue!$B$6:$B$55,0)),0)))</f>
        <v/>
      </c>
      <c r="R122" s="25" t="str">
        <f t="shared" si="6"/>
        <v/>
      </c>
      <c r="S122" s="18"/>
      <c r="T122" s="24" t="str">
        <f t="shared" si="7"/>
        <v/>
      </c>
      <c r="U122" s="28" t="str">
        <f>IF(D122="","",IF(COUNTIF(D$6:D122,D122)=1,"Nouveau","Fidèle"))</f>
        <v/>
      </c>
    </row>
    <row r="123" spans="1:21" x14ac:dyDescent="0.25">
      <c r="A123" s="41" t="str">
        <f t="shared" si="4"/>
        <v/>
      </c>
      <c r="B123" s="38"/>
      <c r="C123" s="18"/>
      <c r="D123" s="18"/>
      <c r="E123" s="18"/>
      <c r="F123" s="18"/>
      <c r="G123" s="20"/>
      <c r="H123" s="19"/>
      <c r="I123" s="25" t="str">
        <f>IF(F123="","",IF(H123="",IFERROR(INDEX(Catalogue!$I$6:$I$55,MATCH(F123,Catalogue!$B$6:$B$55,0)),0),H123))</f>
        <v/>
      </c>
      <c r="J123" s="19"/>
      <c r="K123" s="25" t="str">
        <f t="shared" si="5"/>
        <v/>
      </c>
      <c r="L123" s="18"/>
      <c r="M123" s="18"/>
      <c r="N123" s="18"/>
      <c r="O123" s="19"/>
      <c r="P123" s="25" t="str">
        <f>IF(F123="","",IF(O123="",IFERROR(INDEX(Catalogue!$G$6:$G$55,MATCH(F123,Catalogue!$B$6:$B$55,0)),0),O123))</f>
        <v/>
      </c>
      <c r="Q123" s="25" t="str">
        <f>IF(F123="","",N(G123)*(IFERROR(INDEX(Catalogue!$E$6:$E$55,MATCH(F123,Catalogue!$B$6:$B$55,0)),0)+IFERROR(INDEX(Catalogue!$F$6:$F$55,MATCH(F123,Catalogue!$B$6:$B$55,0)),0)+IFERROR(INDEX(Catalogue!$H$6:$H$55,MATCH(F123,Catalogue!$B$6:$B$55,0)),0)))</f>
        <v/>
      </c>
      <c r="R123" s="25" t="str">
        <f t="shared" si="6"/>
        <v/>
      </c>
      <c r="S123" s="18"/>
      <c r="T123" s="24" t="str">
        <f t="shared" si="7"/>
        <v/>
      </c>
      <c r="U123" s="28" t="str">
        <f>IF(D123="","",IF(COUNTIF(D$6:D123,D123)=1,"Nouveau","Fidèle"))</f>
        <v/>
      </c>
    </row>
    <row r="124" spans="1:21" x14ac:dyDescent="0.25">
      <c r="A124" s="41" t="str">
        <f t="shared" si="4"/>
        <v/>
      </c>
      <c r="B124" s="38"/>
      <c r="C124" s="18"/>
      <c r="D124" s="18"/>
      <c r="E124" s="18"/>
      <c r="F124" s="18"/>
      <c r="G124" s="20"/>
      <c r="H124" s="19"/>
      <c r="I124" s="25" t="str">
        <f>IF(F124="","",IF(H124="",IFERROR(INDEX(Catalogue!$I$6:$I$55,MATCH(F124,Catalogue!$B$6:$B$55,0)),0),H124))</f>
        <v/>
      </c>
      <c r="J124" s="19"/>
      <c r="K124" s="25" t="str">
        <f t="shared" si="5"/>
        <v/>
      </c>
      <c r="L124" s="18"/>
      <c r="M124" s="18"/>
      <c r="N124" s="18"/>
      <c r="O124" s="19"/>
      <c r="P124" s="25" t="str">
        <f>IF(F124="","",IF(O124="",IFERROR(INDEX(Catalogue!$G$6:$G$55,MATCH(F124,Catalogue!$B$6:$B$55,0)),0),O124))</f>
        <v/>
      </c>
      <c r="Q124" s="25" t="str">
        <f>IF(F124="","",N(G124)*(IFERROR(INDEX(Catalogue!$E$6:$E$55,MATCH(F124,Catalogue!$B$6:$B$55,0)),0)+IFERROR(INDEX(Catalogue!$F$6:$F$55,MATCH(F124,Catalogue!$B$6:$B$55,0)),0)+IFERROR(INDEX(Catalogue!$H$6:$H$55,MATCH(F124,Catalogue!$B$6:$B$55,0)),0)))</f>
        <v/>
      </c>
      <c r="R124" s="25" t="str">
        <f t="shared" si="6"/>
        <v/>
      </c>
      <c r="S124" s="18"/>
      <c r="T124" s="24" t="str">
        <f t="shared" si="7"/>
        <v/>
      </c>
      <c r="U124" s="28" t="str">
        <f>IF(D124="","",IF(COUNTIF(D$6:D124,D124)=1,"Nouveau","Fidèle"))</f>
        <v/>
      </c>
    </row>
    <row r="125" spans="1:21" x14ac:dyDescent="0.25">
      <c r="A125" s="41" t="str">
        <f t="shared" si="4"/>
        <v/>
      </c>
      <c r="B125" s="38"/>
      <c r="C125" s="18"/>
      <c r="D125" s="18"/>
      <c r="E125" s="18"/>
      <c r="F125" s="18"/>
      <c r="G125" s="20"/>
      <c r="H125" s="19"/>
      <c r="I125" s="25" t="str">
        <f>IF(F125="","",IF(H125="",IFERROR(INDEX(Catalogue!$I$6:$I$55,MATCH(F125,Catalogue!$B$6:$B$55,0)),0),H125))</f>
        <v/>
      </c>
      <c r="J125" s="19"/>
      <c r="K125" s="25" t="str">
        <f t="shared" si="5"/>
        <v/>
      </c>
      <c r="L125" s="18"/>
      <c r="M125" s="18"/>
      <c r="N125" s="18"/>
      <c r="O125" s="19"/>
      <c r="P125" s="25" t="str">
        <f>IF(F125="","",IF(O125="",IFERROR(INDEX(Catalogue!$G$6:$G$55,MATCH(F125,Catalogue!$B$6:$B$55,0)),0),O125))</f>
        <v/>
      </c>
      <c r="Q125" s="25" t="str">
        <f>IF(F125="","",N(G125)*(IFERROR(INDEX(Catalogue!$E$6:$E$55,MATCH(F125,Catalogue!$B$6:$B$55,0)),0)+IFERROR(INDEX(Catalogue!$F$6:$F$55,MATCH(F125,Catalogue!$B$6:$B$55,0)),0)+IFERROR(INDEX(Catalogue!$H$6:$H$55,MATCH(F125,Catalogue!$B$6:$B$55,0)),0)))</f>
        <v/>
      </c>
      <c r="R125" s="25" t="str">
        <f t="shared" si="6"/>
        <v/>
      </c>
      <c r="S125" s="18"/>
      <c r="T125" s="24" t="str">
        <f t="shared" si="7"/>
        <v/>
      </c>
      <c r="U125" s="28" t="str">
        <f>IF(D125="","",IF(COUNTIF(D$6:D125,D125)=1,"Nouveau","Fidèle"))</f>
        <v/>
      </c>
    </row>
    <row r="126" spans="1:21" x14ac:dyDescent="0.25">
      <c r="A126" s="41" t="str">
        <f t="shared" si="4"/>
        <v/>
      </c>
      <c r="B126" s="38"/>
      <c r="C126" s="18"/>
      <c r="D126" s="18"/>
      <c r="E126" s="18"/>
      <c r="F126" s="18"/>
      <c r="G126" s="20"/>
      <c r="H126" s="19"/>
      <c r="I126" s="25" t="str">
        <f>IF(F126="","",IF(H126="",IFERROR(INDEX(Catalogue!$I$6:$I$55,MATCH(F126,Catalogue!$B$6:$B$55,0)),0),H126))</f>
        <v/>
      </c>
      <c r="J126" s="19"/>
      <c r="K126" s="25" t="str">
        <f t="shared" si="5"/>
        <v/>
      </c>
      <c r="L126" s="18"/>
      <c r="M126" s="18"/>
      <c r="N126" s="18"/>
      <c r="O126" s="19"/>
      <c r="P126" s="25" t="str">
        <f>IF(F126="","",IF(O126="",IFERROR(INDEX(Catalogue!$G$6:$G$55,MATCH(F126,Catalogue!$B$6:$B$55,0)),0),O126))</f>
        <v/>
      </c>
      <c r="Q126" s="25" t="str">
        <f>IF(F126="","",N(G126)*(IFERROR(INDEX(Catalogue!$E$6:$E$55,MATCH(F126,Catalogue!$B$6:$B$55,0)),0)+IFERROR(INDEX(Catalogue!$F$6:$F$55,MATCH(F126,Catalogue!$B$6:$B$55,0)),0)+IFERROR(INDEX(Catalogue!$H$6:$H$55,MATCH(F126,Catalogue!$B$6:$B$55,0)),0)))</f>
        <v/>
      </c>
      <c r="R126" s="25" t="str">
        <f t="shared" si="6"/>
        <v/>
      </c>
      <c r="S126" s="18"/>
      <c r="T126" s="24" t="str">
        <f t="shared" si="7"/>
        <v/>
      </c>
      <c r="U126" s="28" t="str">
        <f>IF(D126="","",IF(COUNTIF(D$6:D126,D126)=1,"Nouveau","Fidèle"))</f>
        <v/>
      </c>
    </row>
    <row r="127" spans="1:21" x14ac:dyDescent="0.25">
      <c r="A127" s="41" t="str">
        <f t="shared" si="4"/>
        <v/>
      </c>
      <c r="B127" s="38"/>
      <c r="C127" s="18"/>
      <c r="D127" s="18"/>
      <c r="E127" s="18"/>
      <c r="F127" s="18"/>
      <c r="G127" s="20"/>
      <c r="H127" s="19"/>
      <c r="I127" s="25" t="str">
        <f>IF(F127="","",IF(H127="",IFERROR(INDEX(Catalogue!$I$6:$I$55,MATCH(F127,Catalogue!$B$6:$B$55,0)),0),H127))</f>
        <v/>
      </c>
      <c r="J127" s="19"/>
      <c r="K127" s="25" t="str">
        <f t="shared" si="5"/>
        <v/>
      </c>
      <c r="L127" s="18"/>
      <c r="M127" s="18"/>
      <c r="N127" s="18"/>
      <c r="O127" s="19"/>
      <c r="P127" s="25" t="str">
        <f>IF(F127="","",IF(O127="",IFERROR(INDEX(Catalogue!$G$6:$G$55,MATCH(F127,Catalogue!$B$6:$B$55,0)),0),O127))</f>
        <v/>
      </c>
      <c r="Q127" s="25" t="str">
        <f>IF(F127="","",N(G127)*(IFERROR(INDEX(Catalogue!$E$6:$E$55,MATCH(F127,Catalogue!$B$6:$B$55,0)),0)+IFERROR(INDEX(Catalogue!$F$6:$F$55,MATCH(F127,Catalogue!$B$6:$B$55,0)),0)+IFERROR(INDEX(Catalogue!$H$6:$H$55,MATCH(F127,Catalogue!$B$6:$B$55,0)),0)))</f>
        <v/>
      </c>
      <c r="R127" s="25" t="str">
        <f t="shared" si="6"/>
        <v/>
      </c>
      <c r="S127" s="18"/>
      <c r="T127" s="24" t="str">
        <f t="shared" si="7"/>
        <v/>
      </c>
      <c r="U127" s="28" t="str">
        <f>IF(D127="","",IF(COUNTIF(D$6:D127,D127)=1,"Nouveau","Fidèle"))</f>
        <v/>
      </c>
    </row>
    <row r="128" spans="1:21" x14ac:dyDescent="0.25">
      <c r="A128" s="41" t="str">
        <f t="shared" si="4"/>
        <v/>
      </c>
      <c r="B128" s="38"/>
      <c r="C128" s="18"/>
      <c r="D128" s="18"/>
      <c r="E128" s="18"/>
      <c r="F128" s="18"/>
      <c r="G128" s="20"/>
      <c r="H128" s="19"/>
      <c r="I128" s="25" t="str">
        <f>IF(F128="","",IF(H128="",IFERROR(INDEX(Catalogue!$I$6:$I$55,MATCH(F128,Catalogue!$B$6:$B$55,0)),0),H128))</f>
        <v/>
      </c>
      <c r="J128" s="19"/>
      <c r="K128" s="25" t="str">
        <f t="shared" si="5"/>
        <v/>
      </c>
      <c r="L128" s="18"/>
      <c r="M128" s="18"/>
      <c r="N128" s="18"/>
      <c r="O128" s="19"/>
      <c r="P128" s="25" t="str">
        <f>IF(F128="","",IF(O128="",IFERROR(INDEX(Catalogue!$G$6:$G$55,MATCH(F128,Catalogue!$B$6:$B$55,0)),0),O128))</f>
        <v/>
      </c>
      <c r="Q128" s="25" t="str">
        <f>IF(F128="","",N(G128)*(IFERROR(INDEX(Catalogue!$E$6:$E$55,MATCH(F128,Catalogue!$B$6:$B$55,0)),0)+IFERROR(INDEX(Catalogue!$F$6:$F$55,MATCH(F128,Catalogue!$B$6:$B$55,0)),0)+IFERROR(INDEX(Catalogue!$H$6:$H$55,MATCH(F128,Catalogue!$B$6:$B$55,0)),0)))</f>
        <v/>
      </c>
      <c r="R128" s="25" t="str">
        <f t="shared" si="6"/>
        <v/>
      </c>
      <c r="S128" s="18"/>
      <c r="T128" s="24" t="str">
        <f t="shared" si="7"/>
        <v/>
      </c>
      <c r="U128" s="28" t="str">
        <f>IF(D128="","",IF(COUNTIF(D$6:D128,D128)=1,"Nouveau","Fidèle"))</f>
        <v/>
      </c>
    </row>
    <row r="129" spans="1:21" x14ac:dyDescent="0.25">
      <c r="A129" s="41" t="str">
        <f t="shared" si="4"/>
        <v/>
      </c>
      <c r="B129" s="38"/>
      <c r="C129" s="18"/>
      <c r="D129" s="18"/>
      <c r="E129" s="18"/>
      <c r="F129" s="18"/>
      <c r="G129" s="20"/>
      <c r="H129" s="19"/>
      <c r="I129" s="25" t="str">
        <f>IF(F129="","",IF(H129="",IFERROR(INDEX(Catalogue!$I$6:$I$55,MATCH(F129,Catalogue!$B$6:$B$55,0)),0),H129))</f>
        <v/>
      </c>
      <c r="J129" s="19"/>
      <c r="K129" s="25" t="str">
        <f t="shared" si="5"/>
        <v/>
      </c>
      <c r="L129" s="18"/>
      <c r="M129" s="18"/>
      <c r="N129" s="18"/>
      <c r="O129" s="19"/>
      <c r="P129" s="25" t="str">
        <f>IF(F129="","",IF(O129="",IFERROR(INDEX(Catalogue!$G$6:$G$55,MATCH(F129,Catalogue!$B$6:$B$55,0)),0),O129))</f>
        <v/>
      </c>
      <c r="Q129" s="25" t="str">
        <f>IF(F129="","",N(G129)*(IFERROR(INDEX(Catalogue!$E$6:$E$55,MATCH(F129,Catalogue!$B$6:$B$55,0)),0)+IFERROR(INDEX(Catalogue!$F$6:$F$55,MATCH(F129,Catalogue!$B$6:$B$55,0)),0)+IFERROR(INDEX(Catalogue!$H$6:$H$55,MATCH(F129,Catalogue!$B$6:$B$55,0)),0)))</f>
        <v/>
      </c>
      <c r="R129" s="25" t="str">
        <f t="shared" si="6"/>
        <v/>
      </c>
      <c r="S129" s="18"/>
      <c r="T129" s="24" t="str">
        <f t="shared" si="7"/>
        <v/>
      </c>
      <c r="U129" s="28" t="str">
        <f>IF(D129="","",IF(COUNTIF(D$6:D129,D129)=1,"Nouveau","Fidèle"))</f>
        <v/>
      </c>
    </row>
    <row r="130" spans="1:21" x14ac:dyDescent="0.25">
      <c r="A130" s="41" t="str">
        <f t="shared" si="4"/>
        <v/>
      </c>
      <c r="B130" s="38"/>
      <c r="C130" s="18"/>
      <c r="D130" s="18"/>
      <c r="E130" s="18"/>
      <c r="F130" s="18"/>
      <c r="G130" s="20"/>
      <c r="H130" s="19"/>
      <c r="I130" s="25" t="str">
        <f>IF(F130="","",IF(H130="",IFERROR(INDEX(Catalogue!$I$6:$I$55,MATCH(F130,Catalogue!$B$6:$B$55,0)),0),H130))</f>
        <v/>
      </c>
      <c r="J130" s="19"/>
      <c r="K130" s="25" t="str">
        <f t="shared" si="5"/>
        <v/>
      </c>
      <c r="L130" s="18"/>
      <c r="M130" s="18"/>
      <c r="N130" s="18"/>
      <c r="O130" s="19"/>
      <c r="P130" s="25" t="str">
        <f>IF(F130="","",IF(O130="",IFERROR(INDEX(Catalogue!$G$6:$G$55,MATCH(F130,Catalogue!$B$6:$B$55,0)),0),O130))</f>
        <v/>
      </c>
      <c r="Q130" s="25" t="str">
        <f>IF(F130="","",N(G130)*(IFERROR(INDEX(Catalogue!$E$6:$E$55,MATCH(F130,Catalogue!$B$6:$B$55,0)),0)+IFERROR(INDEX(Catalogue!$F$6:$F$55,MATCH(F130,Catalogue!$B$6:$B$55,0)),0)+IFERROR(INDEX(Catalogue!$H$6:$H$55,MATCH(F130,Catalogue!$B$6:$B$55,0)),0)))</f>
        <v/>
      </c>
      <c r="R130" s="25" t="str">
        <f t="shared" si="6"/>
        <v/>
      </c>
      <c r="S130" s="18"/>
      <c r="T130" s="24" t="str">
        <f t="shared" si="7"/>
        <v/>
      </c>
      <c r="U130" s="28" t="str">
        <f>IF(D130="","",IF(COUNTIF(D$6:D130,D130)=1,"Nouveau","Fidèle"))</f>
        <v/>
      </c>
    </row>
    <row r="131" spans="1:21" x14ac:dyDescent="0.25">
      <c r="A131" s="41" t="str">
        <f t="shared" si="4"/>
        <v/>
      </c>
      <c r="B131" s="38"/>
      <c r="C131" s="18"/>
      <c r="D131" s="18"/>
      <c r="E131" s="18"/>
      <c r="F131" s="18"/>
      <c r="G131" s="20"/>
      <c r="H131" s="19"/>
      <c r="I131" s="25" t="str">
        <f>IF(F131="","",IF(H131="",IFERROR(INDEX(Catalogue!$I$6:$I$55,MATCH(F131,Catalogue!$B$6:$B$55,0)),0),H131))</f>
        <v/>
      </c>
      <c r="J131" s="19"/>
      <c r="K131" s="25" t="str">
        <f t="shared" si="5"/>
        <v/>
      </c>
      <c r="L131" s="18"/>
      <c r="M131" s="18"/>
      <c r="N131" s="18"/>
      <c r="O131" s="19"/>
      <c r="P131" s="25" t="str">
        <f>IF(F131="","",IF(O131="",IFERROR(INDEX(Catalogue!$G$6:$G$55,MATCH(F131,Catalogue!$B$6:$B$55,0)),0),O131))</f>
        <v/>
      </c>
      <c r="Q131" s="25" t="str">
        <f>IF(F131="","",N(G131)*(IFERROR(INDEX(Catalogue!$E$6:$E$55,MATCH(F131,Catalogue!$B$6:$B$55,0)),0)+IFERROR(INDEX(Catalogue!$F$6:$F$55,MATCH(F131,Catalogue!$B$6:$B$55,0)),0)+IFERROR(INDEX(Catalogue!$H$6:$H$55,MATCH(F131,Catalogue!$B$6:$B$55,0)),0)))</f>
        <v/>
      </c>
      <c r="R131" s="25" t="str">
        <f t="shared" si="6"/>
        <v/>
      </c>
      <c r="S131" s="18"/>
      <c r="T131" s="24" t="str">
        <f t="shared" si="7"/>
        <v/>
      </c>
      <c r="U131" s="28" t="str">
        <f>IF(D131="","",IF(COUNTIF(D$6:D131,D131)=1,"Nouveau","Fidèle"))</f>
        <v/>
      </c>
    </row>
    <row r="132" spans="1:21" x14ac:dyDescent="0.25">
      <c r="A132" s="41" t="str">
        <f t="shared" si="4"/>
        <v/>
      </c>
      <c r="B132" s="38"/>
      <c r="C132" s="18"/>
      <c r="D132" s="18"/>
      <c r="E132" s="18"/>
      <c r="F132" s="18"/>
      <c r="G132" s="20"/>
      <c r="H132" s="19"/>
      <c r="I132" s="25" t="str">
        <f>IF(F132="","",IF(H132="",IFERROR(INDEX(Catalogue!$I$6:$I$55,MATCH(F132,Catalogue!$B$6:$B$55,0)),0),H132))</f>
        <v/>
      </c>
      <c r="J132" s="19"/>
      <c r="K132" s="25" t="str">
        <f t="shared" si="5"/>
        <v/>
      </c>
      <c r="L132" s="18"/>
      <c r="M132" s="18"/>
      <c r="N132" s="18"/>
      <c r="O132" s="19"/>
      <c r="P132" s="25" t="str">
        <f>IF(F132="","",IF(O132="",IFERROR(INDEX(Catalogue!$G$6:$G$55,MATCH(F132,Catalogue!$B$6:$B$55,0)),0),O132))</f>
        <v/>
      </c>
      <c r="Q132" s="25" t="str">
        <f>IF(F132="","",N(G132)*(IFERROR(INDEX(Catalogue!$E$6:$E$55,MATCH(F132,Catalogue!$B$6:$B$55,0)),0)+IFERROR(INDEX(Catalogue!$F$6:$F$55,MATCH(F132,Catalogue!$B$6:$B$55,0)),0)+IFERROR(INDEX(Catalogue!$H$6:$H$55,MATCH(F132,Catalogue!$B$6:$B$55,0)),0)))</f>
        <v/>
      </c>
      <c r="R132" s="25" t="str">
        <f t="shared" si="6"/>
        <v/>
      </c>
      <c r="S132" s="18"/>
      <c r="T132" s="24" t="str">
        <f t="shared" si="7"/>
        <v/>
      </c>
      <c r="U132" s="28" t="str">
        <f>IF(D132="","",IF(COUNTIF(D$6:D132,D132)=1,"Nouveau","Fidèle"))</f>
        <v/>
      </c>
    </row>
    <row r="133" spans="1:21" x14ac:dyDescent="0.25">
      <c r="A133" s="41" t="str">
        <f t="shared" si="4"/>
        <v/>
      </c>
      <c r="B133" s="38"/>
      <c r="C133" s="18"/>
      <c r="D133" s="18"/>
      <c r="E133" s="18"/>
      <c r="F133" s="18"/>
      <c r="G133" s="20"/>
      <c r="H133" s="19"/>
      <c r="I133" s="25" t="str">
        <f>IF(F133="","",IF(H133="",IFERROR(INDEX(Catalogue!$I$6:$I$55,MATCH(F133,Catalogue!$B$6:$B$55,0)),0),H133))</f>
        <v/>
      </c>
      <c r="J133" s="19"/>
      <c r="K133" s="25" t="str">
        <f t="shared" si="5"/>
        <v/>
      </c>
      <c r="L133" s="18"/>
      <c r="M133" s="18"/>
      <c r="N133" s="18"/>
      <c r="O133" s="19"/>
      <c r="P133" s="25" t="str">
        <f>IF(F133="","",IF(O133="",IFERROR(INDEX(Catalogue!$G$6:$G$55,MATCH(F133,Catalogue!$B$6:$B$55,0)),0),O133))</f>
        <v/>
      </c>
      <c r="Q133" s="25" t="str">
        <f>IF(F133="","",N(G133)*(IFERROR(INDEX(Catalogue!$E$6:$E$55,MATCH(F133,Catalogue!$B$6:$B$55,0)),0)+IFERROR(INDEX(Catalogue!$F$6:$F$55,MATCH(F133,Catalogue!$B$6:$B$55,0)),0)+IFERROR(INDEX(Catalogue!$H$6:$H$55,MATCH(F133,Catalogue!$B$6:$B$55,0)),0)))</f>
        <v/>
      </c>
      <c r="R133" s="25" t="str">
        <f t="shared" si="6"/>
        <v/>
      </c>
      <c r="S133" s="18"/>
      <c r="T133" s="24" t="str">
        <f t="shared" si="7"/>
        <v/>
      </c>
      <c r="U133" s="28" t="str">
        <f>IF(D133="","",IF(COUNTIF(D$6:D133,D133)=1,"Nouveau","Fidèle"))</f>
        <v/>
      </c>
    </row>
    <row r="134" spans="1:21" x14ac:dyDescent="0.25">
      <c r="A134" s="41" t="str">
        <f t="shared" ref="A134:A197" si="8">IF(B134="","",ROW()-5)</f>
        <v/>
      </c>
      <c r="B134" s="38"/>
      <c r="C134" s="18"/>
      <c r="D134" s="18"/>
      <c r="E134" s="18"/>
      <c r="F134" s="18"/>
      <c r="G134" s="20"/>
      <c r="H134" s="19"/>
      <c r="I134" s="25" t="str">
        <f>IF(F134="","",IF(H134="",IFERROR(INDEX(Catalogue!$I$6:$I$55,MATCH(F134,Catalogue!$B$6:$B$55,0)),0),H134))</f>
        <v/>
      </c>
      <c r="J134" s="19"/>
      <c r="K134" s="25" t="str">
        <f t="shared" ref="K134:K197" si="9">IF(F134="","",N(G134)*I134-N(J134))</f>
        <v/>
      </c>
      <c r="L134" s="18"/>
      <c r="M134" s="18"/>
      <c r="N134" s="18"/>
      <c r="O134" s="19"/>
      <c r="P134" s="25" t="str">
        <f>IF(F134="","",IF(O134="",IFERROR(INDEX(Catalogue!$G$6:$G$55,MATCH(F134,Catalogue!$B$6:$B$55,0)),0),O134))</f>
        <v/>
      </c>
      <c r="Q134" s="25" t="str">
        <f>IF(F134="","",N(G134)*(IFERROR(INDEX(Catalogue!$E$6:$E$55,MATCH(F134,Catalogue!$B$6:$B$55,0)),0)+IFERROR(INDEX(Catalogue!$F$6:$F$55,MATCH(F134,Catalogue!$B$6:$B$55,0)),0)+IFERROR(INDEX(Catalogue!$H$6:$H$55,MATCH(F134,Catalogue!$B$6:$B$55,0)),0)))</f>
        <v/>
      </c>
      <c r="R134" s="25" t="str">
        <f t="shared" ref="R134:R197" si="10">IF(F134="","",IF(M134="Livrée et payée",K134-Q134-P134,IF(M134="Annulée",-N(P134),0)))</f>
        <v/>
      </c>
      <c r="S134" s="18"/>
      <c r="T134" s="24" t="str">
        <f t="shared" ref="T134:T197" si="11">IF(B134="","",DATE(YEAR(B134),MONTH(B134),1))</f>
        <v/>
      </c>
      <c r="U134" s="28" t="str">
        <f>IF(D134="","",IF(COUNTIF(D$6:D134,D134)=1,"Nouveau","Fidèle"))</f>
        <v/>
      </c>
    </row>
    <row r="135" spans="1:21" x14ac:dyDescent="0.25">
      <c r="A135" s="41" t="str">
        <f t="shared" si="8"/>
        <v/>
      </c>
      <c r="B135" s="38"/>
      <c r="C135" s="18"/>
      <c r="D135" s="18"/>
      <c r="E135" s="18"/>
      <c r="F135" s="18"/>
      <c r="G135" s="20"/>
      <c r="H135" s="19"/>
      <c r="I135" s="25" t="str">
        <f>IF(F135="","",IF(H135="",IFERROR(INDEX(Catalogue!$I$6:$I$55,MATCH(F135,Catalogue!$B$6:$B$55,0)),0),H135))</f>
        <v/>
      </c>
      <c r="J135" s="19"/>
      <c r="K135" s="25" t="str">
        <f t="shared" si="9"/>
        <v/>
      </c>
      <c r="L135" s="18"/>
      <c r="M135" s="18"/>
      <c r="N135" s="18"/>
      <c r="O135" s="19"/>
      <c r="P135" s="25" t="str">
        <f>IF(F135="","",IF(O135="",IFERROR(INDEX(Catalogue!$G$6:$G$55,MATCH(F135,Catalogue!$B$6:$B$55,0)),0),O135))</f>
        <v/>
      </c>
      <c r="Q135" s="25" t="str">
        <f>IF(F135="","",N(G135)*(IFERROR(INDEX(Catalogue!$E$6:$E$55,MATCH(F135,Catalogue!$B$6:$B$55,0)),0)+IFERROR(INDEX(Catalogue!$F$6:$F$55,MATCH(F135,Catalogue!$B$6:$B$55,0)),0)+IFERROR(INDEX(Catalogue!$H$6:$H$55,MATCH(F135,Catalogue!$B$6:$B$55,0)),0)))</f>
        <v/>
      </c>
      <c r="R135" s="25" t="str">
        <f t="shared" si="10"/>
        <v/>
      </c>
      <c r="S135" s="18"/>
      <c r="T135" s="24" t="str">
        <f t="shared" si="11"/>
        <v/>
      </c>
      <c r="U135" s="28" t="str">
        <f>IF(D135="","",IF(COUNTIF(D$6:D135,D135)=1,"Nouveau","Fidèle"))</f>
        <v/>
      </c>
    </row>
    <row r="136" spans="1:21" x14ac:dyDescent="0.25">
      <c r="A136" s="41" t="str">
        <f t="shared" si="8"/>
        <v/>
      </c>
      <c r="B136" s="38"/>
      <c r="C136" s="18"/>
      <c r="D136" s="18"/>
      <c r="E136" s="18"/>
      <c r="F136" s="18"/>
      <c r="G136" s="20"/>
      <c r="H136" s="19"/>
      <c r="I136" s="25" t="str">
        <f>IF(F136="","",IF(H136="",IFERROR(INDEX(Catalogue!$I$6:$I$55,MATCH(F136,Catalogue!$B$6:$B$55,0)),0),H136))</f>
        <v/>
      </c>
      <c r="J136" s="19"/>
      <c r="K136" s="25" t="str">
        <f t="shared" si="9"/>
        <v/>
      </c>
      <c r="L136" s="18"/>
      <c r="M136" s="18"/>
      <c r="N136" s="18"/>
      <c r="O136" s="19"/>
      <c r="P136" s="25" t="str">
        <f>IF(F136="","",IF(O136="",IFERROR(INDEX(Catalogue!$G$6:$G$55,MATCH(F136,Catalogue!$B$6:$B$55,0)),0),O136))</f>
        <v/>
      </c>
      <c r="Q136" s="25" t="str">
        <f>IF(F136="","",N(G136)*(IFERROR(INDEX(Catalogue!$E$6:$E$55,MATCH(F136,Catalogue!$B$6:$B$55,0)),0)+IFERROR(INDEX(Catalogue!$F$6:$F$55,MATCH(F136,Catalogue!$B$6:$B$55,0)),0)+IFERROR(INDEX(Catalogue!$H$6:$H$55,MATCH(F136,Catalogue!$B$6:$B$55,0)),0)))</f>
        <v/>
      </c>
      <c r="R136" s="25" t="str">
        <f t="shared" si="10"/>
        <v/>
      </c>
      <c r="S136" s="18"/>
      <c r="T136" s="24" t="str">
        <f t="shared" si="11"/>
        <v/>
      </c>
      <c r="U136" s="28" t="str">
        <f>IF(D136="","",IF(COUNTIF(D$6:D136,D136)=1,"Nouveau","Fidèle"))</f>
        <v/>
      </c>
    </row>
    <row r="137" spans="1:21" x14ac:dyDescent="0.25">
      <c r="A137" s="41" t="str">
        <f t="shared" si="8"/>
        <v/>
      </c>
      <c r="B137" s="38"/>
      <c r="C137" s="18"/>
      <c r="D137" s="18"/>
      <c r="E137" s="18"/>
      <c r="F137" s="18"/>
      <c r="G137" s="20"/>
      <c r="H137" s="19"/>
      <c r="I137" s="25" t="str">
        <f>IF(F137="","",IF(H137="",IFERROR(INDEX(Catalogue!$I$6:$I$55,MATCH(F137,Catalogue!$B$6:$B$55,0)),0),H137))</f>
        <v/>
      </c>
      <c r="J137" s="19"/>
      <c r="K137" s="25" t="str">
        <f t="shared" si="9"/>
        <v/>
      </c>
      <c r="L137" s="18"/>
      <c r="M137" s="18"/>
      <c r="N137" s="18"/>
      <c r="O137" s="19"/>
      <c r="P137" s="25" t="str">
        <f>IF(F137="","",IF(O137="",IFERROR(INDEX(Catalogue!$G$6:$G$55,MATCH(F137,Catalogue!$B$6:$B$55,0)),0),O137))</f>
        <v/>
      </c>
      <c r="Q137" s="25" t="str">
        <f>IF(F137="","",N(G137)*(IFERROR(INDEX(Catalogue!$E$6:$E$55,MATCH(F137,Catalogue!$B$6:$B$55,0)),0)+IFERROR(INDEX(Catalogue!$F$6:$F$55,MATCH(F137,Catalogue!$B$6:$B$55,0)),0)+IFERROR(INDEX(Catalogue!$H$6:$H$55,MATCH(F137,Catalogue!$B$6:$B$55,0)),0)))</f>
        <v/>
      </c>
      <c r="R137" s="25" t="str">
        <f t="shared" si="10"/>
        <v/>
      </c>
      <c r="S137" s="18"/>
      <c r="T137" s="24" t="str">
        <f t="shared" si="11"/>
        <v/>
      </c>
      <c r="U137" s="28" t="str">
        <f>IF(D137="","",IF(COUNTIF(D$6:D137,D137)=1,"Nouveau","Fidèle"))</f>
        <v/>
      </c>
    </row>
    <row r="138" spans="1:21" x14ac:dyDescent="0.25">
      <c r="A138" s="41" t="str">
        <f t="shared" si="8"/>
        <v/>
      </c>
      <c r="B138" s="38"/>
      <c r="C138" s="18"/>
      <c r="D138" s="18"/>
      <c r="E138" s="18"/>
      <c r="F138" s="18"/>
      <c r="G138" s="20"/>
      <c r="H138" s="19"/>
      <c r="I138" s="25" t="str">
        <f>IF(F138="","",IF(H138="",IFERROR(INDEX(Catalogue!$I$6:$I$55,MATCH(F138,Catalogue!$B$6:$B$55,0)),0),H138))</f>
        <v/>
      </c>
      <c r="J138" s="19"/>
      <c r="K138" s="25" t="str">
        <f t="shared" si="9"/>
        <v/>
      </c>
      <c r="L138" s="18"/>
      <c r="M138" s="18"/>
      <c r="N138" s="18"/>
      <c r="O138" s="19"/>
      <c r="P138" s="25" t="str">
        <f>IF(F138="","",IF(O138="",IFERROR(INDEX(Catalogue!$G$6:$G$55,MATCH(F138,Catalogue!$B$6:$B$55,0)),0),O138))</f>
        <v/>
      </c>
      <c r="Q138" s="25" t="str">
        <f>IF(F138="","",N(G138)*(IFERROR(INDEX(Catalogue!$E$6:$E$55,MATCH(F138,Catalogue!$B$6:$B$55,0)),0)+IFERROR(INDEX(Catalogue!$F$6:$F$55,MATCH(F138,Catalogue!$B$6:$B$55,0)),0)+IFERROR(INDEX(Catalogue!$H$6:$H$55,MATCH(F138,Catalogue!$B$6:$B$55,0)),0)))</f>
        <v/>
      </c>
      <c r="R138" s="25" t="str">
        <f t="shared" si="10"/>
        <v/>
      </c>
      <c r="S138" s="18"/>
      <c r="T138" s="24" t="str">
        <f t="shared" si="11"/>
        <v/>
      </c>
      <c r="U138" s="28" t="str">
        <f>IF(D138="","",IF(COUNTIF(D$6:D138,D138)=1,"Nouveau","Fidèle"))</f>
        <v/>
      </c>
    </row>
    <row r="139" spans="1:21" x14ac:dyDescent="0.25">
      <c r="A139" s="41" t="str">
        <f t="shared" si="8"/>
        <v/>
      </c>
      <c r="B139" s="38"/>
      <c r="C139" s="18"/>
      <c r="D139" s="18"/>
      <c r="E139" s="18"/>
      <c r="F139" s="18"/>
      <c r="G139" s="20"/>
      <c r="H139" s="19"/>
      <c r="I139" s="25" t="str">
        <f>IF(F139="","",IF(H139="",IFERROR(INDEX(Catalogue!$I$6:$I$55,MATCH(F139,Catalogue!$B$6:$B$55,0)),0),H139))</f>
        <v/>
      </c>
      <c r="J139" s="19"/>
      <c r="K139" s="25" t="str">
        <f t="shared" si="9"/>
        <v/>
      </c>
      <c r="L139" s="18"/>
      <c r="M139" s="18"/>
      <c r="N139" s="18"/>
      <c r="O139" s="19"/>
      <c r="P139" s="25" t="str">
        <f>IF(F139="","",IF(O139="",IFERROR(INDEX(Catalogue!$G$6:$G$55,MATCH(F139,Catalogue!$B$6:$B$55,0)),0),O139))</f>
        <v/>
      </c>
      <c r="Q139" s="25" t="str">
        <f>IF(F139="","",N(G139)*(IFERROR(INDEX(Catalogue!$E$6:$E$55,MATCH(F139,Catalogue!$B$6:$B$55,0)),0)+IFERROR(INDEX(Catalogue!$F$6:$F$55,MATCH(F139,Catalogue!$B$6:$B$55,0)),0)+IFERROR(INDEX(Catalogue!$H$6:$H$55,MATCH(F139,Catalogue!$B$6:$B$55,0)),0)))</f>
        <v/>
      </c>
      <c r="R139" s="25" t="str">
        <f t="shared" si="10"/>
        <v/>
      </c>
      <c r="S139" s="18"/>
      <c r="T139" s="24" t="str">
        <f t="shared" si="11"/>
        <v/>
      </c>
      <c r="U139" s="28" t="str">
        <f>IF(D139="","",IF(COUNTIF(D$6:D139,D139)=1,"Nouveau","Fidèle"))</f>
        <v/>
      </c>
    </row>
    <row r="140" spans="1:21" x14ac:dyDescent="0.25">
      <c r="A140" s="41" t="str">
        <f t="shared" si="8"/>
        <v/>
      </c>
      <c r="B140" s="38"/>
      <c r="C140" s="18"/>
      <c r="D140" s="18"/>
      <c r="E140" s="18"/>
      <c r="F140" s="18"/>
      <c r="G140" s="20"/>
      <c r="H140" s="19"/>
      <c r="I140" s="25" t="str">
        <f>IF(F140="","",IF(H140="",IFERROR(INDEX(Catalogue!$I$6:$I$55,MATCH(F140,Catalogue!$B$6:$B$55,0)),0),H140))</f>
        <v/>
      </c>
      <c r="J140" s="19"/>
      <c r="K140" s="25" t="str">
        <f t="shared" si="9"/>
        <v/>
      </c>
      <c r="L140" s="18"/>
      <c r="M140" s="18"/>
      <c r="N140" s="18"/>
      <c r="O140" s="19"/>
      <c r="P140" s="25" t="str">
        <f>IF(F140="","",IF(O140="",IFERROR(INDEX(Catalogue!$G$6:$G$55,MATCH(F140,Catalogue!$B$6:$B$55,0)),0),O140))</f>
        <v/>
      </c>
      <c r="Q140" s="25" t="str">
        <f>IF(F140="","",N(G140)*(IFERROR(INDEX(Catalogue!$E$6:$E$55,MATCH(F140,Catalogue!$B$6:$B$55,0)),0)+IFERROR(INDEX(Catalogue!$F$6:$F$55,MATCH(F140,Catalogue!$B$6:$B$55,0)),0)+IFERROR(INDEX(Catalogue!$H$6:$H$55,MATCH(F140,Catalogue!$B$6:$B$55,0)),0)))</f>
        <v/>
      </c>
      <c r="R140" s="25" t="str">
        <f t="shared" si="10"/>
        <v/>
      </c>
      <c r="S140" s="18"/>
      <c r="T140" s="24" t="str">
        <f t="shared" si="11"/>
        <v/>
      </c>
      <c r="U140" s="28" t="str">
        <f>IF(D140="","",IF(COUNTIF(D$6:D140,D140)=1,"Nouveau","Fidèle"))</f>
        <v/>
      </c>
    </row>
    <row r="141" spans="1:21" x14ac:dyDescent="0.25">
      <c r="A141" s="41" t="str">
        <f t="shared" si="8"/>
        <v/>
      </c>
      <c r="B141" s="38"/>
      <c r="C141" s="18"/>
      <c r="D141" s="18"/>
      <c r="E141" s="18"/>
      <c r="F141" s="18"/>
      <c r="G141" s="20"/>
      <c r="H141" s="19"/>
      <c r="I141" s="25" t="str">
        <f>IF(F141="","",IF(H141="",IFERROR(INDEX(Catalogue!$I$6:$I$55,MATCH(F141,Catalogue!$B$6:$B$55,0)),0),H141))</f>
        <v/>
      </c>
      <c r="J141" s="19"/>
      <c r="K141" s="25" t="str">
        <f t="shared" si="9"/>
        <v/>
      </c>
      <c r="L141" s="18"/>
      <c r="M141" s="18"/>
      <c r="N141" s="18"/>
      <c r="O141" s="19"/>
      <c r="P141" s="25" t="str">
        <f>IF(F141="","",IF(O141="",IFERROR(INDEX(Catalogue!$G$6:$G$55,MATCH(F141,Catalogue!$B$6:$B$55,0)),0),O141))</f>
        <v/>
      </c>
      <c r="Q141" s="25" t="str">
        <f>IF(F141="","",N(G141)*(IFERROR(INDEX(Catalogue!$E$6:$E$55,MATCH(F141,Catalogue!$B$6:$B$55,0)),0)+IFERROR(INDEX(Catalogue!$F$6:$F$55,MATCH(F141,Catalogue!$B$6:$B$55,0)),0)+IFERROR(INDEX(Catalogue!$H$6:$H$55,MATCH(F141,Catalogue!$B$6:$B$55,0)),0)))</f>
        <v/>
      </c>
      <c r="R141" s="25" t="str">
        <f t="shared" si="10"/>
        <v/>
      </c>
      <c r="S141" s="18"/>
      <c r="T141" s="24" t="str">
        <f t="shared" si="11"/>
        <v/>
      </c>
      <c r="U141" s="28" t="str">
        <f>IF(D141="","",IF(COUNTIF(D$6:D141,D141)=1,"Nouveau","Fidèle"))</f>
        <v/>
      </c>
    </row>
    <row r="142" spans="1:21" x14ac:dyDescent="0.25">
      <c r="A142" s="41" t="str">
        <f t="shared" si="8"/>
        <v/>
      </c>
      <c r="B142" s="38"/>
      <c r="C142" s="18"/>
      <c r="D142" s="18"/>
      <c r="E142" s="18"/>
      <c r="F142" s="18"/>
      <c r="G142" s="20"/>
      <c r="H142" s="19"/>
      <c r="I142" s="25" t="str">
        <f>IF(F142="","",IF(H142="",IFERROR(INDEX(Catalogue!$I$6:$I$55,MATCH(F142,Catalogue!$B$6:$B$55,0)),0),H142))</f>
        <v/>
      </c>
      <c r="J142" s="19"/>
      <c r="K142" s="25" t="str">
        <f t="shared" si="9"/>
        <v/>
      </c>
      <c r="L142" s="18"/>
      <c r="M142" s="18"/>
      <c r="N142" s="18"/>
      <c r="O142" s="19"/>
      <c r="P142" s="25" t="str">
        <f>IF(F142="","",IF(O142="",IFERROR(INDEX(Catalogue!$G$6:$G$55,MATCH(F142,Catalogue!$B$6:$B$55,0)),0),O142))</f>
        <v/>
      </c>
      <c r="Q142" s="25" t="str">
        <f>IF(F142="","",N(G142)*(IFERROR(INDEX(Catalogue!$E$6:$E$55,MATCH(F142,Catalogue!$B$6:$B$55,0)),0)+IFERROR(INDEX(Catalogue!$F$6:$F$55,MATCH(F142,Catalogue!$B$6:$B$55,0)),0)+IFERROR(INDEX(Catalogue!$H$6:$H$55,MATCH(F142,Catalogue!$B$6:$B$55,0)),0)))</f>
        <v/>
      </c>
      <c r="R142" s="25" t="str">
        <f t="shared" si="10"/>
        <v/>
      </c>
      <c r="S142" s="18"/>
      <c r="T142" s="24" t="str">
        <f t="shared" si="11"/>
        <v/>
      </c>
      <c r="U142" s="28" t="str">
        <f>IF(D142="","",IF(COUNTIF(D$6:D142,D142)=1,"Nouveau","Fidèle"))</f>
        <v/>
      </c>
    </row>
    <row r="143" spans="1:21" x14ac:dyDescent="0.25">
      <c r="A143" s="41" t="str">
        <f t="shared" si="8"/>
        <v/>
      </c>
      <c r="B143" s="38"/>
      <c r="C143" s="18"/>
      <c r="D143" s="18"/>
      <c r="E143" s="18"/>
      <c r="F143" s="18"/>
      <c r="G143" s="20"/>
      <c r="H143" s="19"/>
      <c r="I143" s="25" t="str">
        <f>IF(F143="","",IF(H143="",IFERROR(INDEX(Catalogue!$I$6:$I$55,MATCH(F143,Catalogue!$B$6:$B$55,0)),0),H143))</f>
        <v/>
      </c>
      <c r="J143" s="19"/>
      <c r="K143" s="25" t="str">
        <f t="shared" si="9"/>
        <v/>
      </c>
      <c r="L143" s="18"/>
      <c r="M143" s="18"/>
      <c r="N143" s="18"/>
      <c r="O143" s="19"/>
      <c r="P143" s="25" t="str">
        <f>IF(F143="","",IF(O143="",IFERROR(INDEX(Catalogue!$G$6:$G$55,MATCH(F143,Catalogue!$B$6:$B$55,0)),0),O143))</f>
        <v/>
      </c>
      <c r="Q143" s="25" t="str">
        <f>IF(F143="","",N(G143)*(IFERROR(INDEX(Catalogue!$E$6:$E$55,MATCH(F143,Catalogue!$B$6:$B$55,0)),0)+IFERROR(INDEX(Catalogue!$F$6:$F$55,MATCH(F143,Catalogue!$B$6:$B$55,0)),0)+IFERROR(INDEX(Catalogue!$H$6:$H$55,MATCH(F143,Catalogue!$B$6:$B$55,0)),0)))</f>
        <v/>
      </c>
      <c r="R143" s="25" t="str">
        <f t="shared" si="10"/>
        <v/>
      </c>
      <c r="S143" s="18"/>
      <c r="T143" s="24" t="str">
        <f t="shared" si="11"/>
        <v/>
      </c>
      <c r="U143" s="28" t="str">
        <f>IF(D143="","",IF(COUNTIF(D$6:D143,D143)=1,"Nouveau","Fidèle"))</f>
        <v/>
      </c>
    </row>
    <row r="144" spans="1:21" x14ac:dyDescent="0.25">
      <c r="A144" s="41" t="str">
        <f t="shared" si="8"/>
        <v/>
      </c>
      <c r="B144" s="38"/>
      <c r="C144" s="18"/>
      <c r="D144" s="18"/>
      <c r="E144" s="18"/>
      <c r="F144" s="18"/>
      <c r="G144" s="20"/>
      <c r="H144" s="19"/>
      <c r="I144" s="25" t="str">
        <f>IF(F144="","",IF(H144="",IFERROR(INDEX(Catalogue!$I$6:$I$55,MATCH(F144,Catalogue!$B$6:$B$55,0)),0),H144))</f>
        <v/>
      </c>
      <c r="J144" s="19"/>
      <c r="K144" s="25" t="str">
        <f t="shared" si="9"/>
        <v/>
      </c>
      <c r="L144" s="18"/>
      <c r="M144" s="18"/>
      <c r="N144" s="18"/>
      <c r="O144" s="19"/>
      <c r="P144" s="25" t="str">
        <f>IF(F144="","",IF(O144="",IFERROR(INDEX(Catalogue!$G$6:$G$55,MATCH(F144,Catalogue!$B$6:$B$55,0)),0),O144))</f>
        <v/>
      </c>
      <c r="Q144" s="25" t="str">
        <f>IF(F144="","",N(G144)*(IFERROR(INDEX(Catalogue!$E$6:$E$55,MATCH(F144,Catalogue!$B$6:$B$55,0)),0)+IFERROR(INDEX(Catalogue!$F$6:$F$55,MATCH(F144,Catalogue!$B$6:$B$55,0)),0)+IFERROR(INDEX(Catalogue!$H$6:$H$55,MATCH(F144,Catalogue!$B$6:$B$55,0)),0)))</f>
        <v/>
      </c>
      <c r="R144" s="25" t="str">
        <f t="shared" si="10"/>
        <v/>
      </c>
      <c r="S144" s="18"/>
      <c r="T144" s="24" t="str">
        <f t="shared" si="11"/>
        <v/>
      </c>
      <c r="U144" s="28" t="str">
        <f>IF(D144="","",IF(COUNTIF(D$6:D144,D144)=1,"Nouveau","Fidèle"))</f>
        <v/>
      </c>
    </row>
    <row r="145" spans="1:21" x14ac:dyDescent="0.25">
      <c r="A145" s="41" t="str">
        <f t="shared" si="8"/>
        <v/>
      </c>
      <c r="B145" s="38"/>
      <c r="C145" s="18"/>
      <c r="D145" s="18"/>
      <c r="E145" s="18"/>
      <c r="F145" s="18"/>
      <c r="G145" s="20"/>
      <c r="H145" s="19"/>
      <c r="I145" s="25" t="str">
        <f>IF(F145="","",IF(H145="",IFERROR(INDEX(Catalogue!$I$6:$I$55,MATCH(F145,Catalogue!$B$6:$B$55,0)),0),H145))</f>
        <v/>
      </c>
      <c r="J145" s="19"/>
      <c r="K145" s="25" t="str">
        <f t="shared" si="9"/>
        <v/>
      </c>
      <c r="L145" s="18"/>
      <c r="M145" s="18"/>
      <c r="N145" s="18"/>
      <c r="O145" s="19"/>
      <c r="P145" s="25" t="str">
        <f>IF(F145="","",IF(O145="",IFERROR(INDEX(Catalogue!$G$6:$G$55,MATCH(F145,Catalogue!$B$6:$B$55,0)),0),O145))</f>
        <v/>
      </c>
      <c r="Q145" s="25" t="str">
        <f>IF(F145="","",N(G145)*(IFERROR(INDEX(Catalogue!$E$6:$E$55,MATCH(F145,Catalogue!$B$6:$B$55,0)),0)+IFERROR(INDEX(Catalogue!$F$6:$F$55,MATCH(F145,Catalogue!$B$6:$B$55,0)),0)+IFERROR(INDEX(Catalogue!$H$6:$H$55,MATCH(F145,Catalogue!$B$6:$B$55,0)),0)))</f>
        <v/>
      </c>
      <c r="R145" s="25" t="str">
        <f t="shared" si="10"/>
        <v/>
      </c>
      <c r="S145" s="18"/>
      <c r="T145" s="24" t="str">
        <f t="shared" si="11"/>
        <v/>
      </c>
      <c r="U145" s="28" t="str">
        <f>IF(D145="","",IF(COUNTIF(D$6:D145,D145)=1,"Nouveau","Fidèle"))</f>
        <v/>
      </c>
    </row>
    <row r="146" spans="1:21" x14ac:dyDescent="0.25">
      <c r="A146" s="41" t="str">
        <f t="shared" si="8"/>
        <v/>
      </c>
      <c r="B146" s="38"/>
      <c r="C146" s="18"/>
      <c r="D146" s="18"/>
      <c r="E146" s="18"/>
      <c r="F146" s="18"/>
      <c r="G146" s="20"/>
      <c r="H146" s="19"/>
      <c r="I146" s="25" t="str">
        <f>IF(F146="","",IF(H146="",IFERROR(INDEX(Catalogue!$I$6:$I$55,MATCH(F146,Catalogue!$B$6:$B$55,0)),0),H146))</f>
        <v/>
      </c>
      <c r="J146" s="19"/>
      <c r="K146" s="25" t="str">
        <f t="shared" si="9"/>
        <v/>
      </c>
      <c r="L146" s="18"/>
      <c r="M146" s="18"/>
      <c r="N146" s="18"/>
      <c r="O146" s="19"/>
      <c r="P146" s="25" t="str">
        <f>IF(F146="","",IF(O146="",IFERROR(INDEX(Catalogue!$G$6:$G$55,MATCH(F146,Catalogue!$B$6:$B$55,0)),0),O146))</f>
        <v/>
      </c>
      <c r="Q146" s="25" t="str">
        <f>IF(F146="","",N(G146)*(IFERROR(INDEX(Catalogue!$E$6:$E$55,MATCH(F146,Catalogue!$B$6:$B$55,0)),0)+IFERROR(INDEX(Catalogue!$F$6:$F$55,MATCH(F146,Catalogue!$B$6:$B$55,0)),0)+IFERROR(INDEX(Catalogue!$H$6:$H$55,MATCH(F146,Catalogue!$B$6:$B$55,0)),0)))</f>
        <v/>
      </c>
      <c r="R146" s="25" t="str">
        <f t="shared" si="10"/>
        <v/>
      </c>
      <c r="S146" s="18"/>
      <c r="T146" s="24" t="str">
        <f t="shared" si="11"/>
        <v/>
      </c>
      <c r="U146" s="28" t="str">
        <f>IF(D146="","",IF(COUNTIF(D$6:D146,D146)=1,"Nouveau","Fidèle"))</f>
        <v/>
      </c>
    </row>
    <row r="147" spans="1:21" x14ac:dyDescent="0.25">
      <c r="A147" s="41" t="str">
        <f t="shared" si="8"/>
        <v/>
      </c>
      <c r="B147" s="38"/>
      <c r="C147" s="18"/>
      <c r="D147" s="18"/>
      <c r="E147" s="18"/>
      <c r="F147" s="18"/>
      <c r="G147" s="20"/>
      <c r="H147" s="19"/>
      <c r="I147" s="25" t="str">
        <f>IF(F147="","",IF(H147="",IFERROR(INDEX(Catalogue!$I$6:$I$55,MATCH(F147,Catalogue!$B$6:$B$55,0)),0),H147))</f>
        <v/>
      </c>
      <c r="J147" s="19"/>
      <c r="K147" s="25" t="str">
        <f t="shared" si="9"/>
        <v/>
      </c>
      <c r="L147" s="18"/>
      <c r="M147" s="18"/>
      <c r="N147" s="18"/>
      <c r="O147" s="19"/>
      <c r="P147" s="25" t="str">
        <f>IF(F147="","",IF(O147="",IFERROR(INDEX(Catalogue!$G$6:$G$55,MATCH(F147,Catalogue!$B$6:$B$55,0)),0),O147))</f>
        <v/>
      </c>
      <c r="Q147" s="25" t="str">
        <f>IF(F147="","",N(G147)*(IFERROR(INDEX(Catalogue!$E$6:$E$55,MATCH(F147,Catalogue!$B$6:$B$55,0)),0)+IFERROR(INDEX(Catalogue!$F$6:$F$55,MATCH(F147,Catalogue!$B$6:$B$55,0)),0)+IFERROR(INDEX(Catalogue!$H$6:$H$55,MATCH(F147,Catalogue!$B$6:$B$55,0)),0)))</f>
        <v/>
      </c>
      <c r="R147" s="25" t="str">
        <f t="shared" si="10"/>
        <v/>
      </c>
      <c r="S147" s="18"/>
      <c r="T147" s="24" t="str">
        <f t="shared" si="11"/>
        <v/>
      </c>
      <c r="U147" s="28" t="str">
        <f>IF(D147="","",IF(COUNTIF(D$6:D147,D147)=1,"Nouveau","Fidèle"))</f>
        <v/>
      </c>
    </row>
    <row r="148" spans="1:21" x14ac:dyDescent="0.25">
      <c r="A148" s="41" t="str">
        <f t="shared" si="8"/>
        <v/>
      </c>
      <c r="B148" s="38"/>
      <c r="C148" s="18"/>
      <c r="D148" s="18"/>
      <c r="E148" s="18"/>
      <c r="F148" s="18"/>
      <c r="G148" s="20"/>
      <c r="H148" s="19"/>
      <c r="I148" s="25" t="str">
        <f>IF(F148="","",IF(H148="",IFERROR(INDEX(Catalogue!$I$6:$I$55,MATCH(F148,Catalogue!$B$6:$B$55,0)),0),H148))</f>
        <v/>
      </c>
      <c r="J148" s="19"/>
      <c r="K148" s="25" t="str">
        <f t="shared" si="9"/>
        <v/>
      </c>
      <c r="L148" s="18"/>
      <c r="M148" s="18"/>
      <c r="N148" s="18"/>
      <c r="O148" s="19"/>
      <c r="P148" s="25" t="str">
        <f>IF(F148="","",IF(O148="",IFERROR(INDEX(Catalogue!$G$6:$G$55,MATCH(F148,Catalogue!$B$6:$B$55,0)),0),O148))</f>
        <v/>
      </c>
      <c r="Q148" s="25" t="str">
        <f>IF(F148="","",N(G148)*(IFERROR(INDEX(Catalogue!$E$6:$E$55,MATCH(F148,Catalogue!$B$6:$B$55,0)),0)+IFERROR(INDEX(Catalogue!$F$6:$F$55,MATCH(F148,Catalogue!$B$6:$B$55,0)),0)+IFERROR(INDEX(Catalogue!$H$6:$H$55,MATCH(F148,Catalogue!$B$6:$B$55,0)),0)))</f>
        <v/>
      </c>
      <c r="R148" s="25" t="str">
        <f t="shared" si="10"/>
        <v/>
      </c>
      <c r="S148" s="18"/>
      <c r="T148" s="24" t="str">
        <f t="shared" si="11"/>
        <v/>
      </c>
      <c r="U148" s="28" t="str">
        <f>IF(D148="","",IF(COUNTIF(D$6:D148,D148)=1,"Nouveau","Fidèle"))</f>
        <v/>
      </c>
    </row>
    <row r="149" spans="1:21" x14ac:dyDescent="0.25">
      <c r="A149" s="41" t="str">
        <f t="shared" si="8"/>
        <v/>
      </c>
      <c r="B149" s="38"/>
      <c r="C149" s="18"/>
      <c r="D149" s="18"/>
      <c r="E149" s="18"/>
      <c r="F149" s="18"/>
      <c r="G149" s="20"/>
      <c r="H149" s="19"/>
      <c r="I149" s="25" t="str">
        <f>IF(F149="","",IF(H149="",IFERROR(INDEX(Catalogue!$I$6:$I$55,MATCH(F149,Catalogue!$B$6:$B$55,0)),0),H149))</f>
        <v/>
      </c>
      <c r="J149" s="19"/>
      <c r="K149" s="25" t="str">
        <f t="shared" si="9"/>
        <v/>
      </c>
      <c r="L149" s="18"/>
      <c r="M149" s="18"/>
      <c r="N149" s="18"/>
      <c r="O149" s="19"/>
      <c r="P149" s="25" t="str">
        <f>IF(F149="","",IF(O149="",IFERROR(INDEX(Catalogue!$G$6:$G$55,MATCH(F149,Catalogue!$B$6:$B$55,0)),0),O149))</f>
        <v/>
      </c>
      <c r="Q149" s="25" t="str">
        <f>IF(F149="","",N(G149)*(IFERROR(INDEX(Catalogue!$E$6:$E$55,MATCH(F149,Catalogue!$B$6:$B$55,0)),0)+IFERROR(INDEX(Catalogue!$F$6:$F$55,MATCH(F149,Catalogue!$B$6:$B$55,0)),0)+IFERROR(INDEX(Catalogue!$H$6:$H$55,MATCH(F149,Catalogue!$B$6:$B$55,0)),0)))</f>
        <v/>
      </c>
      <c r="R149" s="25" t="str">
        <f t="shared" si="10"/>
        <v/>
      </c>
      <c r="S149" s="18"/>
      <c r="T149" s="24" t="str">
        <f t="shared" si="11"/>
        <v/>
      </c>
      <c r="U149" s="28" t="str">
        <f>IF(D149="","",IF(COUNTIF(D$6:D149,D149)=1,"Nouveau","Fidèle"))</f>
        <v/>
      </c>
    </row>
    <row r="150" spans="1:21" x14ac:dyDescent="0.25">
      <c r="A150" s="41" t="str">
        <f t="shared" si="8"/>
        <v/>
      </c>
      <c r="B150" s="38"/>
      <c r="C150" s="18"/>
      <c r="D150" s="18"/>
      <c r="E150" s="18"/>
      <c r="F150" s="18"/>
      <c r="G150" s="20"/>
      <c r="H150" s="19"/>
      <c r="I150" s="25" t="str">
        <f>IF(F150="","",IF(H150="",IFERROR(INDEX(Catalogue!$I$6:$I$55,MATCH(F150,Catalogue!$B$6:$B$55,0)),0),H150))</f>
        <v/>
      </c>
      <c r="J150" s="19"/>
      <c r="K150" s="25" t="str">
        <f t="shared" si="9"/>
        <v/>
      </c>
      <c r="L150" s="18"/>
      <c r="M150" s="18"/>
      <c r="N150" s="18"/>
      <c r="O150" s="19"/>
      <c r="P150" s="25" t="str">
        <f>IF(F150="","",IF(O150="",IFERROR(INDEX(Catalogue!$G$6:$G$55,MATCH(F150,Catalogue!$B$6:$B$55,0)),0),O150))</f>
        <v/>
      </c>
      <c r="Q150" s="25" t="str">
        <f>IF(F150="","",N(G150)*(IFERROR(INDEX(Catalogue!$E$6:$E$55,MATCH(F150,Catalogue!$B$6:$B$55,0)),0)+IFERROR(INDEX(Catalogue!$F$6:$F$55,MATCH(F150,Catalogue!$B$6:$B$55,0)),0)+IFERROR(INDEX(Catalogue!$H$6:$H$55,MATCH(F150,Catalogue!$B$6:$B$55,0)),0)))</f>
        <v/>
      </c>
      <c r="R150" s="25" t="str">
        <f t="shared" si="10"/>
        <v/>
      </c>
      <c r="S150" s="18"/>
      <c r="T150" s="24" t="str">
        <f t="shared" si="11"/>
        <v/>
      </c>
      <c r="U150" s="28" t="str">
        <f>IF(D150="","",IF(COUNTIF(D$6:D150,D150)=1,"Nouveau","Fidèle"))</f>
        <v/>
      </c>
    </row>
    <row r="151" spans="1:21" x14ac:dyDescent="0.25">
      <c r="A151" s="41" t="str">
        <f t="shared" si="8"/>
        <v/>
      </c>
      <c r="B151" s="38"/>
      <c r="C151" s="18"/>
      <c r="D151" s="18"/>
      <c r="E151" s="18"/>
      <c r="F151" s="18"/>
      <c r="G151" s="20"/>
      <c r="H151" s="19"/>
      <c r="I151" s="25" t="str">
        <f>IF(F151="","",IF(H151="",IFERROR(INDEX(Catalogue!$I$6:$I$55,MATCH(F151,Catalogue!$B$6:$B$55,0)),0),H151))</f>
        <v/>
      </c>
      <c r="J151" s="19"/>
      <c r="K151" s="25" t="str">
        <f t="shared" si="9"/>
        <v/>
      </c>
      <c r="L151" s="18"/>
      <c r="M151" s="18"/>
      <c r="N151" s="18"/>
      <c r="O151" s="19"/>
      <c r="P151" s="25" t="str">
        <f>IF(F151="","",IF(O151="",IFERROR(INDEX(Catalogue!$G$6:$G$55,MATCH(F151,Catalogue!$B$6:$B$55,0)),0),O151))</f>
        <v/>
      </c>
      <c r="Q151" s="25" t="str">
        <f>IF(F151="","",N(G151)*(IFERROR(INDEX(Catalogue!$E$6:$E$55,MATCH(F151,Catalogue!$B$6:$B$55,0)),0)+IFERROR(INDEX(Catalogue!$F$6:$F$55,MATCH(F151,Catalogue!$B$6:$B$55,0)),0)+IFERROR(INDEX(Catalogue!$H$6:$H$55,MATCH(F151,Catalogue!$B$6:$B$55,0)),0)))</f>
        <v/>
      </c>
      <c r="R151" s="25" t="str">
        <f t="shared" si="10"/>
        <v/>
      </c>
      <c r="S151" s="18"/>
      <c r="T151" s="24" t="str">
        <f t="shared" si="11"/>
        <v/>
      </c>
      <c r="U151" s="28" t="str">
        <f>IF(D151="","",IF(COUNTIF(D$6:D151,D151)=1,"Nouveau","Fidèle"))</f>
        <v/>
      </c>
    </row>
    <row r="152" spans="1:21" x14ac:dyDescent="0.25">
      <c r="A152" s="41" t="str">
        <f t="shared" si="8"/>
        <v/>
      </c>
      <c r="B152" s="38"/>
      <c r="C152" s="18"/>
      <c r="D152" s="18"/>
      <c r="E152" s="18"/>
      <c r="F152" s="18"/>
      <c r="G152" s="20"/>
      <c r="H152" s="19"/>
      <c r="I152" s="25" t="str">
        <f>IF(F152="","",IF(H152="",IFERROR(INDEX(Catalogue!$I$6:$I$55,MATCH(F152,Catalogue!$B$6:$B$55,0)),0),H152))</f>
        <v/>
      </c>
      <c r="J152" s="19"/>
      <c r="K152" s="25" t="str">
        <f t="shared" si="9"/>
        <v/>
      </c>
      <c r="L152" s="18"/>
      <c r="M152" s="18"/>
      <c r="N152" s="18"/>
      <c r="O152" s="19"/>
      <c r="P152" s="25" t="str">
        <f>IF(F152="","",IF(O152="",IFERROR(INDEX(Catalogue!$G$6:$G$55,MATCH(F152,Catalogue!$B$6:$B$55,0)),0),O152))</f>
        <v/>
      </c>
      <c r="Q152" s="25" t="str">
        <f>IF(F152="","",N(G152)*(IFERROR(INDEX(Catalogue!$E$6:$E$55,MATCH(F152,Catalogue!$B$6:$B$55,0)),0)+IFERROR(INDEX(Catalogue!$F$6:$F$55,MATCH(F152,Catalogue!$B$6:$B$55,0)),0)+IFERROR(INDEX(Catalogue!$H$6:$H$55,MATCH(F152,Catalogue!$B$6:$B$55,0)),0)))</f>
        <v/>
      </c>
      <c r="R152" s="25" t="str">
        <f t="shared" si="10"/>
        <v/>
      </c>
      <c r="S152" s="18"/>
      <c r="T152" s="24" t="str">
        <f t="shared" si="11"/>
        <v/>
      </c>
      <c r="U152" s="28" t="str">
        <f>IF(D152="","",IF(COUNTIF(D$6:D152,D152)=1,"Nouveau","Fidèle"))</f>
        <v/>
      </c>
    </row>
    <row r="153" spans="1:21" x14ac:dyDescent="0.25">
      <c r="A153" s="41" t="str">
        <f t="shared" si="8"/>
        <v/>
      </c>
      <c r="B153" s="38"/>
      <c r="C153" s="18"/>
      <c r="D153" s="18"/>
      <c r="E153" s="18"/>
      <c r="F153" s="18"/>
      <c r="G153" s="20"/>
      <c r="H153" s="19"/>
      <c r="I153" s="25" t="str">
        <f>IF(F153="","",IF(H153="",IFERROR(INDEX(Catalogue!$I$6:$I$55,MATCH(F153,Catalogue!$B$6:$B$55,0)),0),H153))</f>
        <v/>
      </c>
      <c r="J153" s="19"/>
      <c r="K153" s="25" t="str">
        <f t="shared" si="9"/>
        <v/>
      </c>
      <c r="L153" s="18"/>
      <c r="M153" s="18"/>
      <c r="N153" s="18"/>
      <c r="O153" s="19"/>
      <c r="P153" s="25" t="str">
        <f>IF(F153="","",IF(O153="",IFERROR(INDEX(Catalogue!$G$6:$G$55,MATCH(F153,Catalogue!$B$6:$B$55,0)),0),O153))</f>
        <v/>
      </c>
      <c r="Q153" s="25" t="str">
        <f>IF(F153="","",N(G153)*(IFERROR(INDEX(Catalogue!$E$6:$E$55,MATCH(F153,Catalogue!$B$6:$B$55,0)),0)+IFERROR(INDEX(Catalogue!$F$6:$F$55,MATCH(F153,Catalogue!$B$6:$B$55,0)),0)+IFERROR(INDEX(Catalogue!$H$6:$H$55,MATCH(F153,Catalogue!$B$6:$B$55,0)),0)))</f>
        <v/>
      </c>
      <c r="R153" s="25" t="str">
        <f t="shared" si="10"/>
        <v/>
      </c>
      <c r="S153" s="18"/>
      <c r="T153" s="24" t="str">
        <f t="shared" si="11"/>
        <v/>
      </c>
      <c r="U153" s="28" t="str">
        <f>IF(D153="","",IF(COUNTIF(D$6:D153,D153)=1,"Nouveau","Fidèle"))</f>
        <v/>
      </c>
    </row>
    <row r="154" spans="1:21" x14ac:dyDescent="0.25">
      <c r="A154" s="41" t="str">
        <f t="shared" si="8"/>
        <v/>
      </c>
      <c r="B154" s="38"/>
      <c r="C154" s="18"/>
      <c r="D154" s="18"/>
      <c r="E154" s="18"/>
      <c r="F154" s="18"/>
      <c r="G154" s="20"/>
      <c r="H154" s="19"/>
      <c r="I154" s="25" t="str">
        <f>IF(F154="","",IF(H154="",IFERROR(INDEX(Catalogue!$I$6:$I$55,MATCH(F154,Catalogue!$B$6:$B$55,0)),0),H154))</f>
        <v/>
      </c>
      <c r="J154" s="19"/>
      <c r="K154" s="25" t="str">
        <f t="shared" si="9"/>
        <v/>
      </c>
      <c r="L154" s="18"/>
      <c r="M154" s="18"/>
      <c r="N154" s="18"/>
      <c r="O154" s="19"/>
      <c r="P154" s="25" t="str">
        <f>IF(F154="","",IF(O154="",IFERROR(INDEX(Catalogue!$G$6:$G$55,MATCH(F154,Catalogue!$B$6:$B$55,0)),0),O154))</f>
        <v/>
      </c>
      <c r="Q154" s="25" t="str">
        <f>IF(F154="","",N(G154)*(IFERROR(INDEX(Catalogue!$E$6:$E$55,MATCH(F154,Catalogue!$B$6:$B$55,0)),0)+IFERROR(INDEX(Catalogue!$F$6:$F$55,MATCH(F154,Catalogue!$B$6:$B$55,0)),0)+IFERROR(INDEX(Catalogue!$H$6:$H$55,MATCH(F154,Catalogue!$B$6:$B$55,0)),0)))</f>
        <v/>
      </c>
      <c r="R154" s="25" t="str">
        <f t="shared" si="10"/>
        <v/>
      </c>
      <c r="S154" s="18"/>
      <c r="T154" s="24" t="str">
        <f t="shared" si="11"/>
        <v/>
      </c>
      <c r="U154" s="28" t="str">
        <f>IF(D154="","",IF(COUNTIF(D$6:D154,D154)=1,"Nouveau","Fidèle"))</f>
        <v/>
      </c>
    </row>
    <row r="155" spans="1:21" x14ac:dyDescent="0.25">
      <c r="A155" s="41" t="str">
        <f t="shared" si="8"/>
        <v/>
      </c>
      <c r="B155" s="38"/>
      <c r="C155" s="18"/>
      <c r="D155" s="18"/>
      <c r="E155" s="18"/>
      <c r="F155" s="18"/>
      <c r="G155" s="20"/>
      <c r="H155" s="19"/>
      <c r="I155" s="25" t="str">
        <f>IF(F155="","",IF(H155="",IFERROR(INDEX(Catalogue!$I$6:$I$55,MATCH(F155,Catalogue!$B$6:$B$55,0)),0),H155))</f>
        <v/>
      </c>
      <c r="J155" s="19"/>
      <c r="K155" s="25" t="str">
        <f t="shared" si="9"/>
        <v/>
      </c>
      <c r="L155" s="18"/>
      <c r="M155" s="18"/>
      <c r="N155" s="18"/>
      <c r="O155" s="19"/>
      <c r="P155" s="25" t="str">
        <f>IF(F155="","",IF(O155="",IFERROR(INDEX(Catalogue!$G$6:$G$55,MATCH(F155,Catalogue!$B$6:$B$55,0)),0),O155))</f>
        <v/>
      </c>
      <c r="Q155" s="25" t="str">
        <f>IF(F155="","",N(G155)*(IFERROR(INDEX(Catalogue!$E$6:$E$55,MATCH(F155,Catalogue!$B$6:$B$55,0)),0)+IFERROR(INDEX(Catalogue!$F$6:$F$55,MATCH(F155,Catalogue!$B$6:$B$55,0)),0)+IFERROR(INDEX(Catalogue!$H$6:$H$55,MATCH(F155,Catalogue!$B$6:$B$55,0)),0)))</f>
        <v/>
      </c>
      <c r="R155" s="25" t="str">
        <f t="shared" si="10"/>
        <v/>
      </c>
      <c r="S155" s="18"/>
      <c r="T155" s="24" t="str">
        <f t="shared" si="11"/>
        <v/>
      </c>
      <c r="U155" s="28" t="str">
        <f>IF(D155="","",IF(COUNTIF(D$6:D155,D155)=1,"Nouveau","Fidèle"))</f>
        <v/>
      </c>
    </row>
    <row r="156" spans="1:21" x14ac:dyDescent="0.25">
      <c r="A156" s="41" t="str">
        <f t="shared" si="8"/>
        <v/>
      </c>
      <c r="B156" s="38"/>
      <c r="C156" s="18"/>
      <c r="D156" s="18"/>
      <c r="E156" s="18"/>
      <c r="F156" s="18"/>
      <c r="G156" s="20"/>
      <c r="H156" s="19"/>
      <c r="I156" s="25" t="str">
        <f>IF(F156="","",IF(H156="",IFERROR(INDEX(Catalogue!$I$6:$I$55,MATCH(F156,Catalogue!$B$6:$B$55,0)),0),H156))</f>
        <v/>
      </c>
      <c r="J156" s="19"/>
      <c r="K156" s="25" t="str">
        <f t="shared" si="9"/>
        <v/>
      </c>
      <c r="L156" s="18"/>
      <c r="M156" s="18"/>
      <c r="N156" s="18"/>
      <c r="O156" s="19"/>
      <c r="P156" s="25" t="str">
        <f>IF(F156="","",IF(O156="",IFERROR(INDEX(Catalogue!$G$6:$G$55,MATCH(F156,Catalogue!$B$6:$B$55,0)),0),O156))</f>
        <v/>
      </c>
      <c r="Q156" s="25" t="str">
        <f>IF(F156="","",N(G156)*(IFERROR(INDEX(Catalogue!$E$6:$E$55,MATCH(F156,Catalogue!$B$6:$B$55,0)),0)+IFERROR(INDEX(Catalogue!$F$6:$F$55,MATCH(F156,Catalogue!$B$6:$B$55,0)),0)+IFERROR(INDEX(Catalogue!$H$6:$H$55,MATCH(F156,Catalogue!$B$6:$B$55,0)),0)))</f>
        <v/>
      </c>
      <c r="R156" s="25" t="str">
        <f t="shared" si="10"/>
        <v/>
      </c>
      <c r="S156" s="18"/>
      <c r="T156" s="24" t="str">
        <f t="shared" si="11"/>
        <v/>
      </c>
      <c r="U156" s="28" t="str">
        <f>IF(D156="","",IF(COUNTIF(D$6:D156,D156)=1,"Nouveau","Fidèle"))</f>
        <v/>
      </c>
    </row>
    <row r="157" spans="1:21" x14ac:dyDescent="0.25">
      <c r="A157" s="41" t="str">
        <f t="shared" si="8"/>
        <v/>
      </c>
      <c r="B157" s="38"/>
      <c r="C157" s="18"/>
      <c r="D157" s="18"/>
      <c r="E157" s="18"/>
      <c r="F157" s="18"/>
      <c r="G157" s="20"/>
      <c r="H157" s="19"/>
      <c r="I157" s="25" t="str">
        <f>IF(F157="","",IF(H157="",IFERROR(INDEX(Catalogue!$I$6:$I$55,MATCH(F157,Catalogue!$B$6:$B$55,0)),0),H157))</f>
        <v/>
      </c>
      <c r="J157" s="19"/>
      <c r="K157" s="25" t="str">
        <f t="shared" si="9"/>
        <v/>
      </c>
      <c r="L157" s="18"/>
      <c r="M157" s="18"/>
      <c r="N157" s="18"/>
      <c r="O157" s="19"/>
      <c r="P157" s="25" t="str">
        <f>IF(F157="","",IF(O157="",IFERROR(INDEX(Catalogue!$G$6:$G$55,MATCH(F157,Catalogue!$B$6:$B$55,0)),0),O157))</f>
        <v/>
      </c>
      <c r="Q157" s="25" t="str">
        <f>IF(F157="","",N(G157)*(IFERROR(INDEX(Catalogue!$E$6:$E$55,MATCH(F157,Catalogue!$B$6:$B$55,0)),0)+IFERROR(INDEX(Catalogue!$F$6:$F$55,MATCH(F157,Catalogue!$B$6:$B$55,0)),0)+IFERROR(INDEX(Catalogue!$H$6:$H$55,MATCH(F157,Catalogue!$B$6:$B$55,0)),0)))</f>
        <v/>
      </c>
      <c r="R157" s="25" t="str">
        <f t="shared" si="10"/>
        <v/>
      </c>
      <c r="S157" s="18"/>
      <c r="T157" s="24" t="str">
        <f t="shared" si="11"/>
        <v/>
      </c>
      <c r="U157" s="28" t="str">
        <f>IF(D157="","",IF(COUNTIF(D$6:D157,D157)=1,"Nouveau","Fidèle"))</f>
        <v/>
      </c>
    </row>
    <row r="158" spans="1:21" x14ac:dyDescent="0.25">
      <c r="A158" s="41" t="str">
        <f t="shared" si="8"/>
        <v/>
      </c>
      <c r="B158" s="38"/>
      <c r="C158" s="18"/>
      <c r="D158" s="18"/>
      <c r="E158" s="18"/>
      <c r="F158" s="18"/>
      <c r="G158" s="20"/>
      <c r="H158" s="19"/>
      <c r="I158" s="25" t="str">
        <f>IF(F158="","",IF(H158="",IFERROR(INDEX(Catalogue!$I$6:$I$55,MATCH(F158,Catalogue!$B$6:$B$55,0)),0),H158))</f>
        <v/>
      </c>
      <c r="J158" s="19"/>
      <c r="K158" s="25" t="str">
        <f t="shared" si="9"/>
        <v/>
      </c>
      <c r="L158" s="18"/>
      <c r="M158" s="18"/>
      <c r="N158" s="18"/>
      <c r="O158" s="19"/>
      <c r="P158" s="25" t="str">
        <f>IF(F158="","",IF(O158="",IFERROR(INDEX(Catalogue!$G$6:$G$55,MATCH(F158,Catalogue!$B$6:$B$55,0)),0),O158))</f>
        <v/>
      </c>
      <c r="Q158" s="25" t="str">
        <f>IF(F158="","",N(G158)*(IFERROR(INDEX(Catalogue!$E$6:$E$55,MATCH(F158,Catalogue!$B$6:$B$55,0)),0)+IFERROR(INDEX(Catalogue!$F$6:$F$55,MATCH(F158,Catalogue!$B$6:$B$55,0)),0)+IFERROR(INDEX(Catalogue!$H$6:$H$55,MATCH(F158,Catalogue!$B$6:$B$55,0)),0)))</f>
        <v/>
      </c>
      <c r="R158" s="25" t="str">
        <f t="shared" si="10"/>
        <v/>
      </c>
      <c r="S158" s="18"/>
      <c r="T158" s="24" t="str">
        <f t="shared" si="11"/>
        <v/>
      </c>
      <c r="U158" s="28" t="str">
        <f>IF(D158="","",IF(COUNTIF(D$6:D158,D158)=1,"Nouveau","Fidèle"))</f>
        <v/>
      </c>
    </row>
    <row r="159" spans="1:21" x14ac:dyDescent="0.25">
      <c r="A159" s="41" t="str">
        <f t="shared" si="8"/>
        <v/>
      </c>
      <c r="B159" s="38"/>
      <c r="C159" s="18"/>
      <c r="D159" s="18"/>
      <c r="E159" s="18"/>
      <c r="F159" s="18"/>
      <c r="G159" s="20"/>
      <c r="H159" s="19"/>
      <c r="I159" s="25" t="str">
        <f>IF(F159="","",IF(H159="",IFERROR(INDEX(Catalogue!$I$6:$I$55,MATCH(F159,Catalogue!$B$6:$B$55,0)),0),H159))</f>
        <v/>
      </c>
      <c r="J159" s="19"/>
      <c r="K159" s="25" t="str">
        <f t="shared" si="9"/>
        <v/>
      </c>
      <c r="L159" s="18"/>
      <c r="M159" s="18"/>
      <c r="N159" s="18"/>
      <c r="O159" s="19"/>
      <c r="P159" s="25" t="str">
        <f>IF(F159="","",IF(O159="",IFERROR(INDEX(Catalogue!$G$6:$G$55,MATCH(F159,Catalogue!$B$6:$B$55,0)),0),O159))</f>
        <v/>
      </c>
      <c r="Q159" s="25" t="str">
        <f>IF(F159="","",N(G159)*(IFERROR(INDEX(Catalogue!$E$6:$E$55,MATCH(F159,Catalogue!$B$6:$B$55,0)),0)+IFERROR(INDEX(Catalogue!$F$6:$F$55,MATCH(F159,Catalogue!$B$6:$B$55,0)),0)+IFERROR(INDEX(Catalogue!$H$6:$H$55,MATCH(F159,Catalogue!$B$6:$B$55,0)),0)))</f>
        <v/>
      </c>
      <c r="R159" s="25" t="str">
        <f t="shared" si="10"/>
        <v/>
      </c>
      <c r="S159" s="18"/>
      <c r="T159" s="24" t="str">
        <f t="shared" si="11"/>
        <v/>
      </c>
      <c r="U159" s="28" t="str">
        <f>IF(D159="","",IF(COUNTIF(D$6:D159,D159)=1,"Nouveau","Fidèle"))</f>
        <v/>
      </c>
    </row>
    <row r="160" spans="1:21" x14ac:dyDescent="0.25">
      <c r="A160" s="41" t="str">
        <f t="shared" si="8"/>
        <v/>
      </c>
      <c r="B160" s="38"/>
      <c r="C160" s="18"/>
      <c r="D160" s="18"/>
      <c r="E160" s="18"/>
      <c r="F160" s="18"/>
      <c r="G160" s="20"/>
      <c r="H160" s="19"/>
      <c r="I160" s="25" t="str">
        <f>IF(F160="","",IF(H160="",IFERROR(INDEX(Catalogue!$I$6:$I$55,MATCH(F160,Catalogue!$B$6:$B$55,0)),0),H160))</f>
        <v/>
      </c>
      <c r="J160" s="19"/>
      <c r="K160" s="25" t="str">
        <f t="shared" si="9"/>
        <v/>
      </c>
      <c r="L160" s="18"/>
      <c r="M160" s="18"/>
      <c r="N160" s="18"/>
      <c r="O160" s="19"/>
      <c r="P160" s="25" t="str">
        <f>IF(F160="","",IF(O160="",IFERROR(INDEX(Catalogue!$G$6:$G$55,MATCH(F160,Catalogue!$B$6:$B$55,0)),0),O160))</f>
        <v/>
      </c>
      <c r="Q160" s="25" t="str">
        <f>IF(F160="","",N(G160)*(IFERROR(INDEX(Catalogue!$E$6:$E$55,MATCH(F160,Catalogue!$B$6:$B$55,0)),0)+IFERROR(INDEX(Catalogue!$F$6:$F$55,MATCH(F160,Catalogue!$B$6:$B$55,0)),0)+IFERROR(INDEX(Catalogue!$H$6:$H$55,MATCH(F160,Catalogue!$B$6:$B$55,0)),0)))</f>
        <v/>
      </c>
      <c r="R160" s="25" t="str">
        <f t="shared" si="10"/>
        <v/>
      </c>
      <c r="S160" s="18"/>
      <c r="T160" s="24" t="str">
        <f t="shared" si="11"/>
        <v/>
      </c>
      <c r="U160" s="28" t="str">
        <f>IF(D160="","",IF(COUNTIF(D$6:D160,D160)=1,"Nouveau","Fidèle"))</f>
        <v/>
      </c>
    </row>
    <row r="161" spans="1:21" x14ac:dyDescent="0.25">
      <c r="A161" s="41" t="str">
        <f t="shared" si="8"/>
        <v/>
      </c>
      <c r="B161" s="38"/>
      <c r="C161" s="18"/>
      <c r="D161" s="18"/>
      <c r="E161" s="18"/>
      <c r="F161" s="18"/>
      <c r="G161" s="20"/>
      <c r="H161" s="19"/>
      <c r="I161" s="25" t="str">
        <f>IF(F161="","",IF(H161="",IFERROR(INDEX(Catalogue!$I$6:$I$55,MATCH(F161,Catalogue!$B$6:$B$55,0)),0),H161))</f>
        <v/>
      </c>
      <c r="J161" s="19"/>
      <c r="K161" s="25" t="str">
        <f t="shared" si="9"/>
        <v/>
      </c>
      <c r="L161" s="18"/>
      <c r="M161" s="18"/>
      <c r="N161" s="18"/>
      <c r="O161" s="19"/>
      <c r="P161" s="25" t="str">
        <f>IF(F161="","",IF(O161="",IFERROR(INDEX(Catalogue!$G$6:$G$55,MATCH(F161,Catalogue!$B$6:$B$55,0)),0),O161))</f>
        <v/>
      </c>
      <c r="Q161" s="25" t="str">
        <f>IF(F161="","",N(G161)*(IFERROR(INDEX(Catalogue!$E$6:$E$55,MATCH(F161,Catalogue!$B$6:$B$55,0)),0)+IFERROR(INDEX(Catalogue!$F$6:$F$55,MATCH(F161,Catalogue!$B$6:$B$55,0)),0)+IFERROR(INDEX(Catalogue!$H$6:$H$55,MATCH(F161,Catalogue!$B$6:$B$55,0)),0)))</f>
        <v/>
      </c>
      <c r="R161" s="25" t="str">
        <f t="shared" si="10"/>
        <v/>
      </c>
      <c r="S161" s="18"/>
      <c r="T161" s="24" t="str">
        <f t="shared" si="11"/>
        <v/>
      </c>
      <c r="U161" s="28" t="str">
        <f>IF(D161="","",IF(COUNTIF(D$6:D161,D161)=1,"Nouveau","Fidèle"))</f>
        <v/>
      </c>
    </row>
    <row r="162" spans="1:21" x14ac:dyDescent="0.25">
      <c r="A162" s="41" t="str">
        <f t="shared" si="8"/>
        <v/>
      </c>
      <c r="B162" s="38"/>
      <c r="C162" s="18"/>
      <c r="D162" s="18"/>
      <c r="E162" s="18"/>
      <c r="F162" s="18"/>
      <c r="G162" s="20"/>
      <c r="H162" s="19"/>
      <c r="I162" s="25" t="str">
        <f>IF(F162="","",IF(H162="",IFERROR(INDEX(Catalogue!$I$6:$I$55,MATCH(F162,Catalogue!$B$6:$B$55,0)),0),H162))</f>
        <v/>
      </c>
      <c r="J162" s="19"/>
      <c r="K162" s="25" t="str">
        <f t="shared" si="9"/>
        <v/>
      </c>
      <c r="L162" s="18"/>
      <c r="M162" s="18"/>
      <c r="N162" s="18"/>
      <c r="O162" s="19"/>
      <c r="P162" s="25" t="str">
        <f>IF(F162="","",IF(O162="",IFERROR(INDEX(Catalogue!$G$6:$G$55,MATCH(F162,Catalogue!$B$6:$B$55,0)),0),O162))</f>
        <v/>
      </c>
      <c r="Q162" s="25" t="str">
        <f>IF(F162="","",N(G162)*(IFERROR(INDEX(Catalogue!$E$6:$E$55,MATCH(F162,Catalogue!$B$6:$B$55,0)),0)+IFERROR(INDEX(Catalogue!$F$6:$F$55,MATCH(F162,Catalogue!$B$6:$B$55,0)),0)+IFERROR(INDEX(Catalogue!$H$6:$H$55,MATCH(F162,Catalogue!$B$6:$B$55,0)),0)))</f>
        <v/>
      </c>
      <c r="R162" s="25" t="str">
        <f t="shared" si="10"/>
        <v/>
      </c>
      <c r="S162" s="18"/>
      <c r="T162" s="24" t="str">
        <f t="shared" si="11"/>
        <v/>
      </c>
      <c r="U162" s="28" t="str">
        <f>IF(D162="","",IF(COUNTIF(D$6:D162,D162)=1,"Nouveau","Fidèle"))</f>
        <v/>
      </c>
    </row>
    <row r="163" spans="1:21" x14ac:dyDescent="0.25">
      <c r="A163" s="41" t="str">
        <f t="shared" si="8"/>
        <v/>
      </c>
      <c r="B163" s="38"/>
      <c r="C163" s="18"/>
      <c r="D163" s="18"/>
      <c r="E163" s="18"/>
      <c r="F163" s="18"/>
      <c r="G163" s="20"/>
      <c r="H163" s="19"/>
      <c r="I163" s="25" t="str">
        <f>IF(F163="","",IF(H163="",IFERROR(INDEX(Catalogue!$I$6:$I$55,MATCH(F163,Catalogue!$B$6:$B$55,0)),0),H163))</f>
        <v/>
      </c>
      <c r="J163" s="19"/>
      <c r="K163" s="25" t="str">
        <f t="shared" si="9"/>
        <v/>
      </c>
      <c r="L163" s="18"/>
      <c r="M163" s="18"/>
      <c r="N163" s="18"/>
      <c r="O163" s="19"/>
      <c r="P163" s="25" t="str">
        <f>IF(F163="","",IF(O163="",IFERROR(INDEX(Catalogue!$G$6:$G$55,MATCH(F163,Catalogue!$B$6:$B$55,0)),0),O163))</f>
        <v/>
      </c>
      <c r="Q163" s="25" t="str">
        <f>IF(F163="","",N(G163)*(IFERROR(INDEX(Catalogue!$E$6:$E$55,MATCH(F163,Catalogue!$B$6:$B$55,0)),0)+IFERROR(INDEX(Catalogue!$F$6:$F$55,MATCH(F163,Catalogue!$B$6:$B$55,0)),0)+IFERROR(INDEX(Catalogue!$H$6:$H$55,MATCH(F163,Catalogue!$B$6:$B$55,0)),0)))</f>
        <v/>
      </c>
      <c r="R163" s="25" t="str">
        <f t="shared" si="10"/>
        <v/>
      </c>
      <c r="S163" s="18"/>
      <c r="T163" s="24" t="str">
        <f t="shared" si="11"/>
        <v/>
      </c>
      <c r="U163" s="28" t="str">
        <f>IF(D163="","",IF(COUNTIF(D$6:D163,D163)=1,"Nouveau","Fidèle"))</f>
        <v/>
      </c>
    </row>
    <row r="164" spans="1:21" x14ac:dyDescent="0.25">
      <c r="A164" s="41" t="str">
        <f t="shared" si="8"/>
        <v/>
      </c>
      <c r="B164" s="38"/>
      <c r="C164" s="18"/>
      <c r="D164" s="18"/>
      <c r="E164" s="18"/>
      <c r="F164" s="18"/>
      <c r="G164" s="20"/>
      <c r="H164" s="19"/>
      <c r="I164" s="25" t="str">
        <f>IF(F164="","",IF(H164="",IFERROR(INDEX(Catalogue!$I$6:$I$55,MATCH(F164,Catalogue!$B$6:$B$55,0)),0),H164))</f>
        <v/>
      </c>
      <c r="J164" s="19"/>
      <c r="K164" s="25" t="str">
        <f t="shared" si="9"/>
        <v/>
      </c>
      <c r="L164" s="18"/>
      <c r="M164" s="18"/>
      <c r="N164" s="18"/>
      <c r="O164" s="19"/>
      <c r="P164" s="25" t="str">
        <f>IF(F164="","",IF(O164="",IFERROR(INDEX(Catalogue!$G$6:$G$55,MATCH(F164,Catalogue!$B$6:$B$55,0)),0),O164))</f>
        <v/>
      </c>
      <c r="Q164" s="25" t="str">
        <f>IF(F164="","",N(G164)*(IFERROR(INDEX(Catalogue!$E$6:$E$55,MATCH(F164,Catalogue!$B$6:$B$55,0)),0)+IFERROR(INDEX(Catalogue!$F$6:$F$55,MATCH(F164,Catalogue!$B$6:$B$55,0)),0)+IFERROR(INDEX(Catalogue!$H$6:$H$55,MATCH(F164,Catalogue!$B$6:$B$55,0)),0)))</f>
        <v/>
      </c>
      <c r="R164" s="25" t="str">
        <f t="shared" si="10"/>
        <v/>
      </c>
      <c r="S164" s="18"/>
      <c r="T164" s="24" t="str">
        <f t="shared" si="11"/>
        <v/>
      </c>
      <c r="U164" s="28" t="str">
        <f>IF(D164="","",IF(COUNTIF(D$6:D164,D164)=1,"Nouveau","Fidèle"))</f>
        <v/>
      </c>
    </row>
    <row r="165" spans="1:21" x14ac:dyDescent="0.25">
      <c r="A165" s="41" t="str">
        <f t="shared" si="8"/>
        <v/>
      </c>
      <c r="B165" s="38"/>
      <c r="C165" s="18"/>
      <c r="D165" s="18"/>
      <c r="E165" s="18"/>
      <c r="F165" s="18"/>
      <c r="G165" s="20"/>
      <c r="H165" s="19"/>
      <c r="I165" s="25" t="str">
        <f>IF(F165="","",IF(H165="",IFERROR(INDEX(Catalogue!$I$6:$I$55,MATCH(F165,Catalogue!$B$6:$B$55,0)),0),H165))</f>
        <v/>
      </c>
      <c r="J165" s="19"/>
      <c r="K165" s="25" t="str">
        <f t="shared" si="9"/>
        <v/>
      </c>
      <c r="L165" s="18"/>
      <c r="M165" s="18"/>
      <c r="N165" s="18"/>
      <c r="O165" s="19"/>
      <c r="P165" s="25" t="str">
        <f>IF(F165="","",IF(O165="",IFERROR(INDEX(Catalogue!$G$6:$G$55,MATCH(F165,Catalogue!$B$6:$B$55,0)),0),O165))</f>
        <v/>
      </c>
      <c r="Q165" s="25" t="str">
        <f>IF(F165="","",N(G165)*(IFERROR(INDEX(Catalogue!$E$6:$E$55,MATCH(F165,Catalogue!$B$6:$B$55,0)),0)+IFERROR(INDEX(Catalogue!$F$6:$F$55,MATCH(F165,Catalogue!$B$6:$B$55,0)),0)+IFERROR(INDEX(Catalogue!$H$6:$H$55,MATCH(F165,Catalogue!$B$6:$B$55,0)),0)))</f>
        <v/>
      </c>
      <c r="R165" s="25" t="str">
        <f t="shared" si="10"/>
        <v/>
      </c>
      <c r="S165" s="18"/>
      <c r="T165" s="24" t="str">
        <f t="shared" si="11"/>
        <v/>
      </c>
      <c r="U165" s="28" t="str">
        <f>IF(D165="","",IF(COUNTIF(D$6:D165,D165)=1,"Nouveau","Fidèle"))</f>
        <v/>
      </c>
    </row>
    <row r="166" spans="1:21" x14ac:dyDescent="0.25">
      <c r="A166" s="41" t="str">
        <f t="shared" si="8"/>
        <v/>
      </c>
      <c r="B166" s="38"/>
      <c r="C166" s="18"/>
      <c r="D166" s="18"/>
      <c r="E166" s="18"/>
      <c r="F166" s="18"/>
      <c r="G166" s="20"/>
      <c r="H166" s="19"/>
      <c r="I166" s="25" t="str">
        <f>IF(F166="","",IF(H166="",IFERROR(INDEX(Catalogue!$I$6:$I$55,MATCH(F166,Catalogue!$B$6:$B$55,0)),0),H166))</f>
        <v/>
      </c>
      <c r="J166" s="19"/>
      <c r="K166" s="25" t="str">
        <f t="shared" si="9"/>
        <v/>
      </c>
      <c r="L166" s="18"/>
      <c r="M166" s="18"/>
      <c r="N166" s="18"/>
      <c r="O166" s="19"/>
      <c r="P166" s="25" t="str">
        <f>IF(F166="","",IF(O166="",IFERROR(INDEX(Catalogue!$G$6:$G$55,MATCH(F166,Catalogue!$B$6:$B$55,0)),0),O166))</f>
        <v/>
      </c>
      <c r="Q166" s="25" t="str">
        <f>IF(F166="","",N(G166)*(IFERROR(INDEX(Catalogue!$E$6:$E$55,MATCH(F166,Catalogue!$B$6:$B$55,0)),0)+IFERROR(INDEX(Catalogue!$F$6:$F$55,MATCH(F166,Catalogue!$B$6:$B$55,0)),0)+IFERROR(INDEX(Catalogue!$H$6:$H$55,MATCH(F166,Catalogue!$B$6:$B$55,0)),0)))</f>
        <v/>
      </c>
      <c r="R166" s="25" t="str">
        <f t="shared" si="10"/>
        <v/>
      </c>
      <c r="S166" s="18"/>
      <c r="T166" s="24" t="str">
        <f t="shared" si="11"/>
        <v/>
      </c>
      <c r="U166" s="28" t="str">
        <f>IF(D166="","",IF(COUNTIF(D$6:D166,D166)=1,"Nouveau","Fidèle"))</f>
        <v/>
      </c>
    </row>
    <row r="167" spans="1:21" x14ac:dyDescent="0.25">
      <c r="A167" s="41" t="str">
        <f t="shared" si="8"/>
        <v/>
      </c>
      <c r="B167" s="38"/>
      <c r="C167" s="18"/>
      <c r="D167" s="18"/>
      <c r="E167" s="18"/>
      <c r="F167" s="18"/>
      <c r="G167" s="20"/>
      <c r="H167" s="19"/>
      <c r="I167" s="25" t="str">
        <f>IF(F167="","",IF(H167="",IFERROR(INDEX(Catalogue!$I$6:$I$55,MATCH(F167,Catalogue!$B$6:$B$55,0)),0),H167))</f>
        <v/>
      </c>
      <c r="J167" s="19"/>
      <c r="K167" s="25" t="str">
        <f t="shared" si="9"/>
        <v/>
      </c>
      <c r="L167" s="18"/>
      <c r="M167" s="18"/>
      <c r="N167" s="18"/>
      <c r="O167" s="19"/>
      <c r="P167" s="25" t="str">
        <f>IF(F167="","",IF(O167="",IFERROR(INDEX(Catalogue!$G$6:$G$55,MATCH(F167,Catalogue!$B$6:$B$55,0)),0),O167))</f>
        <v/>
      </c>
      <c r="Q167" s="25" t="str">
        <f>IF(F167="","",N(G167)*(IFERROR(INDEX(Catalogue!$E$6:$E$55,MATCH(F167,Catalogue!$B$6:$B$55,0)),0)+IFERROR(INDEX(Catalogue!$F$6:$F$55,MATCH(F167,Catalogue!$B$6:$B$55,0)),0)+IFERROR(INDEX(Catalogue!$H$6:$H$55,MATCH(F167,Catalogue!$B$6:$B$55,0)),0)))</f>
        <v/>
      </c>
      <c r="R167" s="25" t="str">
        <f t="shared" si="10"/>
        <v/>
      </c>
      <c r="S167" s="18"/>
      <c r="T167" s="24" t="str">
        <f t="shared" si="11"/>
        <v/>
      </c>
      <c r="U167" s="28" t="str">
        <f>IF(D167="","",IF(COUNTIF(D$6:D167,D167)=1,"Nouveau","Fidèle"))</f>
        <v/>
      </c>
    </row>
    <row r="168" spans="1:21" x14ac:dyDescent="0.25">
      <c r="A168" s="41" t="str">
        <f t="shared" si="8"/>
        <v/>
      </c>
      <c r="B168" s="38"/>
      <c r="C168" s="18"/>
      <c r="D168" s="18"/>
      <c r="E168" s="18"/>
      <c r="F168" s="18"/>
      <c r="G168" s="20"/>
      <c r="H168" s="19"/>
      <c r="I168" s="25" t="str">
        <f>IF(F168="","",IF(H168="",IFERROR(INDEX(Catalogue!$I$6:$I$55,MATCH(F168,Catalogue!$B$6:$B$55,0)),0),H168))</f>
        <v/>
      </c>
      <c r="J168" s="19"/>
      <c r="K168" s="25" t="str">
        <f t="shared" si="9"/>
        <v/>
      </c>
      <c r="L168" s="18"/>
      <c r="M168" s="18"/>
      <c r="N168" s="18"/>
      <c r="O168" s="19"/>
      <c r="P168" s="25" t="str">
        <f>IF(F168="","",IF(O168="",IFERROR(INDEX(Catalogue!$G$6:$G$55,MATCH(F168,Catalogue!$B$6:$B$55,0)),0),O168))</f>
        <v/>
      </c>
      <c r="Q168" s="25" t="str">
        <f>IF(F168="","",N(G168)*(IFERROR(INDEX(Catalogue!$E$6:$E$55,MATCH(F168,Catalogue!$B$6:$B$55,0)),0)+IFERROR(INDEX(Catalogue!$F$6:$F$55,MATCH(F168,Catalogue!$B$6:$B$55,0)),0)+IFERROR(INDEX(Catalogue!$H$6:$H$55,MATCH(F168,Catalogue!$B$6:$B$55,0)),0)))</f>
        <v/>
      </c>
      <c r="R168" s="25" t="str">
        <f t="shared" si="10"/>
        <v/>
      </c>
      <c r="S168" s="18"/>
      <c r="T168" s="24" t="str">
        <f t="shared" si="11"/>
        <v/>
      </c>
      <c r="U168" s="28" t="str">
        <f>IF(D168="","",IF(COUNTIF(D$6:D168,D168)=1,"Nouveau","Fidèle"))</f>
        <v/>
      </c>
    </row>
    <row r="169" spans="1:21" x14ac:dyDescent="0.25">
      <c r="A169" s="41" t="str">
        <f t="shared" si="8"/>
        <v/>
      </c>
      <c r="B169" s="38"/>
      <c r="C169" s="18"/>
      <c r="D169" s="18"/>
      <c r="E169" s="18"/>
      <c r="F169" s="18"/>
      <c r="G169" s="20"/>
      <c r="H169" s="19"/>
      <c r="I169" s="25" t="str">
        <f>IF(F169="","",IF(H169="",IFERROR(INDEX(Catalogue!$I$6:$I$55,MATCH(F169,Catalogue!$B$6:$B$55,0)),0),H169))</f>
        <v/>
      </c>
      <c r="J169" s="19"/>
      <c r="K169" s="25" t="str">
        <f t="shared" si="9"/>
        <v/>
      </c>
      <c r="L169" s="18"/>
      <c r="M169" s="18"/>
      <c r="N169" s="18"/>
      <c r="O169" s="19"/>
      <c r="P169" s="25" t="str">
        <f>IF(F169="","",IF(O169="",IFERROR(INDEX(Catalogue!$G$6:$G$55,MATCH(F169,Catalogue!$B$6:$B$55,0)),0),O169))</f>
        <v/>
      </c>
      <c r="Q169" s="25" t="str">
        <f>IF(F169="","",N(G169)*(IFERROR(INDEX(Catalogue!$E$6:$E$55,MATCH(F169,Catalogue!$B$6:$B$55,0)),0)+IFERROR(INDEX(Catalogue!$F$6:$F$55,MATCH(F169,Catalogue!$B$6:$B$55,0)),0)+IFERROR(INDEX(Catalogue!$H$6:$H$55,MATCH(F169,Catalogue!$B$6:$B$55,0)),0)))</f>
        <v/>
      </c>
      <c r="R169" s="25" t="str">
        <f t="shared" si="10"/>
        <v/>
      </c>
      <c r="S169" s="18"/>
      <c r="T169" s="24" t="str">
        <f t="shared" si="11"/>
        <v/>
      </c>
      <c r="U169" s="28" t="str">
        <f>IF(D169="","",IF(COUNTIF(D$6:D169,D169)=1,"Nouveau","Fidèle"))</f>
        <v/>
      </c>
    </row>
    <row r="170" spans="1:21" x14ac:dyDescent="0.25">
      <c r="A170" s="41" t="str">
        <f t="shared" si="8"/>
        <v/>
      </c>
      <c r="B170" s="38"/>
      <c r="C170" s="18"/>
      <c r="D170" s="18"/>
      <c r="E170" s="18"/>
      <c r="F170" s="18"/>
      <c r="G170" s="20"/>
      <c r="H170" s="19"/>
      <c r="I170" s="25" t="str">
        <f>IF(F170="","",IF(H170="",IFERROR(INDEX(Catalogue!$I$6:$I$55,MATCH(F170,Catalogue!$B$6:$B$55,0)),0),H170))</f>
        <v/>
      </c>
      <c r="J170" s="19"/>
      <c r="K170" s="25" t="str">
        <f t="shared" si="9"/>
        <v/>
      </c>
      <c r="L170" s="18"/>
      <c r="M170" s="18"/>
      <c r="N170" s="18"/>
      <c r="O170" s="19"/>
      <c r="P170" s="25" t="str">
        <f>IF(F170="","",IF(O170="",IFERROR(INDEX(Catalogue!$G$6:$G$55,MATCH(F170,Catalogue!$B$6:$B$55,0)),0),O170))</f>
        <v/>
      </c>
      <c r="Q170" s="25" t="str">
        <f>IF(F170="","",N(G170)*(IFERROR(INDEX(Catalogue!$E$6:$E$55,MATCH(F170,Catalogue!$B$6:$B$55,0)),0)+IFERROR(INDEX(Catalogue!$F$6:$F$55,MATCH(F170,Catalogue!$B$6:$B$55,0)),0)+IFERROR(INDEX(Catalogue!$H$6:$H$55,MATCH(F170,Catalogue!$B$6:$B$55,0)),0)))</f>
        <v/>
      </c>
      <c r="R170" s="25" t="str">
        <f t="shared" si="10"/>
        <v/>
      </c>
      <c r="S170" s="18"/>
      <c r="T170" s="24" t="str">
        <f t="shared" si="11"/>
        <v/>
      </c>
      <c r="U170" s="28" t="str">
        <f>IF(D170="","",IF(COUNTIF(D$6:D170,D170)=1,"Nouveau","Fidèle"))</f>
        <v/>
      </c>
    </row>
    <row r="171" spans="1:21" x14ac:dyDescent="0.25">
      <c r="A171" s="41" t="str">
        <f t="shared" si="8"/>
        <v/>
      </c>
      <c r="B171" s="38"/>
      <c r="C171" s="18"/>
      <c r="D171" s="18"/>
      <c r="E171" s="18"/>
      <c r="F171" s="18"/>
      <c r="G171" s="20"/>
      <c r="H171" s="19"/>
      <c r="I171" s="25" t="str">
        <f>IF(F171="","",IF(H171="",IFERROR(INDEX(Catalogue!$I$6:$I$55,MATCH(F171,Catalogue!$B$6:$B$55,0)),0),H171))</f>
        <v/>
      </c>
      <c r="J171" s="19"/>
      <c r="K171" s="25" t="str">
        <f t="shared" si="9"/>
        <v/>
      </c>
      <c r="L171" s="18"/>
      <c r="M171" s="18"/>
      <c r="N171" s="18"/>
      <c r="O171" s="19"/>
      <c r="P171" s="25" t="str">
        <f>IF(F171="","",IF(O171="",IFERROR(INDEX(Catalogue!$G$6:$G$55,MATCH(F171,Catalogue!$B$6:$B$55,0)),0),O171))</f>
        <v/>
      </c>
      <c r="Q171" s="25" t="str">
        <f>IF(F171="","",N(G171)*(IFERROR(INDEX(Catalogue!$E$6:$E$55,MATCH(F171,Catalogue!$B$6:$B$55,0)),0)+IFERROR(INDEX(Catalogue!$F$6:$F$55,MATCH(F171,Catalogue!$B$6:$B$55,0)),0)+IFERROR(INDEX(Catalogue!$H$6:$H$55,MATCH(F171,Catalogue!$B$6:$B$55,0)),0)))</f>
        <v/>
      </c>
      <c r="R171" s="25" t="str">
        <f t="shared" si="10"/>
        <v/>
      </c>
      <c r="S171" s="18"/>
      <c r="T171" s="24" t="str">
        <f t="shared" si="11"/>
        <v/>
      </c>
      <c r="U171" s="28" t="str">
        <f>IF(D171="","",IF(COUNTIF(D$6:D171,D171)=1,"Nouveau","Fidèle"))</f>
        <v/>
      </c>
    </row>
    <row r="172" spans="1:21" x14ac:dyDescent="0.25">
      <c r="A172" s="41" t="str">
        <f t="shared" si="8"/>
        <v/>
      </c>
      <c r="B172" s="38"/>
      <c r="C172" s="18"/>
      <c r="D172" s="18"/>
      <c r="E172" s="18"/>
      <c r="F172" s="18"/>
      <c r="G172" s="20"/>
      <c r="H172" s="19"/>
      <c r="I172" s="25" t="str">
        <f>IF(F172="","",IF(H172="",IFERROR(INDEX(Catalogue!$I$6:$I$55,MATCH(F172,Catalogue!$B$6:$B$55,0)),0),H172))</f>
        <v/>
      </c>
      <c r="J172" s="19"/>
      <c r="K172" s="25" t="str">
        <f t="shared" si="9"/>
        <v/>
      </c>
      <c r="L172" s="18"/>
      <c r="M172" s="18"/>
      <c r="N172" s="18"/>
      <c r="O172" s="19"/>
      <c r="P172" s="25" t="str">
        <f>IF(F172="","",IF(O172="",IFERROR(INDEX(Catalogue!$G$6:$G$55,MATCH(F172,Catalogue!$B$6:$B$55,0)),0),O172))</f>
        <v/>
      </c>
      <c r="Q172" s="25" t="str">
        <f>IF(F172="","",N(G172)*(IFERROR(INDEX(Catalogue!$E$6:$E$55,MATCH(F172,Catalogue!$B$6:$B$55,0)),0)+IFERROR(INDEX(Catalogue!$F$6:$F$55,MATCH(F172,Catalogue!$B$6:$B$55,0)),0)+IFERROR(INDEX(Catalogue!$H$6:$H$55,MATCH(F172,Catalogue!$B$6:$B$55,0)),0)))</f>
        <v/>
      </c>
      <c r="R172" s="25" t="str">
        <f t="shared" si="10"/>
        <v/>
      </c>
      <c r="S172" s="18"/>
      <c r="T172" s="24" t="str">
        <f t="shared" si="11"/>
        <v/>
      </c>
      <c r="U172" s="28" t="str">
        <f>IF(D172="","",IF(COUNTIF(D$6:D172,D172)=1,"Nouveau","Fidèle"))</f>
        <v/>
      </c>
    </row>
    <row r="173" spans="1:21" x14ac:dyDescent="0.25">
      <c r="A173" s="41" t="str">
        <f t="shared" si="8"/>
        <v/>
      </c>
      <c r="B173" s="38"/>
      <c r="C173" s="18"/>
      <c r="D173" s="18"/>
      <c r="E173" s="18"/>
      <c r="F173" s="18"/>
      <c r="G173" s="20"/>
      <c r="H173" s="19"/>
      <c r="I173" s="25" t="str">
        <f>IF(F173="","",IF(H173="",IFERROR(INDEX(Catalogue!$I$6:$I$55,MATCH(F173,Catalogue!$B$6:$B$55,0)),0),H173))</f>
        <v/>
      </c>
      <c r="J173" s="19"/>
      <c r="K173" s="25" t="str">
        <f t="shared" si="9"/>
        <v/>
      </c>
      <c r="L173" s="18"/>
      <c r="M173" s="18"/>
      <c r="N173" s="18"/>
      <c r="O173" s="19"/>
      <c r="P173" s="25" t="str">
        <f>IF(F173="","",IF(O173="",IFERROR(INDEX(Catalogue!$G$6:$G$55,MATCH(F173,Catalogue!$B$6:$B$55,0)),0),O173))</f>
        <v/>
      </c>
      <c r="Q173" s="25" t="str">
        <f>IF(F173="","",N(G173)*(IFERROR(INDEX(Catalogue!$E$6:$E$55,MATCH(F173,Catalogue!$B$6:$B$55,0)),0)+IFERROR(INDEX(Catalogue!$F$6:$F$55,MATCH(F173,Catalogue!$B$6:$B$55,0)),0)+IFERROR(INDEX(Catalogue!$H$6:$H$55,MATCH(F173,Catalogue!$B$6:$B$55,0)),0)))</f>
        <v/>
      </c>
      <c r="R173" s="25" t="str">
        <f t="shared" si="10"/>
        <v/>
      </c>
      <c r="S173" s="18"/>
      <c r="T173" s="24" t="str">
        <f t="shared" si="11"/>
        <v/>
      </c>
      <c r="U173" s="28" t="str">
        <f>IF(D173="","",IF(COUNTIF(D$6:D173,D173)=1,"Nouveau","Fidèle"))</f>
        <v/>
      </c>
    </row>
    <row r="174" spans="1:21" x14ac:dyDescent="0.25">
      <c r="A174" s="41" t="str">
        <f t="shared" si="8"/>
        <v/>
      </c>
      <c r="B174" s="38"/>
      <c r="C174" s="18"/>
      <c r="D174" s="18"/>
      <c r="E174" s="18"/>
      <c r="F174" s="18"/>
      <c r="G174" s="20"/>
      <c r="H174" s="19"/>
      <c r="I174" s="25" t="str">
        <f>IF(F174="","",IF(H174="",IFERROR(INDEX(Catalogue!$I$6:$I$55,MATCH(F174,Catalogue!$B$6:$B$55,0)),0),H174))</f>
        <v/>
      </c>
      <c r="J174" s="19"/>
      <c r="K174" s="25" t="str">
        <f t="shared" si="9"/>
        <v/>
      </c>
      <c r="L174" s="18"/>
      <c r="M174" s="18"/>
      <c r="N174" s="18"/>
      <c r="O174" s="19"/>
      <c r="P174" s="25" t="str">
        <f>IF(F174="","",IF(O174="",IFERROR(INDEX(Catalogue!$G$6:$G$55,MATCH(F174,Catalogue!$B$6:$B$55,0)),0),O174))</f>
        <v/>
      </c>
      <c r="Q174" s="25" t="str">
        <f>IF(F174="","",N(G174)*(IFERROR(INDEX(Catalogue!$E$6:$E$55,MATCH(F174,Catalogue!$B$6:$B$55,0)),0)+IFERROR(INDEX(Catalogue!$F$6:$F$55,MATCH(F174,Catalogue!$B$6:$B$55,0)),0)+IFERROR(INDEX(Catalogue!$H$6:$H$55,MATCH(F174,Catalogue!$B$6:$B$55,0)),0)))</f>
        <v/>
      </c>
      <c r="R174" s="25" t="str">
        <f t="shared" si="10"/>
        <v/>
      </c>
      <c r="S174" s="18"/>
      <c r="T174" s="24" t="str">
        <f t="shared" si="11"/>
        <v/>
      </c>
      <c r="U174" s="28" t="str">
        <f>IF(D174="","",IF(COUNTIF(D$6:D174,D174)=1,"Nouveau","Fidèle"))</f>
        <v/>
      </c>
    </row>
    <row r="175" spans="1:21" x14ac:dyDescent="0.25">
      <c r="A175" s="41" t="str">
        <f t="shared" si="8"/>
        <v/>
      </c>
      <c r="B175" s="38"/>
      <c r="C175" s="18"/>
      <c r="D175" s="18"/>
      <c r="E175" s="18"/>
      <c r="F175" s="18"/>
      <c r="G175" s="20"/>
      <c r="H175" s="19"/>
      <c r="I175" s="25" t="str">
        <f>IF(F175="","",IF(H175="",IFERROR(INDEX(Catalogue!$I$6:$I$55,MATCH(F175,Catalogue!$B$6:$B$55,0)),0),H175))</f>
        <v/>
      </c>
      <c r="J175" s="19"/>
      <c r="K175" s="25" t="str">
        <f t="shared" si="9"/>
        <v/>
      </c>
      <c r="L175" s="18"/>
      <c r="M175" s="18"/>
      <c r="N175" s="18"/>
      <c r="O175" s="19"/>
      <c r="P175" s="25" t="str">
        <f>IF(F175="","",IF(O175="",IFERROR(INDEX(Catalogue!$G$6:$G$55,MATCH(F175,Catalogue!$B$6:$B$55,0)),0),O175))</f>
        <v/>
      </c>
      <c r="Q175" s="25" t="str">
        <f>IF(F175="","",N(G175)*(IFERROR(INDEX(Catalogue!$E$6:$E$55,MATCH(F175,Catalogue!$B$6:$B$55,0)),0)+IFERROR(INDEX(Catalogue!$F$6:$F$55,MATCH(F175,Catalogue!$B$6:$B$55,0)),0)+IFERROR(INDEX(Catalogue!$H$6:$H$55,MATCH(F175,Catalogue!$B$6:$B$55,0)),0)))</f>
        <v/>
      </c>
      <c r="R175" s="25" t="str">
        <f t="shared" si="10"/>
        <v/>
      </c>
      <c r="S175" s="18"/>
      <c r="T175" s="24" t="str">
        <f t="shared" si="11"/>
        <v/>
      </c>
      <c r="U175" s="28" t="str">
        <f>IF(D175="","",IF(COUNTIF(D$6:D175,D175)=1,"Nouveau","Fidèle"))</f>
        <v/>
      </c>
    </row>
    <row r="176" spans="1:21" x14ac:dyDescent="0.25">
      <c r="A176" s="41" t="str">
        <f t="shared" si="8"/>
        <v/>
      </c>
      <c r="B176" s="38"/>
      <c r="C176" s="18"/>
      <c r="D176" s="18"/>
      <c r="E176" s="18"/>
      <c r="F176" s="18"/>
      <c r="G176" s="20"/>
      <c r="H176" s="19"/>
      <c r="I176" s="25" t="str">
        <f>IF(F176="","",IF(H176="",IFERROR(INDEX(Catalogue!$I$6:$I$55,MATCH(F176,Catalogue!$B$6:$B$55,0)),0),H176))</f>
        <v/>
      </c>
      <c r="J176" s="19"/>
      <c r="K176" s="25" t="str">
        <f t="shared" si="9"/>
        <v/>
      </c>
      <c r="L176" s="18"/>
      <c r="M176" s="18"/>
      <c r="N176" s="18"/>
      <c r="O176" s="19"/>
      <c r="P176" s="25" t="str">
        <f>IF(F176="","",IF(O176="",IFERROR(INDEX(Catalogue!$G$6:$G$55,MATCH(F176,Catalogue!$B$6:$B$55,0)),0),O176))</f>
        <v/>
      </c>
      <c r="Q176" s="25" t="str">
        <f>IF(F176="","",N(G176)*(IFERROR(INDEX(Catalogue!$E$6:$E$55,MATCH(F176,Catalogue!$B$6:$B$55,0)),0)+IFERROR(INDEX(Catalogue!$F$6:$F$55,MATCH(F176,Catalogue!$B$6:$B$55,0)),0)+IFERROR(INDEX(Catalogue!$H$6:$H$55,MATCH(F176,Catalogue!$B$6:$B$55,0)),0)))</f>
        <v/>
      </c>
      <c r="R176" s="25" t="str">
        <f t="shared" si="10"/>
        <v/>
      </c>
      <c r="S176" s="18"/>
      <c r="T176" s="24" t="str">
        <f t="shared" si="11"/>
        <v/>
      </c>
      <c r="U176" s="28" t="str">
        <f>IF(D176="","",IF(COUNTIF(D$6:D176,D176)=1,"Nouveau","Fidèle"))</f>
        <v/>
      </c>
    </row>
    <row r="177" spans="1:21" x14ac:dyDescent="0.25">
      <c r="A177" s="41" t="str">
        <f t="shared" si="8"/>
        <v/>
      </c>
      <c r="B177" s="38"/>
      <c r="C177" s="18"/>
      <c r="D177" s="18"/>
      <c r="E177" s="18"/>
      <c r="F177" s="18"/>
      <c r="G177" s="20"/>
      <c r="H177" s="19"/>
      <c r="I177" s="25" t="str">
        <f>IF(F177="","",IF(H177="",IFERROR(INDEX(Catalogue!$I$6:$I$55,MATCH(F177,Catalogue!$B$6:$B$55,0)),0),H177))</f>
        <v/>
      </c>
      <c r="J177" s="19"/>
      <c r="K177" s="25" t="str">
        <f t="shared" si="9"/>
        <v/>
      </c>
      <c r="L177" s="18"/>
      <c r="M177" s="18"/>
      <c r="N177" s="18"/>
      <c r="O177" s="19"/>
      <c r="P177" s="25" t="str">
        <f>IF(F177="","",IF(O177="",IFERROR(INDEX(Catalogue!$G$6:$G$55,MATCH(F177,Catalogue!$B$6:$B$55,0)),0),O177))</f>
        <v/>
      </c>
      <c r="Q177" s="25" t="str">
        <f>IF(F177="","",N(G177)*(IFERROR(INDEX(Catalogue!$E$6:$E$55,MATCH(F177,Catalogue!$B$6:$B$55,0)),0)+IFERROR(INDEX(Catalogue!$F$6:$F$55,MATCH(F177,Catalogue!$B$6:$B$55,0)),0)+IFERROR(INDEX(Catalogue!$H$6:$H$55,MATCH(F177,Catalogue!$B$6:$B$55,0)),0)))</f>
        <v/>
      </c>
      <c r="R177" s="25" t="str">
        <f t="shared" si="10"/>
        <v/>
      </c>
      <c r="S177" s="18"/>
      <c r="T177" s="24" t="str">
        <f t="shared" si="11"/>
        <v/>
      </c>
      <c r="U177" s="28" t="str">
        <f>IF(D177="","",IF(COUNTIF(D$6:D177,D177)=1,"Nouveau","Fidèle"))</f>
        <v/>
      </c>
    </row>
    <row r="178" spans="1:21" x14ac:dyDescent="0.25">
      <c r="A178" s="41" t="str">
        <f t="shared" si="8"/>
        <v/>
      </c>
      <c r="B178" s="38"/>
      <c r="C178" s="18"/>
      <c r="D178" s="18"/>
      <c r="E178" s="18"/>
      <c r="F178" s="18"/>
      <c r="G178" s="20"/>
      <c r="H178" s="19"/>
      <c r="I178" s="25" t="str">
        <f>IF(F178="","",IF(H178="",IFERROR(INDEX(Catalogue!$I$6:$I$55,MATCH(F178,Catalogue!$B$6:$B$55,0)),0),H178))</f>
        <v/>
      </c>
      <c r="J178" s="19"/>
      <c r="K178" s="25" t="str">
        <f t="shared" si="9"/>
        <v/>
      </c>
      <c r="L178" s="18"/>
      <c r="M178" s="18"/>
      <c r="N178" s="18"/>
      <c r="O178" s="19"/>
      <c r="P178" s="25" t="str">
        <f>IF(F178="","",IF(O178="",IFERROR(INDEX(Catalogue!$G$6:$G$55,MATCH(F178,Catalogue!$B$6:$B$55,0)),0),O178))</f>
        <v/>
      </c>
      <c r="Q178" s="25" t="str">
        <f>IF(F178="","",N(G178)*(IFERROR(INDEX(Catalogue!$E$6:$E$55,MATCH(F178,Catalogue!$B$6:$B$55,0)),0)+IFERROR(INDEX(Catalogue!$F$6:$F$55,MATCH(F178,Catalogue!$B$6:$B$55,0)),0)+IFERROR(INDEX(Catalogue!$H$6:$H$55,MATCH(F178,Catalogue!$B$6:$B$55,0)),0)))</f>
        <v/>
      </c>
      <c r="R178" s="25" t="str">
        <f t="shared" si="10"/>
        <v/>
      </c>
      <c r="S178" s="18"/>
      <c r="T178" s="24" t="str">
        <f t="shared" si="11"/>
        <v/>
      </c>
      <c r="U178" s="28" t="str">
        <f>IF(D178="","",IF(COUNTIF(D$6:D178,D178)=1,"Nouveau","Fidèle"))</f>
        <v/>
      </c>
    </row>
    <row r="179" spans="1:21" x14ac:dyDescent="0.25">
      <c r="A179" s="41" t="str">
        <f t="shared" si="8"/>
        <v/>
      </c>
      <c r="B179" s="38"/>
      <c r="C179" s="18"/>
      <c r="D179" s="18"/>
      <c r="E179" s="18"/>
      <c r="F179" s="18"/>
      <c r="G179" s="20"/>
      <c r="H179" s="19"/>
      <c r="I179" s="25" t="str">
        <f>IF(F179="","",IF(H179="",IFERROR(INDEX(Catalogue!$I$6:$I$55,MATCH(F179,Catalogue!$B$6:$B$55,0)),0),H179))</f>
        <v/>
      </c>
      <c r="J179" s="19"/>
      <c r="K179" s="25" t="str">
        <f t="shared" si="9"/>
        <v/>
      </c>
      <c r="L179" s="18"/>
      <c r="M179" s="18"/>
      <c r="N179" s="18"/>
      <c r="O179" s="19"/>
      <c r="P179" s="25" t="str">
        <f>IF(F179="","",IF(O179="",IFERROR(INDEX(Catalogue!$G$6:$G$55,MATCH(F179,Catalogue!$B$6:$B$55,0)),0),O179))</f>
        <v/>
      </c>
      <c r="Q179" s="25" t="str">
        <f>IF(F179="","",N(G179)*(IFERROR(INDEX(Catalogue!$E$6:$E$55,MATCH(F179,Catalogue!$B$6:$B$55,0)),0)+IFERROR(INDEX(Catalogue!$F$6:$F$55,MATCH(F179,Catalogue!$B$6:$B$55,0)),0)+IFERROR(INDEX(Catalogue!$H$6:$H$55,MATCH(F179,Catalogue!$B$6:$B$55,0)),0)))</f>
        <v/>
      </c>
      <c r="R179" s="25" t="str">
        <f t="shared" si="10"/>
        <v/>
      </c>
      <c r="S179" s="18"/>
      <c r="T179" s="24" t="str">
        <f t="shared" si="11"/>
        <v/>
      </c>
      <c r="U179" s="28" t="str">
        <f>IF(D179="","",IF(COUNTIF(D$6:D179,D179)=1,"Nouveau","Fidèle"))</f>
        <v/>
      </c>
    </row>
    <row r="180" spans="1:21" x14ac:dyDescent="0.25">
      <c r="A180" s="41" t="str">
        <f t="shared" si="8"/>
        <v/>
      </c>
      <c r="B180" s="38"/>
      <c r="C180" s="18"/>
      <c r="D180" s="18"/>
      <c r="E180" s="18"/>
      <c r="F180" s="18"/>
      <c r="G180" s="20"/>
      <c r="H180" s="19"/>
      <c r="I180" s="25" t="str">
        <f>IF(F180="","",IF(H180="",IFERROR(INDEX(Catalogue!$I$6:$I$55,MATCH(F180,Catalogue!$B$6:$B$55,0)),0),H180))</f>
        <v/>
      </c>
      <c r="J180" s="19"/>
      <c r="K180" s="25" t="str">
        <f t="shared" si="9"/>
        <v/>
      </c>
      <c r="L180" s="18"/>
      <c r="M180" s="18"/>
      <c r="N180" s="18"/>
      <c r="O180" s="19"/>
      <c r="P180" s="25" t="str">
        <f>IF(F180="","",IF(O180="",IFERROR(INDEX(Catalogue!$G$6:$G$55,MATCH(F180,Catalogue!$B$6:$B$55,0)),0),O180))</f>
        <v/>
      </c>
      <c r="Q180" s="25" t="str">
        <f>IF(F180="","",N(G180)*(IFERROR(INDEX(Catalogue!$E$6:$E$55,MATCH(F180,Catalogue!$B$6:$B$55,0)),0)+IFERROR(INDEX(Catalogue!$F$6:$F$55,MATCH(F180,Catalogue!$B$6:$B$55,0)),0)+IFERROR(INDEX(Catalogue!$H$6:$H$55,MATCH(F180,Catalogue!$B$6:$B$55,0)),0)))</f>
        <v/>
      </c>
      <c r="R180" s="25" t="str">
        <f t="shared" si="10"/>
        <v/>
      </c>
      <c r="S180" s="18"/>
      <c r="T180" s="24" t="str">
        <f t="shared" si="11"/>
        <v/>
      </c>
      <c r="U180" s="28" t="str">
        <f>IF(D180="","",IF(COUNTIF(D$6:D180,D180)=1,"Nouveau","Fidèle"))</f>
        <v/>
      </c>
    </row>
    <row r="181" spans="1:21" x14ac:dyDescent="0.25">
      <c r="A181" s="41" t="str">
        <f t="shared" si="8"/>
        <v/>
      </c>
      <c r="B181" s="38"/>
      <c r="C181" s="18"/>
      <c r="D181" s="18"/>
      <c r="E181" s="18"/>
      <c r="F181" s="18"/>
      <c r="G181" s="20"/>
      <c r="H181" s="19"/>
      <c r="I181" s="25" t="str">
        <f>IF(F181="","",IF(H181="",IFERROR(INDEX(Catalogue!$I$6:$I$55,MATCH(F181,Catalogue!$B$6:$B$55,0)),0),H181))</f>
        <v/>
      </c>
      <c r="J181" s="19"/>
      <c r="K181" s="25" t="str">
        <f t="shared" si="9"/>
        <v/>
      </c>
      <c r="L181" s="18"/>
      <c r="M181" s="18"/>
      <c r="N181" s="18"/>
      <c r="O181" s="19"/>
      <c r="P181" s="25" t="str">
        <f>IF(F181="","",IF(O181="",IFERROR(INDEX(Catalogue!$G$6:$G$55,MATCH(F181,Catalogue!$B$6:$B$55,0)),0),O181))</f>
        <v/>
      </c>
      <c r="Q181" s="25" t="str">
        <f>IF(F181="","",N(G181)*(IFERROR(INDEX(Catalogue!$E$6:$E$55,MATCH(F181,Catalogue!$B$6:$B$55,0)),0)+IFERROR(INDEX(Catalogue!$F$6:$F$55,MATCH(F181,Catalogue!$B$6:$B$55,0)),0)+IFERROR(INDEX(Catalogue!$H$6:$H$55,MATCH(F181,Catalogue!$B$6:$B$55,0)),0)))</f>
        <v/>
      </c>
      <c r="R181" s="25" t="str">
        <f t="shared" si="10"/>
        <v/>
      </c>
      <c r="S181" s="18"/>
      <c r="T181" s="24" t="str">
        <f t="shared" si="11"/>
        <v/>
      </c>
      <c r="U181" s="28" t="str">
        <f>IF(D181="","",IF(COUNTIF(D$6:D181,D181)=1,"Nouveau","Fidèle"))</f>
        <v/>
      </c>
    </row>
    <row r="182" spans="1:21" x14ac:dyDescent="0.25">
      <c r="A182" s="41" t="str">
        <f t="shared" si="8"/>
        <v/>
      </c>
      <c r="B182" s="38"/>
      <c r="C182" s="18"/>
      <c r="D182" s="18"/>
      <c r="E182" s="18"/>
      <c r="F182" s="18"/>
      <c r="G182" s="20"/>
      <c r="H182" s="19"/>
      <c r="I182" s="25" t="str">
        <f>IF(F182="","",IF(H182="",IFERROR(INDEX(Catalogue!$I$6:$I$55,MATCH(F182,Catalogue!$B$6:$B$55,0)),0),H182))</f>
        <v/>
      </c>
      <c r="J182" s="19"/>
      <c r="K182" s="25" t="str">
        <f t="shared" si="9"/>
        <v/>
      </c>
      <c r="L182" s="18"/>
      <c r="M182" s="18"/>
      <c r="N182" s="18"/>
      <c r="O182" s="19"/>
      <c r="P182" s="25" t="str">
        <f>IF(F182="","",IF(O182="",IFERROR(INDEX(Catalogue!$G$6:$G$55,MATCH(F182,Catalogue!$B$6:$B$55,0)),0),O182))</f>
        <v/>
      </c>
      <c r="Q182" s="25" t="str">
        <f>IF(F182="","",N(G182)*(IFERROR(INDEX(Catalogue!$E$6:$E$55,MATCH(F182,Catalogue!$B$6:$B$55,0)),0)+IFERROR(INDEX(Catalogue!$F$6:$F$55,MATCH(F182,Catalogue!$B$6:$B$55,0)),0)+IFERROR(INDEX(Catalogue!$H$6:$H$55,MATCH(F182,Catalogue!$B$6:$B$55,0)),0)))</f>
        <v/>
      </c>
      <c r="R182" s="25" t="str">
        <f t="shared" si="10"/>
        <v/>
      </c>
      <c r="S182" s="18"/>
      <c r="T182" s="24" t="str">
        <f t="shared" si="11"/>
        <v/>
      </c>
      <c r="U182" s="28" t="str">
        <f>IF(D182="","",IF(COUNTIF(D$6:D182,D182)=1,"Nouveau","Fidèle"))</f>
        <v/>
      </c>
    </row>
    <row r="183" spans="1:21" x14ac:dyDescent="0.25">
      <c r="A183" s="41" t="str">
        <f t="shared" si="8"/>
        <v/>
      </c>
      <c r="B183" s="38"/>
      <c r="C183" s="18"/>
      <c r="D183" s="18"/>
      <c r="E183" s="18"/>
      <c r="F183" s="18"/>
      <c r="G183" s="20"/>
      <c r="H183" s="19"/>
      <c r="I183" s="25" t="str">
        <f>IF(F183="","",IF(H183="",IFERROR(INDEX(Catalogue!$I$6:$I$55,MATCH(F183,Catalogue!$B$6:$B$55,0)),0),H183))</f>
        <v/>
      </c>
      <c r="J183" s="19"/>
      <c r="K183" s="25" t="str">
        <f t="shared" si="9"/>
        <v/>
      </c>
      <c r="L183" s="18"/>
      <c r="M183" s="18"/>
      <c r="N183" s="18"/>
      <c r="O183" s="19"/>
      <c r="P183" s="25" t="str">
        <f>IF(F183="","",IF(O183="",IFERROR(INDEX(Catalogue!$G$6:$G$55,MATCH(F183,Catalogue!$B$6:$B$55,0)),0),O183))</f>
        <v/>
      </c>
      <c r="Q183" s="25" t="str">
        <f>IF(F183="","",N(G183)*(IFERROR(INDEX(Catalogue!$E$6:$E$55,MATCH(F183,Catalogue!$B$6:$B$55,0)),0)+IFERROR(INDEX(Catalogue!$F$6:$F$55,MATCH(F183,Catalogue!$B$6:$B$55,0)),0)+IFERROR(INDEX(Catalogue!$H$6:$H$55,MATCH(F183,Catalogue!$B$6:$B$55,0)),0)))</f>
        <v/>
      </c>
      <c r="R183" s="25" t="str">
        <f t="shared" si="10"/>
        <v/>
      </c>
      <c r="S183" s="18"/>
      <c r="T183" s="24" t="str">
        <f t="shared" si="11"/>
        <v/>
      </c>
      <c r="U183" s="28" t="str">
        <f>IF(D183="","",IF(COUNTIF(D$6:D183,D183)=1,"Nouveau","Fidèle"))</f>
        <v/>
      </c>
    </row>
    <row r="184" spans="1:21" x14ac:dyDescent="0.25">
      <c r="A184" s="41" t="str">
        <f t="shared" si="8"/>
        <v/>
      </c>
      <c r="B184" s="38"/>
      <c r="C184" s="18"/>
      <c r="D184" s="18"/>
      <c r="E184" s="18"/>
      <c r="F184" s="18"/>
      <c r="G184" s="20"/>
      <c r="H184" s="19"/>
      <c r="I184" s="25" t="str">
        <f>IF(F184="","",IF(H184="",IFERROR(INDEX(Catalogue!$I$6:$I$55,MATCH(F184,Catalogue!$B$6:$B$55,0)),0),H184))</f>
        <v/>
      </c>
      <c r="J184" s="19"/>
      <c r="K184" s="25" t="str">
        <f t="shared" si="9"/>
        <v/>
      </c>
      <c r="L184" s="18"/>
      <c r="M184" s="18"/>
      <c r="N184" s="18"/>
      <c r="O184" s="19"/>
      <c r="P184" s="25" t="str">
        <f>IF(F184="","",IF(O184="",IFERROR(INDEX(Catalogue!$G$6:$G$55,MATCH(F184,Catalogue!$B$6:$B$55,0)),0),O184))</f>
        <v/>
      </c>
      <c r="Q184" s="25" t="str">
        <f>IF(F184="","",N(G184)*(IFERROR(INDEX(Catalogue!$E$6:$E$55,MATCH(F184,Catalogue!$B$6:$B$55,0)),0)+IFERROR(INDEX(Catalogue!$F$6:$F$55,MATCH(F184,Catalogue!$B$6:$B$55,0)),0)+IFERROR(INDEX(Catalogue!$H$6:$H$55,MATCH(F184,Catalogue!$B$6:$B$55,0)),0)))</f>
        <v/>
      </c>
      <c r="R184" s="25" t="str">
        <f t="shared" si="10"/>
        <v/>
      </c>
      <c r="S184" s="18"/>
      <c r="T184" s="24" t="str">
        <f t="shared" si="11"/>
        <v/>
      </c>
      <c r="U184" s="28" t="str">
        <f>IF(D184="","",IF(COUNTIF(D$6:D184,D184)=1,"Nouveau","Fidèle"))</f>
        <v/>
      </c>
    </row>
    <row r="185" spans="1:21" x14ac:dyDescent="0.25">
      <c r="A185" s="41" t="str">
        <f t="shared" si="8"/>
        <v/>
      </c>
      <c r="B185" s="38"/>
      <c r="C185" s="18"/>
      <c r="D185" s="18"/>
      <c r="E185" s="18"/>
      <c r="F185" s="18"/>
      <c r="G185" s="20"/>
      <c r="H185" s="19"/>
      <c r="I185" s="25" t="str">
        <f>IF(F185="","",IF(H185="",IFERROR(INDEX(Catalogue!$I$6:$I$55,MATCH(F185,Catalogue!$B$6:$B$55,0)),0),H185))</f>
        <v/>
      </c>
      <c r="J185" s="19"/>
      <c r="K185" s="25" t="str">
        <f t="shared" si="9"/>
        <v/>
      </c>
      <c r="L185" s="18"/>
      <c r="M185" s="18"/>
      <c r="N185" s="18"/>
      <c r="O185" s="19"/>
      <c r="P185" s="25" t="str">
        <f>IF(F185="","",IF(O185="",IFERROR(INDEX(Catalogue!$G$6:$G$55,MATCH(F185,Catalogue!$B$6:$B$55,0)),0),O185))</f>
        <v/>
      </c>
      <c r="Q185" s="25" t="str">
        <f>IF(F185="","",N(G185)*(IFERROR(INDEX(Catalogue!$E$6:$E$55,MATCH(F185,Catalogue!$B$6:$B$55,0)),0)+IFERROR(INDEX(Catalogue!$F$6:$F$55,MATCH(F185,Catalogue!$B$6:$B$55,0)),0)+IFERROR(INDEX(Catalogue!$H$6:$H$55,MATCH(F185,Catalogue!$B$6:$B$55,0)),0)))</f>
        <v/>
      </c>
      <c r="R185" s="25" t="str">
        <f t="shared" si="10"/>
        <v/>
      </c>
      <c r="S185" s="18"/>
      <c r="T185" s="24" t="str">
        <f t="shared" si="11"/>
        <v/>
      </c>
      <c r="U185" s="28" t="str">
        <f>IF(D185="","",IF(COUNTIF(D$6:D185,D185)=1,"Nouveau","Fidèle"))</f>
        <v/>
      </c>
    </row>
    <row r="186" spans="1:21" x14ac:dyDescent="0.25">
      <c r="A186" s="41" t="str">
        <f t="shared" si="8"/>
        <v/>
      </c>
      <c r="B186" s="38"/>
      <c r="C186" s="18"/>
      <c r="D186" s="18"/>
      <c r="E186" s="18"/>
      <c r="F186" s="18"/>
      <c r="G186" s="20"/>
      <c r="H186" s="19"/>
      <c r="I186" s="25" t="str">
        <f>IF(F186="","",IF(H186="",IFERROR(INDEX(Catalogue!$I$6:$I$55,MATCH(F186,Catalogue!$B$6:$B$55,0)),0),H186))</f>
        <v/>
      </c>
      <c r="J186" s="19"/>
      <c r="K186" s="25" t="str">
        <f t="shared" si="9"/>
        <v/>
      </c>
      <c r="L186" s="18"/>
      <c r="M186" s="18"/>
      <c r="N186" s="18"/>
      <c r="O186" s="19"/>
      <c r="P186" s="25" t="str">
        <f>IF(F186="","",IF(O186="",IFERROR(INDEX(Catalogue!$G$6:$G$55,MATCH(F186,Catalogue!$B$6:$B$55,0)),0),O186))</f>
        <v/>
      </c>
      <c r="Q186" s="25" t="str">
        <f>IF(F186="","",N(G186)*(IFERROR(INDEX(Catalogue!$E$6:$E$55,MATCH(F186,Catalogue!$B$6:$B$55,0)),0)+IFERROR(INDEX(Catalogue!$F$6:$F$55,MATCH(F186,Catalogue!$B$6:$B$55,0)),0)+IFERROR(INDEX(Catalogue!$H$6:$H$55,MATCH(F186,Catalogue!$B$6:$B$55,0)),0)))</f>
        <v/>
      </c>
      <c r="R186" s="25" t="str">
        <f t="shared" si="10"/>
        <v/>
      </c>
      <c r="S186" s="18"/>
      <c r="T186" s="24" t="str">
        <f t="shared" si="11"/>
        <v/>
      </c>
      <c r="U186" s="28" t="str">
        <f>IF(D186="","",IF(COUNTIF(D$6:D186,D186)=1,"Nouveau","Fidèle"))</f>
        <v/>
      </c>
    </row>
    <row r="187" spans="1:21" x14ac:dyDescent="0.25">
      <c r="A187" s="41" t="str">
        <f t="shared" si="8"/>
        <v/>
      </c>
      <c r="B187" s="38"/>
      <c r="C187" s="18"/>
      <c r="D187" s="18"/>
      <c r="E187" s="18"/>
      <c r="F187" s="18"/>
      <c r="G187" s="20"/>
      <c r="H187" s="19"/>
      <c r="I187" s="25" t="str">
        <f>IF(F187="","",IF(H187="",IFERROR(INDEX(Catalogue!$I$6:$I$55,MATCH(F187,Catalogue!$B$6:$B$55,0)),0),H187))</f>
        <v/>
      </c>
      <c r="J187" s="19"/>
      <c r="K187" s="25" t="str">
        <f t="shared" si="9"/>
        <v/>
      </c>
      <c r="L187" s="18"/>
      <c r="M187" s="18"/>
      <c r="N187" s="18"/>
      <c r="O187" s="19"/>
      <c r="P187" s="25" t="str">
        <f>IF(F187="","",IF(O187="",IFERROR(INDEX(Catalogue!$G$6:$G$55,MATCH(F187,Catalogue!$B$6:$B$55,0)),0),O187))</f>
        <v/>
      </c>
      <c r="Q187" s="25" t="str">
        <f>IF(F187="","",N(G187)*(IFERROR(INDEX(Catalogue!$E$6:$E$55,MATCH(F187,Catalogue!$B$6:$B$55,0)),0)+IFERROR(INDEX(Catalogue!$F$6:$F$55,MATCH(F187,Catalogue!$B$6:$B$55,0)),0)+IFERROR(INDEX(Catalogue!$H$6:$H$55,MATCH(F187,Catalogue!$B$6:$B$55,0)),0)))</f>
        <v/>
      </c>
      <c r="R187" s="25" t="str">
        <f t="shared" si="10"/>
        <v/>
      </c>
      <c r="S187" s="18"/>
      <c r="T187" s="24" t="str">
        <f t="shared" si="11"/>
        <v/>
      </c>
      <c r="U187" s="28" t="str">
        <f>IF(D187="","",IF(COUNTIF(D$6:D187,D187)=1,"Nouveau","Fidèle"))</f>
        <v/>
      </c>
    </row>
    <row r="188" spans="1:21" x14ac:dyDescent="0.25">
      <c r="A188" s="41" t="str">
        <f t="shared" si="8"/>
        <v/>
      </c>
      <c r="B188" s="38"/>
      <c r="C188" s="18"/>
      <c r="D188" s="18"/>
      <c r="E188" s="18"/>
      <c r="F188" s="18"/>
      <c r="G188" s="20"/>
      <c r="H188" s="19"/>
      <c r="I188" s="25" t="str">
        <f>IF(F188="","",IF(H188="",IFERROR(INDEX(Catalogue!$I$6:$I$55,MATCH(F188,Catalogue!$B$6:$B$55,0)),0),H188))</f>
        <v/>
      </c>
      <c r="J188" s="19"/>
      <c r="K188" s="25" t="str">
        <f t="shared" si="9"/>
        <v/>
      </c>
      <c r="L188" s="18"/>
      <c r="M188" s="18"/>
      <c r="N188" s="18"/>
      <c r="O188" s="19"/>
      <c r="P188" s="25" t="str">
        <f>IF(F188="","",IF(O188="",IFERROR(INDEX(Catalogue!$G$6:$G$55,MATCH(F188,Catalogue!$B$6:$B$55,0)),0),O188))</f>
        <v/>
      </c>
      <c r="Q188" s="25" t="str">
        <f>IF(F188="","",N(G188)*(IFERROR(INDEX(Catalogue!$E$6:$E$55,MATCH(F188,Catalogue!$B$6:$B$55,0)),0)+IFERROR(INDEX(Catalogue!$F$6:$F$55,MATCH(F188,Catalogue!$B$6:$B$55,0)),0)+IFERROR(INDEX(Catalogue!$H$6:$H$55,MATCH(F188,Catalogue!$B$6:$B$55,0)),0)))</f>
        <v/>
      </c>
      <c r="R188" s="25" t="str">
        <f t="shared" si="10"/>
        <v/>
      </c>
      <c r="S188" s="18"/>
      <c r="T188" s="24" t="str">
        <f t="shared" si="11"/>
        <v/>
      </c>
      <c r="U188" s="28" t="str">
        <f>IF(D188="","",IF(COUNTIF(D$6:D188,D188)=1,"Nouveau","Fidèle"))</f>
        <v/>
      </c>
    </row>
    <row r="189" spans="1:21" x14ac:dyDescent="0.25">
      <c r="A189" s="41" t="str">
        <f t="shared" si="8"/>
        <v/>
      </c>
      <c r="B189" s="38"/>
      <c r="C189" s="18"/>
      <c r="D189" s="18"/>
      <c r="E189" s="18"/>
      <c r="F189" s="18"/>
      <c r="G189" s="20"/>
      <c r="H189" s="19"/>
      <c r="I189" s="25" t="str">
        <f>IF(F189="","",IF(H189="",IFERROR(INDEX(Catalogue!$I$6:$I$55,MATCH(F189,Catalogue!$B$6:$B$55,0)),0),H189))</f>
        <v/>
      </c>
      <c r="J189" s="19"/>
      <c r="K189" s="25" t="str">
        <f t="shared" si="9"/>
        <v/>
      </c>
      <c r="L189" s="18"/>
      <c r="M189" s="18"/>
      <c r="N189" s="18"/>
      <c r="O189" s="19"/>
      <c r="P189" s="25" t="str">
        <f>IF(F189="","",IF(O189="",IFERROR(INDEX(Catalogue!$G$6:$G$55,MATCH(F189,Catalogue!$B$6:$B$55,0)),0),O189))</f>
        <v/>
      </c>
      <c r="Q189" s="25" t="str">
        <f>IF(F189="","",N(G189)*(IFERROR(INDEX(Catalogue!$E$6:$E$55,MATCH(F189,Catalogue!$B$6:$B$55,0)),0)+IFERROR(INDEX(Catalogue!$F$6:$F$55,MATCH(F189,Catalogue!$B$6:$B$55,0)),0)+IFERROR(INDEX(Catalogue!$H$6:$H$55,MATCH(F189,Catalogue!$B$6:$B$55,0)),0)))</f>
        <v/>
      </c>
      <c r="R189" s="25" t="str">
        <f t="shared" si="10"/>
        <v/>
      </c>
      <c r="S189" s="18"/>
      <c r="T189" s="24" t="str">
        <f t="shared" si="11"/>
        <v/>
      </c>
      <c r="U189" s="28" t="str">
        <f>IF(D189="","",IF(COUNTIF(D$6:D189,D189)=1,"Nouveau","Fidèle"))</f>
        <v/>
      </c>
    </row>
    <row r="190" spans="1:21" x14ac:dyDescent="0.25">
      <c r="A190" s="41" t="str">
        <f t="shared" si="8"/>
        <v/>
      </c>
      <c r="B190" s="38"/>
      <c r="C190" s="18"/>
      <c r="D190" s="18"/>
      <c r="E190" s="18"/>
      <c r="F190" s="18"/>
      <c r="G190" s="20"/>
      <c r="H190" s="19"/>
      <c r="I190" s="25" t="str">
        <f>IF(F190="","",IF(H190="",IFERROR(INDEX(Catalogue!$I$6:$I$55,MATCH(F190,Catalogue!$B$6:$B$55,0)),0),H190))</f>
        <v/>
      </c>
      <c r="J190" s="19"/>
      <c r="K190" s="25" t="str">
        <f t="shared" si="9"/>
        <v/>
      </c>
      <c r="L190" s="18"/>
      <c r="M190" s="18"/>
      <c r="N190" s="18"/>
      <c r="O190" s="19"/>
      <c r="P190" s="25" t="str">
        <f>IF(F190="","",IF(O190="",IFERROR(INDEX(Catalogue!$G$6:$G$55,MATCH(F190,Catalogue!$B$6:$B$55,0)),0),O190))</f>
        <v/>
      </c>
      <c r="Q190" s="25" t="str">
        <f>IF(F190="","",N(G190)*(IFERROR(INDEX(Catalogue!$E$6:$E$55,MATCH(F190,Catalogue!$B$6:$B$55,0)),0)+IFERROR(INDEX(Catalogue!$F$6:$F$55,MATCH(F190,Catalogue!$B$6:$B$55,0)),0)+IFERROR(INDEX(Catalogue!$H$6:$H$55,MATCH(F190,Catalogue!$B$6:$B$55,0)),0)))</f>
        <v/>
      </c>
      <c r="R190" s="25" t="str">
        <f t="shared" si="10"/>
        <v/>
      </c>
      <c r="S190" s="18"/>
      <c r="T190" s="24" t="str">
        <f t="shared" si="11"/>
        <v/>
      </c>
      <c r="U190" s="28" t="str">
        <f>IF(D190="","",IF(COUNTIF(D$6:D190,D190)=1,"Nouveau","Fidèle"))</f>
        <v/>
      </c>
    </row>
    <row r="191" spans="1:21" x14ac:dyDescent="0.25">
      <c r="A191" s="41" t="str">
        <f t="shared" si="8"/>
        <v/>
      </c>
      <c r="B191" s="38"/>
      <c r="C191" s="18"/>
      <c r="D191" s="18"/>
      <c r="E191" s="18"/>
      <c r="F191" s="18"/>
      <c r="G191" s="20"/>
      <c r="H191" s="19"/>
      <c r="I191" s="25" t="str">
        <f>IF(F191="","",IF(H191="",IFERROR(INDEX(Catalogue!$I$6:$I$55,MATCH(F191,Catalogue!$B$6:$B$55,0)),0),H191))</f>
        <v/>
      </c>
      <c r="J191" s="19"/>
      <c r="K191" s="25" t="str">
        <f t="shared" si="9"/>
        <v/>
      </c>
      <c r="L191" s="18"/>
      <c r="M191" s="18"/>
      <c r="N191" s="18"/>
      <c r="O191" s="19"/>
      <c r="P191" s="25" t="str">
        <f>IF(F191="","",IF(O191="",IFERROR(INDEX(Catalogue!$G$6:$G$55,MATCH(F191,Catalogue!$B$6:$B$55,0)),0),O191))</f>
        <v/>
      </c>
      <c r="Q191" s="25" t="str">
        <f>IF(F191="","",N(G191)*(IFERROR(INDEX(Catalogue!$E$6:$E$55,MATCH(F191,Catalogue!$B$6:$B$55,0)),0)+IFERROR(INDEX(Catalogue!$F$6:$F$55,MATCH(F191,Catalogue!$B$6:$B$55,0)),0)+IFERROR(INDEX(Catalogue!$H$6:$H$55,MATCH(F191,Catalogue!$B$6:$B$55,0)),0)))</f>
        <v/>
      </c>
      <c r="R191" s="25" t="str">
        <f t="shared" si="10"/>
        <v/>
      </c>
      <c r="S191" s="18"/>
      <c r="T191" s="24" t="str">
        <f t="shared" si="11"/>
        <v/>
      </c>
      <c r="U191" s="28" t="str">
        <f>IF(D191="","",IF(COUNTIF(D$6:D191,D191)=1,"Nouveau","Fidèle"))</f>
        <v/>
      </c>
    </row>
    <row r="192" spans="1:21" x14ac:dyDescent="0.25">
      <c r="A192" s="41" t="str">
        <f t="shared" si="8"/>
        <v/>
      </c>
      <c r="B192" s="38"/>
      <c r="C192" s="18"/>
      <c r="D192" s="18"/>
      <c r="E192" s="18"/>
      <c r="F192" s="18"/>
      <c r="G192" s="20"/>
      <c r="H192" s="19"/>
      <c r="I192" s="25" t="str">
        <f>IF(F192="","",IF(H192="",IFERROR(INDEX(Catalogue!$I$6:$I$55,MATCH(F192,Catalogue!$B$6:$B$55,0)),0),H192))</f>
        <v/>
      </c>
      <c r="J192" s="19"/>
      <c r="K192" s="25" t="str">
        <f t="shared" si="9"/>
        <v/>
      </c>
      <c r="L192" s="18"/>
      <c r="M192" s="18"/>
      <c r="N192" s="18"/>
      <c r="O192" s="19"/>
      <c r="P192" s="25" t="str">
        <f>IF(F192="","",IF(O192="",IFERROR(INDEX(Catalogue!$G$6:$G$55,MATCH(F192,Catalogue!$B$6:$B$55,0)),0),O192))</f>
        <v/>
      </c>
      <c r="Q192" s="25" t="str">
        <f>IF(F192="","",N(G192)*(IFERROR(INDEX(Catalogue!$E$6:$E$55,MATCH(F192,Catalogue!$B$6:$B$55,0)),0)+IFERROR(INDEX(Catalogue!$F$6:$F$55,MATCH(F192,Catalogue!$B$6:$B$55,0)),0)+IFERROR(INDEX(Catalogue!$H$6:$H$55,MATCH(F192,Catalogue!$B$6:$B$55,0)),0)))</f>
        <v/>
      </c>
      <c r="R192" s="25" t="str">
        <f t="shared" si="10"/>
        <v/>
      </c>
      <c r="S192" s="18"/>
      <c r="T192" s="24" t="str">
        <f t="shared" si="11"/>
        <v/>
      </c>
      <c r="U192" s="28" t="str">
        <f>IF(D192="","",IF(COUNTIF(D$6:D192,D192)=1,"Nouveau","Fidèle"))</f>
        <v/>
      </c>
    </row>
    <row r="193" spans="1:21" x14ac:dyDescent="0.25">
      <c r="A193" s="41" t="str">
        <f t="shared" si="8"/>
        <v/>
      </c>
      <c r="B193" s="38"/>
      <c r="C193" s="18"/>
      <c r="D193" s="18"/>
      <c r="E193" s="18"/>
      <c r="F193" s="18"/>
      <c r="G193" s="20"/>
      <c r="H193" s="19"/>
      <c r="I193" s="25" t="str">
        <f>IF(F193="","",IF(H193="",IFERROR(INDEX(Catalogue!$I$6:$I$55,MATCH(F193,Catalogue!$B$6:$B$55,0)),0),H193))</f>
        <v/>
      </c>
      <c r="J193" s="19"/>
      <c r="K193" s="25" t="str">
        <f t="shared" si="9"/>
        <v/>
      </c>
      <c r="L193" s="18"/>
      <c r="M193" s="18"/>
      <c r="N193" s="18"/>
      <c r="O193" s="19"/>
      <c r="P193" s="25" t="str">
        <f>IF(F193="","",IF(O193="",IFERROR(INDEX(Catalogue!$G$6:$G$55,MATCH(F193,Catalogue!$B$6:$B$55,0)),0),O193))</f>
        <v/>
      </c>
      <c r="Q193" s="25" t="str">
        <f>IF(F193="","",N(G193)*(IFERROR(INDEX(Catalogue!$E$6:$E$55,MATCH(F193,Catalogue!$B$6:$B$55,0)),0)+IFERROR(INDEX(Catalogue!$F$6:$F$55,MATCH(F193,Catalogue!$B$6:$B$55,0)),0)+IFERROR(INDEX(Catalogue!$H$6:$H$55,MATCH(F193,Catalogue!$B$6:$B$55,0)),0)))</f>
        <v/>
      </c>
      <c r="R193" s="25" t="str">
        <f t="shared" si="10"/>
        <v/>
      </c>
      <c r="S193" s="18"/>
      <c r="T193" s="24" t="str">
        <f t="shared" si="11"/>
        <v/>
      </c>
      <c r="U193" s="28" t="str">
        <f>IF(D193="","",IF(COUNTIF(D$6:D193,D193)=1,"Nouveau","Fidèle"))</f>
        <v/>
      </c>
    </row>
    <row r="194" spans="1:21" x14ac:dyDescent="0.25">
      <c r="A194" s="41" t="str">
        <f t="shared" si="8"/>
        <v/>
      </c>
      <c r="B194" s="38"/>
      <c r="C194" s="18"/>
      <c r="D194" s="18"/>
      <c r="E194" s="18"/>
      <c r="F194" s="18"/>
      <c r="G194" s="20"/>
      <c r="H194" s="19"/>
      <c r="I194" s="25" t="str">
        <f>IF(F194="","",IF(H194="",IFERROR(INDEX(Catalogue!$I$6:$I$55,MATCH(F194,Catalogue!$B$6:$B$55,0)),0),H194))</f>
        <v/>
      </c>
      <c r="J194" s="19"/>
      <c r="K194" s="25" t="str">
        <f t="shared" si="9"/>
        <v/>
      </c>
      <c r="L194" s="18"/>
      <c r="M194" s="18"/>
      <c r="N194" s="18"/>
      <c r="O194" s="19"/>
      <c r="P194" s="25" t="str">
        <f>IF(F194="","",IF(O194="",IFERROR(INDEX(Catalogue!$G$6:$G$55,MATCH(F194,Catalogue!$B$6:$B$55,0)),0),O194))</f>
        <v/>
      </c>
      <c r="Q194" s="25" t="str">
        <f>IF(F194="","",N(G194)*(IFERROR(INDEX(Catalogue!$E$6:$E$55,MATCH(F194,Catalogue!$B$6:$B$55,0)),0)+IFERROR(INDEX(Catalogue!$F$6:$F$55,MATCH(F194,Catalogue!$B$6:$B$55,0)),0)+IFERROR(INDEX(Catalogue!$H$6:$H$55,MATCH(F194,Catalogue!$B$6:$B$55,0)),0)))</f>
        <v/>
      </c>
      <c r="R194" s="25" t="str">
        <f t="shared" si="10"/>
        <v/>
      </c>
      <c r="S194" s="18"/>
      <c r="T194" s="24" t="str">
        <f t="shared" si="11"/>
        <v/>
      </c>
      <c r="U194" s="28" t="str">
        <f>IF(D194="","",IF(COUNTIF(D$6:D194,D194)=1,"Nouveau","Fidèle"))</f>
        <v/>
      </c>
    </row>
    <row r="195" spans="1:21" x14ac:dyDescent="0.25">
      <c r="A195" s="41" t="str">
        <f t="shared" si="8"/>
        <v/>
      </c>
      <c r="B195" s="38"/>
      <c r="C195" s="18"/>
      <c r="D195" s="18"/>
      <c r="E195" s="18"/>
      <c r="F195" s="18"/>
      <c r="G195" s="20"/>
      <c r="H195" s="19"/>
      <c r="I195" s="25" t="str">
        <f>IF(F195="","",IF(H195="",IFERROR(INDEX(Catalogue!$I$6:$I$55,MATCH(F195,Catalogue!$B$6:$B$55,0)),0),H195))</f>
        <v/>
      </c>
      <c r="J195" s="19"/>
      <c r="K195" s="25" t="str">
        <f t="shared" si="9"/>
        <v/>
      </c>
      <c r="L195" s="18"/>
      <c r="M195" s="18"/>
      <c r="N195" s="18"/>
      <c r="O195" s="19"/>
      <c r="P195" s="25" t="str">
        <f>IF(F195="","",IF(O195="",IFERROR(INDEX(Catalogue!$G$6:$G$55,MATCH(F195,Catalogue!$B$6:$B$55,0)),0),O195))</f>
        <v/>
      </c>
      <c r="Q195" s="25" t="str">
        <f>IF(F195="","",N(G195)*(IFERROR(INDEX(Catalogue!$E$6:$E$55,MATCH(F195,Catalogue!$B$6:$B$55,0)),0)+IFERROR(INDEX(Catalogue!$F$6:$F$55,MATCH(F195,Catalogue!$B$6:$B$55,0)),0)+IFERROR(INDEX(Catalogue!$H$6:$H$55,MATCH(F195,Catalogue!$B$6:$B$55,0)),0)))</f>
        <v/>
      </c>
      <c r="R195" s="25" t="str">
        <f t="shared" si="10"/>
        <v/>
      </c>
      <c r="S195" s="18"/>
      <c r="T195" s="24" t="str">
        <f t="shared" si="11"/>
        <v/>
      </c>
      <c r="U195" s="28" t="str">
        <f>IF(D195="","",IF(COUNTIF(D$6:D195,D195)=1,"Nouveau","Fidèle"))</f>
        <v/>
      </c>
    </row>
    <row r="196" spans="1:21" x14ac:dyDescent="0.25">
      <c r="A196" s="41" t="str">
        <f t="shared" si="8"/>
        <v/>
      </c>
      <c r="B196" s="38"/>
      <c r="C196" s="18"/>
      <c r="D196" s="18"/>
      <c r="E196" s="18"/>
      <c r="F196" s="18"/>
      <c r="G196" s="20"/>
      <c r="H196" s="19"/>
      <c r="I196" s="25" t="str">
        <f>IF(F196="","",IF(H196="",IFERROR(INDEX(Catalogue!$I$6:$I$55,MATCH(F196,Catalogue!$B$6:$B$55,0)),0),H196))</f>
        <v/>
      </c>
      <c r="J196" s="19"/>
      <c r="K196" s="25" t="str">
        <f t="shared" si="9"/>
        <v/>
      </c>
      <c r="L196" s="18"/>
      <c r="M196" s="18"/>
      <c r="N196" s="18"/>
      <c r="O196" s="19"/>
      <c r="P196" s="25" t="str">
        <f>IF(F196="","",IF(O196="",IFERROR(INDEX(Catalogue!$G$6:$G$55,MATCH(F196,Catalogue!$B$6:$B$55,0)),0),O196))</f>
        <v/>
      </c>
      <c r="Q196" s="25" t="str">
        <f>IF(F196="","",N(G196)*(IFERROR(INDEX(Catalogue!$E$6:$E$55,MATCH(F196,Catalogue!$B$6:$B$55,0)),0)+IFERROR(INDEX(Catalogue!$F$6:$F$55,MATCH(F196,Catalogue!$B$6:$B$55,0)),0)+IFERROR(INDEX(Catalogue!$H$6:$H$55,MATCH(F196,Catalogue!$B$6:$B$55,0)),0)))</f>
        <v/>
      </c>
      <c r="R196" s="25" t="str">
        <f t="shared" si="10"/>
        <v/>
      </c>
      <c r="S196" s="18"/>
      <c r="T196" s="24" t="str">
        <f t="shared" si="11"/>
        <v/>
      </c>
      <c r="U196" s="28" t="str">
        <f>IF(D196="","",IF(COUNTIF(D$6:D196,D196)=1,"Nouveau","Fidèle"))</f>
        <v/>
      </c>
    </row>
    <row r="197" spans="1:21" x14ac:dyDescent="0.25">
      <c r="A197" s="41" t="str">
        <f t="shared" si="8"/>
        <v/>
      </c>
      <c r="B197" s="38"/>
      <c r="C197" s="18"/>
      <c r="D197" s="18"/>
      <c r="E197" s="18"/>
      <c r="F197" s="18"/>
      <c r="G197" s="20"/>
      <c r="H197" s="19"/>
      <c r="I197" s="25" t="str">
        <f>IF(F197="","",IF(H197="",IFERROR(INDEX(Catalogue!$I$6:$I$55,MATCH(F197,Catalogue!$B$6:$B$55,0)),0),H197))</f>
        <v/>
      </c>
      <c r="J197" s="19"/>
      <c r="K197" s="25" t="str">
        <f t="shared" si="9"/>
        <v/>
      </c>
      <c r="L197" s="18"/>
      <c r="M197" s="18"/>
      <c r="N197" s="18"/>
      <c r="O197" s="19"/>
      <c r="P197" s="25" t="str">
        <f>IF(F197="","",IF(O197="",IFERROR(INDEX(Catalogue!$G$6:$G$55,MATCH(F197,Catalogue!$B$6:$B$55,0)),0),O197))</f>
        <v/>
      </c>
      <c r="Q197" s="25" t="str">
        <f>IF(F197="","",N(G197)*(IFERROR(INDEX(Catalogue!$E$6:$E$55,MATCH(F197,Catalogue!$B$6:$B$55,0)),0)+IFERROR(INDEX(Catalogue!$F$6:$F$55,MATCH(F197,Catalogue!$B$6:$B$55,0)),0)+IFERROR(INDEX(Catalogue!$H$6:$H$55,MATCH(F197,Catalogue!$B$6:$B$55,0)),0)))</f>
        <v/>
      </c>
      <c r="R197" s="25" t="str">
        <f t="shared" si="10"/>
        <v/>
      </c>
      <c r="S197" s="18"/>
      <c r="T197" s="24" t="str">
        <f t="shared" si="11"/>
        <v/>
      </c>
      <c r="U197" s="28" t="str">
        <f>IF(D197="","",IF(COUNTIF(D$6:D197,D197)=1,"Nouveau","Fidèle"))</f>
        <v/>
      </c>
    </row>
    <row r="198" spans="1:21" x14ac:dyDescent="0.25">
      <c r="A198" s="41" t="str">
        <f t="shared" ref="A198:A261" si="12">IF(B198="","",ROW()-5)</f>
        <v/>
      </c>
      <c r="B198" s="38"/>
      <c r="C198" s="18"/>
      <c r="D198" s="18"/>
      <c r="E198" s="18"/>
      <c r="F198" s="18"/>
      <c r="G198" s="20"/>
      <c r="H198" s="19"/>
      <c r="I198" s="25" t="str">
        <f>IF(F198="","",IF(H198="",IFERROR(INDEX(Catalogue!$I$6:$I$55,MATCH(F198,Catalogue!$B$6:$B$55,0)),0),H198))</f>
        <v/>
      </c>
      <c r="J198" s="19"/>
      <c r="K198" s="25" t="str">
        <f t="shared" ref="K198:K261" si="13">IF(F198="","",N(G198)*I198-N(J198))</f>
        <v/>
      </c>
      <c r="L198" s="18"/>
      <c r="M198" s="18"/>
      <c r="N198" s="18"/>
      <c r="O198" s="19"/>
      <c r="P198" s="25" t="str">
        <f>IF(F198="","",IF(O198="",IFERROR(INDEX(Catalogue!$G$6:$G$55,MATCH(F198,Catalogue!$B$6:$B$55,0)),0),O198))</f>
        <v/>
      </c>
      <c r="Q198" s="25" t="str">
        <f>IF(F198="","",N(G198)*(IFERROR(INDEX(Catalogue!$E$6:$E$55,MATCH(F198,Catalogue!$B$6:$B$55,0)),0)+IFERROR(INDEX(Catalogue!$F$6:$F$55,MATCH(F198,Catalogue!$B$6:$B$55,0)),0)+IFERROR(INDEX(Catalogue!$H$6:$H$55,MATCH(F198,Catalogue!$B$6:$B$55,0)),0)))</f>
        <v/>
      </c>
      <c r="R198" s="25" t="str">
        <f t="shared" ref="R198:R261" si="14">IF(F198="","",IF(M198="Livrée et payée",K198-Q198-P198,IF(M198="Annulée",-N(P198),0)))</f>
        <v/>
      </c>
      <c r="S198" s="18"/>
      <c r="T198" s="24" t="str">
        <f t="shared" ref="T198:T261" si="15">IF(B198="","",DATE(YEAR(B198),MONTH(B198),1))</f>
        <v/>
      </c>
      <c r="U198" s="28" t="str">
        <f>IF(D198="","",IF(COUNTIF(D$6:D198,D198)=1,"Nouveau","Fidèle"))</f>
        <v/>
      </c>
    </row>
    <row r="199" spans="1:21" x14ac:dyDescent="0.25">
      <c r="A199" s="41" t="str">
        <f t="shared" si="12"/>
        <v/>
      </c>
      <c r="B199" s="38"/>
      <c r="C199" s="18"/>
      <c r="D199" s="18"/>
      <c r="E199" s="18"/>
      <c r="F199" s="18"/>
      <c r="G199" s="20"/>
      <c r="H199" s="19"/>
      <c r="I199" s="25" t="str">
        <f>IF(F199="","",IF(H199="",IFERROR(INDEX(Catalogue!$I$6:$I$55,MATCH(F199,Catalogue!$B$6:$B$55,0)),0),H199))</f>
        <v/>
      </c>
      <c r="J199" s="19"/>
      <c r="K199" s="25" t="str">
        <f t="shared" si="13"/>
        <v/>
      </c>
      <c r="L199" s="18"/>
      <c r="M199" s="18"/>
      <c r="N199" s="18"/>
      <c r="O199" s="19"/>
      <c r="P199" s="25" t="str">
        <f>IF(F199="","",IF(O199="",IFERROR(INDEX(Catalogue!$G$6:$G$55,MATCH(F199,Catalogue!$B$6:$B$55,0)),0),O199))</f>
        <v/>
      </c>
      <c r="Q199" s="25" t="str">
        <f>IF(F199="","",N(G199)*(IFERROR(INDEX(Catalogue!$E$6:$E$55,MATCH(F199,Catalogue!$B$6:$B$55,0)),0)+IFERROR(INDEX(Catalogue!$F$6:$F$55,MATCH(F199,Catalogue!$B$6:$B$55,0)),0)+IFERROR(INDEX(Catalogue!$H$6:$H$55,MATCH(F199,Catalogue!$B$6:$B$55,0)),0)))</f>
        <v/>
      </c>
      <c r="R199" s="25" t="str">
        <f t="shared" si="14"/>
        <v/>
      </c>
      <c r="S199" s="18"/>
      <c r="T199" s="24" t="str">
        <f t="shared" si="15"/>
        <v/>
      </c>
      <c r="U199" s="28" t="str">
        <f>IF(D199="","",IF(COUNTIF(D$6:D199,D199)=1,"Nouveau","Fidèle"))</f>
        <v/>
      </c>
    </row>
    <row r="200" spans="1:21" x14ac:dyDescent="0.25">
      <c r="A200" s="41" t="str">
        <f t="shared" si="12"/>
        <v/>
      </c>
      <c r="B200" s="38"/>
      <c r="C200" s="18"/>
      <c r="D200" s="18"/>
      <c r="E200" s="18"/>
      <c r="F200" s="18"/>
      <c r="G200" s="20"/>
      <c r="H200" s="19"/>
      <c r="I200" s="25" t="str">
        <f>IF(F200="","",IF(H200="",IFERROR(INDEX(Catalogue!$I$6:$I$55,MATCH(F200,Catalogue!$B$6:$B$55,0)),0),H200))</f>
        <v/>
      </c>
      <c r="J200" s="19"/>
      <c r="K200" s="25" t="str">
        <f t="shared" si="13"/>
        <v/>
      </c>
      <c r="L200" s="18"/>
      <c r="M200" s="18"/>
      <c r="N200" s="18"/>
      <c r="O200" s="19"/>
      <c r="P200" s="25" t="str">
        <f>IF(F200="","",IF(O200="",IFERROR(INDEX(Catalogue!$G$6:$G$55,MATCH(F200,Catalogue!$B$6:$B$55,0)),0),O200))</f>
        <v/>
      </c>
      <c r="Q200" s="25" t="str">
        <f>IF(F200="","",N(G200)*(IFERROR(INDEX(Catalogue!$E$6:$E$55,MATCH(F200,Catalogue!$B$6:$B$55,0)),0)+IFERROR(INDEX(Catalogue!$F$6:$F$55,MATCH(F200,Catalogue!$B$6:$B$55,0)),0)+IFERROR(INDEX(Catalogue!$H$6:$H$55,MATCH(F200,Catalogue!$B$6:$B$55,0)),0)))</f>
        <v/>
      </c>
      <c r="R200" s="25" t="str">
        <f t="shared" si="14"/>
        <v/>
      </c>
      <c r="S200" s="18"/>
      <c r="T200" s="24" t="str">
        <f t="shared" si="15"/>
        <v/>
      </c>
      <c r="U200" s="28" t="str">
        <f>IF(D200="","",IF(COUNTIF(D$6:D200,D200)=1,"Nouveau","Fidèle"))</f>
        <v/>
      </c>
    </row>
    <row r="201" spans="1:21" x14ac:dyDescent="0.25">
      <c r="A201" s="41" t="str">
        <f t="shared" si="12"/>
        <v/>
      </c>
      <c r="B201" s="38"/>
      <c r="C201" s="18"/>
      <c r="D201" s="18"/>
      <c r="E201" s="18"/>
      <c r="F201" s="18"/>
      <c r="G201" s="20"/>
      <c r="H201" s="19"/>
      <c r="I201" s="25" t="str">
        <f>IF(F201="","",IF(H201="",IFERROR(INDEX(Catalogue!$I$6:$I$55,MATCH(F201,Catalogue!$B$6:$B$55,0)),0),H201))</f>
        <v/>
      </c>
      <c r="J201" s="19"/>
      <c r="K201" s="25" t="str">
        <f t="shared" si="13"/>
        <v/>
      </c>
      <c r="L201" s="18"/>
      <c r="M201" s="18"/>
      <c r="N201" s="18"/>
      <c r="O201" s="19"/>
      <c r="P201" s="25" t="str">
        <f>IF(F201="","",IF(O201="",IFERROR(INDEX(Catalogue!$G$6:$G$55,MATCH(F201,Catalogue!$B$6:$B$55,0)),0),O201))</f>
        <v/>
      </c>
      <c r="Q201" s="25" t="str">
        <f>IF(F201="","",N(G201)*(IFERROR(INDEX(Catalogue!$E$6:$E$55,MATCH(F201,Catalogue!$B$6:$B$55,0)),0)+IFERROR(INDEX(Catalogue!$F$6:$F$55,MATCH(F201,Catalogue!$B$6:$B$55,0)),0)+IFERROR(INDEX(Catalogue!$H$6:$H$55,MATCH(F201,Catalogue!$B$6:$B$55,0)),0)))</f>
        <v/>
      </c>
      <c r="R201" s="25" t="str">
        <f t="shared" si="14"/>
        <v/>
      </c>
      <c r="S201" s="18"/>
      <c r="T201" s="24" t="str">
        <f t="shared" si="15"/>
        <v/>
      </c>
      <c r="U201" s="28" t="str">
        <f>IF(D201="","",IF(COUNTIF(D$6:D201,D201)=1,"Nouveau","Fidèle"))</f>
        <v/>
      </c>
    </row>
    <row r="202" spans="1:21" x14ac:dyDescent="0.25">
      <c r="A202" s="41" t="str">
        <f t="shared" si="12"/>
        <v/>
      </c>
      <c r="B202" s="38"/>
      <c r="C202" s="18"/>
      <c r="D202" s="18"/>
      <c r="E202" s="18"/>
      <c r="F202" s="18"/>
      <c r="G202" s="20"/>
      <c r="H202" s="19"/>
      <c r="I202" s="25" t="str">
        <f>IF(F202="","",IF(H202="",IFERROR(INDEX(Catalogue!$I$6:$I$55,MATCH(F202,Catalogue!$B$6:$B$55,0)),0),H202))</f>
        <v/>
      </c>
      <c r="J202" s="19"/>
      <c r="K202" s="25" t="str">
        <f t="shared" si="13"/>
        <v/>
      </c>
      <c r="L202" s="18"/>
      <c r="M202" s="18"/>
      <c r="N202" s="18"/>
      <c r="O202" s="19"/>
      <c r="P202" s="25" t="str">
        <f>IF(F202="","",IF(O202="",IFERROR(INDEX(Catalogue!$G$6:$G$55,MATCH(F202,Catalogue!$B$6:$B$55,0)),0),O202))</f>
        <v/>
      </c>
      <c r="Q202" s="25" t="str">
        <f>IF(F202="","",N(G202)*(IFERROR(INDEX(Catalogue!$E$6:$E$55,MATCH(F202,Catalogue!$B$6:$B$55,0)),0)+IFERROR(INDEX(Catalogue!$F$6:$F$55,MATCH(F202,Catalogue!$B$6:$B$55,0)),0)+IFERROR(INDEX(Catalogue!$H$6:$H$55,MATCH(F202,Catalogue!$B$6:$B$55,0)),0)))</f>
        <v/>
      </c>
      <c r="R202" s="25" t="str">
        <f t="shared" si="14"/>
        <v/>
      </c>
      <c r="S202" s="18"/>
      <c r="T202" s="24" t="str">
        <f t="shared" si="15"/>
        <v/>
      </c>
      <c r="U202" s="28" t="str">
        <f>IF(D202="","",IF(COUNTIF(D$6:D202,D202)=1,"Nouveau","Fidèle"))</f>
        <v/>
      </c>
    </row>
    <row r="203" spans="1:21" x14ac:dyDescent="0.25">
      <c r="A203" s="41" t="str">
        <f t="shared" si="12"/>
        <v/>
      </c>
      <c r="B203" s="38"/>
      <c r="C203" s="18"/>
      <c r="D203" s="18"/>
      <c r="E203" s="18"/>
      <c r="F203" s="18"/>
      <c r="G203" s="20"/>
      <c r="H203" s="19"/>
      <c r="I203" s="25" t="str">
        <f>IF(F203="","",IF(H203="",IFERROR(INDEX(Catalogue!$I$6:$I$55,MATCH(F203,Catalogue!$B$6:$B$55,0)),0),H203))</f>
        <v/>
      </c>
      <c r="J203" s="19"/>
      <c r="K203" s="25" t="str">
        <f t="shared" si="13"/>
        <v/>
      </c>
      <c r="L203" s="18"/>
      <c r="M203" s="18"/>
      <c r="N203" s="18"/>
      <c r="O203" s="19"/>
      <c r="P203" s="25" t="str">
        <f>IF(F203="","",IF(O203="",IFERROR(INDEX(Catalogue!$G$6:$G$55,MATCH(F203,Catalogue!$B$6:$B$55,0)),0),O203))</f>
        <v/>
      </c>
      <c r="Q203" s="25" t="str">
        <f>IF(F203="","",N(G203)*(IFERROR(INDEX(Catalogue!$E$6:$E$55,MATCH(F203,Catalogue!$B$6:$B$55,0)),0)+IFERROR(INDEX(Catalogue!$F$6:$F$55,MATCH(F203,Catalogue!$B$6:$B$55,0)),0)+IFERROR(INDEX(Catalogue!$H$6:$H$55,MATCH(F203,Catalogue!$B$6:$B$55,0)),0)))</f>
        <v/>
      </c>
      <c r="R203" s="25" t="str">
        <f t="shared" si="14"/>
        <v/>
      </c>
      <c r="S203" s="18"/>
      <c r="T203" s="24" t="str">
        <f t="shared" si="15"/>
        <v/>
      </c>
      <c r="U203" s="28" t="str">
        <f>IF(D203="","",IF(COUNTIF(D$6:D203,D203)=1,"Nouveau","Fidèle"))</f>
        <v/>
      </c>
    </row>
    <row r="204" spans="1:21" x14ac:dyDescent="0.25">
      <c r="A204" s="41" t="str">
        <f t="shared" si="12"/>
        <v/>
      </c>
      <c r="B204" s="38"/>
      <c r="C204" s="18"/>
      <c r="D204" s="18"/>
      <c r="E204" s="18"/>
      <c r="F204" s="18"/>
      <c r="G204" s="20"/>
      <c r="H204" s="19"/>
      <c r="I204" s="25" t="str">
        <f>IF(F204="","",IF(H204="",IFERROR(INDEX(Catalogue!$I$6:$I$55,MATCH(F204,Catalogue!$B$6:$B$55,0)),0),H204))</f>
        <v/>
      </c>
      <c r="J204" s="19"/>
      <c r="K204" s="25" t="str">
        <f t="shared" si="13"/>
        <v/>
      </c>
      <c r="L204" s="18"/>
      <c r="M204" s="18"/>
      <c r="N204" s="18"/>
      <c r="O204" s="19"/>
      <c r="P204" s="25" t="str">
        <f>IF(F204="","",IF(O204="",IFERROR(INDEX(Catalogue!$G$6:$G$55,MATCH(F204,Catalogue!$B$6:$B$55,0)),0),O204))</f>
        <v/>
      </c>
      <c r="Q204" s="25" t="str">
        <f>IF(F204="","",N(G204)*(IFERROR(INDEX(Catalogue!$E$6:$E$55,MATCH(F204,Catalogue!$B$6:$B$55,0)),0)+IFERROR(INDEX(Catalogue!$F$6:$F$55,MATCH(F204,Catalogue!$B$6:$B$55,0)),0)+IFERROR(INDEX(Catalogue!$H$6:$H$55,MATCH(F204,Catalogue!$B$6:$B$55,0)),0)))</f>
        <v/>
      </c>
      <c r="R204" s="25" t="str">
        <f t="shared" si="14"/>
        <v/>
      </c>
      <c r="S204" s="18"/>
      <c r="T204" s="24" t="str">
        <f t="shared" si="15"/>
        <v/>
      </c>
      <c r="U204" s="28" t="str">
        <f>IF(D204="","",IF(COUNTIF(D$6:D204,D204)=1,"Nouveau","Fidèle"))</f>
        <v/>
      </c>
    </row>
    <row r="205" spans="1:21" x14ac:dyDescent="0.25">
      <c r="A205" s="41" t="str">
        <f t="shared" si="12"/>
        <v/>
      </c>
      <c r="B205" s="38"/>
      <c r="C205" s="18"/>
      <c r="D205" s="18"/>
      <c r="E205" s="18"/>
      <c r="F205" s="18"/>
      <c r="G205" s="20"/>
      <c r="H205" s="19"/>
      <c r="I205" s="25" t="str">
        <f>IF(F205="","",IF(H205="",IFERROR(INDEX(Catalogue!$I$6:$I$55,MATCH(F205,Catalogue!$B$6:$B$55,0)),0),H205))</f>
        <v/>
      </c>
      <c r="J205" s="19"/>
      <c r="K205" s="25" t="str">
        <f t="shared" si="13"/>
        <v/>
      </c>
      <c r="L205" s="18"/>
      <c r="M205" s="18"/>
      <c r="N205" s="18"/>
      <c r="O205" s="19"/>
      <c r="P205" s="25" t="str">
        <f>IF(F205="","",IF(O205="",IFERROR(INDEX(Catalogue!$G$6:$G$55,MATCH(F205,Catalogue!$B$6:$B$55,0)),0),O205))</f>
        <v/>
      </c>
      <c r="Q205" s="25" t="str">
        <f>IF(F205="","",N(G205)*(IFERROR(INDEX(Catalogue!$E$6:$E$55,MATCH(F205,Catalogue!$B$6:$B$55,0)),0)+IFERROR(INDEX(Catalogue!$F$6:$F$55,MATCH(F205,Catalogue!$B$6:$B$55,0)),0)+IFERROR(INDEX(Catalogue!$H$6:$H$55,MATCH(F205,Catalogue!$B$6:$B$55,0)),0)))</f>
        <v/>
      </c>
      <c r="R205" s="25" t="str">
        <f t="shared" si="14"/>
        <v/>
      </c>
      <c r="S205" s="18"/>
      <c r="T205" s="24" t="str">
        <f t="shared" si="15"/>
        <v/>
      </c>
      <c r="U205" s="28" t="str">
        <f>IF(D205="","",IF(COUNTIF(D$6:D205,D205)=1,"Nouveau","Fidèle"))</f>
        <v/>
      </c>
    </row>
    <row r="206" spans="1:21" x14ac:dyDescent="0.25">
      <c r="A206" s="41" t="str">
        <f t="shared" si="12"/>
        <v/>
      </c>
      <c r="B206" s="38"/>
      <c r="C206" s="18"/>
      <c r="D206" s="18"/>
      <c r="E206" s="18"/>
      <c r="F206" s="18"/>
      <c r="G206" s="20"/>
      <c r="H206" s="19"/>
      <c r="I206" s="25" t="str">
        <f>IF(F206="","",IF(H206="",IFERROR(INDEX(Catalogue!$I$6:$I$55,MATCH(F206,Catalogue!$B$6:$B$55,0)),0),H206))</f>
        <v/>
      </c>
      <c r="J206" s="19"/>
      <c r="K206" s="25" t="str">
        <f t="shared" si="13"/>
        <v/>
      </c>
      <c r="L206" s="18"/>
      <c r="M206" s="18"/>
      <c r="N206" s="18"/>
      <c r="O206" s="19"/>
      <c r="P206" s="25" t="str">
        <f>IF(F206="","",IF(O206="",IFERROR(INDEX(Catalogue!$G$6:$G$55,MATCH(F206,Catalogue!$B$6:$B$55,0)),0),O206))</f>
        <v/>
      </c>
      <c r="Q206" s="25" t="str">
        <f>IF(F206="","",N(G206)*(IFERROR(INDEX(Catalogue!$E$6:$E$55,MATCH(F206,Catalogue!$B$6:$B$55,0)),0)+IFERROR(INDEX(Catalogue!$F$6:$F$55,MATCH(F206,Catalogue!$B$6:$B$55,0)),0)+IFERROR(INDEX(Catalogue!$H$6:$H$55,MATCH(F206,Catalogue!$B$6:$B$55,0)),0)))</f>
        <v/>
      </c>
      <c r="R206" s="25" t="str">
        <f t="shared" si="14"/>
        <v/>
      </c>
      <c r="S206" s="18"/>
      <c r="T206" s="24" t="str">
        <f t="shared" si="15"/>
        <v/>
      </c>
      <c r="U206" s="28" t="str">
        <f>IF(D206="","",IF(COUNTIF(D$6:D206,D206)=1,"Nouveau","Fidèle"))</f>
        <v/>
      </c>
    </row>
    <row r="207" spans="1:21" x14ac:dyDescent="0.25">
      <c r="A207" s="41" t="str">
        <f t="shared" si="12"/>
        <v/>
      </c>
      <c r="B207" s="38"/>
      <c r="C207" s="18"/>
      <c r="D207" s="18"/>
      <c r="E207" s="18"/>
      <c r="F207" s="18"/>
      <c r="G207" s="20"/>
      <c r="H207" s="19"/>
      <c r="I207" s="25" t="str">
        <f>IF(F207="","",IF(H207="",IFERROR(INDEX(Catalogue!$I$6:$I$55,MATCH(F207,Catalogue!$B$6:$B$55,0)),0),H207))</f>
        <v/>
      </c>
      <c r="J207" s="19"/>
      <c r="K207" s="25" t="str">
        <f t="shared" si="13"/>
        <v/>
      </c>
      <c r="L207" s="18"/>
      <c r="M207" s="18"/>
      <c r="N207" s="18"/>
      <c r="O207" s="19"/>
      <c r="P207" s="25" t="str">
        <f>IF(F207="","",IF(O207="",IFERROR(INDEX(Catalogue!$G$6:$G$55,MATCH(F207,Catalogue!$B$6:$B$55,0)),0),O207))</f>
        <v/>
      </c>
      <c r="Q207" s="25" t="str">
        <f>IF(F207="","",N(G207)*(IFERROR(INDEX(Catalogue!$E$6:$E$55,MATCH(F207,Catalogue!$B$6:$B$55,0)),0)+IFERROR(INDEX(Catalogue!$F$6:$F$55,MATCH(F207,Catalogue!$B$6:$B$55,0)),0)+IFERROR(INDEX(Catalogue!$H$6:$H$55,MATCH(F207,Catalogue!$B$6:$B$55,0)),0)))</f>
        <v/>
      </c>
      <c r="R207" s="25" t="str">
        <f t="shared" si="14"/>
        <v/>
      </c>
      <c r="S207" s="18"/>
      <c r="T207" s="24" t="str">
        <f t="shared" si="15"/>
        <v/>
      </c>
      <c r="U207" s="28" t="str">
        <f>IF(D207="","",IF(COUNTIF(D$6:D207,D207)=1,"Nouveau","Fidèle"))</f>
        <v/>
      </c>
    </row>
    <row r="208" spans="1:21" x14ac:dyDescent="0.25">
      <c r="A208" s="41" t="str">
        <f t="shared" si="12"/>
        <v/>
      </c>
      <c r="B208" s="38"/>
      <c r="C208" s="18"/>
      <c r="D208" s="18"/>
      <c r="E208" s="18"/>
      <c r="F208" s="18"/>
      <c r="G208" s="20"/>
      <c r="H208" s="19"/>
      <c r="I208" s="25" t="str">
        <f>IF(F208="","",IF(H208="",IFERROR(INDEX(Catalogue!$I$6:$I$55,MATCH(F208,Catalogue!$B$6:$B$55,0)),0),H208))</f>
        <v/>
      </c>
      <c r="J208" s="19"/>
      <c r="K208" s="25" t="str">
        <f t="shared" si="13"/>
        <v/>
      </c>
      <c r="L208" s="18"/>
      <c r="M208" s="18"/>
      <c r="N208" s="18"/>
      <c r="O208" s="19"/>
      <c r="P208" s="25" t="str">
        <f>IF(F208="","",IF(O208="",IFERROR(INDEX(Catalogue!$G$6:$G$55,MATCH(F208,Catalogue!$B$6:$B$55,0)),0),O208))</f>
        <v/>
      </c>
      <c r="Q208" s="25" t="str">
        <f>IF(F208="","",N(G208)*(IFERROR(INDEX(Catalogue!$E$6:$E$55,MATCH(F208,Catalogue!$B$6:$B$55,0)),0)+IFERROR(INDEX(Catalogue!$F$6:$F$55,MATCH(F208,Catalogue!$B$6:$B$55,0)),0)+IFERROR(INDEX(Catalogue!$H$6:$H$55,MATCH(F208,Catalogue!$B$6:$B$55,0)),0)))</f>
        <v/>
      </c>
      <c r="R208" s="25" t="str">
        <f t="shared" si="14"/>
        <v/>
      </c>
      <c r="S208" s="18"/>
      <c r="T208" s="24" t="str">
        <f t="shared" si="15"/>
        <v/>
      </c>
      <c r="U208" s="28" t="str">
        <f>IF(D208="","",IF(COUNTIF(D$6:D208,D208)=1,"Nouveau","Fidèle"))</f>
        <v/>
      </c>
    </row>
    <row r="209" spans="1:21" x14ac:dyDescent="0.25">
      <c r="A209" s="41" t="str">
        <f t="shared" si="12"/>
        <v/>
      </c>
      <c r="B209" s="38"/>
      <c r="C209" s="18"/>
      <c r="D209" s="18"/>
      <c r="E209" s="18"/>
      <c r="F209" s="18"/>
      <c r="G209" s="20"/>
      <c r="H209" s="19"/>
      <c r="I209" s="25" t="str">
        <f>IF(F209="","",IF(H209="",IFERROR(INDEX(Catalogue!$I$6:$I$55,MATCH(F209,Catalogue!$B$6:$B$55,0)),0),H209))</f>
        <v/>
      </c>
      <c r="J209" s="19"/>
      <c r="K209" s="25" t="str">
        <f t="shared" si="13"/>
        <v/>
      </c>
      <c r="L209" s="18"/>
      <c r="M209" s="18"/>
      <c r="N209" s="18"/>
      <c r="O209" s="19"/>
      <c r="P209" s="25" t="str">
        <f>IF(F209="","",IF(O209="",IFERROR(INDEX(Catalogue!$G$6:$G$55,MATCH(F209,Catalogue!$B$6:$B$55,0)),0),O209))</f>
        <v/>
      </c>
      <c r="Q209" s="25" t="str">
        <f>IF(F209="","",N(G209)*(IFERROR(INDEX(Catalogue!$E$6:$E$55,MATCH(F209,Catalogue!$B$6:$B$55,0)),0)+IFERROR(INDEX(Catalogue!$F$6:$F$55,MATCH(F209,Catalogue!$B$6:$B$55,0)),0)+IFERROR(INDEX(Catalogue!$H$6:$H$55,MATCH(F209,Catalogue!$B$6:$B$55,0)),0)))</f>
        <v/>
      </c>
      <c r="R209" s="25" t="str">
        <f t="shared" si="14"/>
        <v/>
      </c>
      <c r="S209" s="18"/>
      <c r="T209" s="24" t="str">
        <f t="shared" si="15"/>
        <v/>
      </c>
      <c r="U209" s="28" t="str">
        <f>IF(D209="","",IF(COUNTIF(D$6:D209,D209)=1,"Nouveau","Fidèle"))</f>
        <v/>
      </c>
    </row>
    <row r="210" spans="1:21" x14ac:dyDescent="0.25">
      <c r="A210" s="41" t="str">
        <f t="shared" si="12"/>
        <v/>
      </c>
      <c r="B210" s="38"/>
      <c r="C210" s="18"/>
      <c r="D210" s="18"/>
      <c r="E210" s="18"/>
      <c r="F210" s="18"/>
      <c r="G210" s="20"/>
      <c r="H210" s="19"/>
      <c r="I210" s="25" t="str">
        <f>IF(F210="","",IF(H210="",IFERROR(INDEX(Catalogue!$I$6:$I$55,MATCH(F210,Catalogue!$B$6:$B$55,0)),0),H210))</f>
        <v/>
      </c>
      <c r="J210" s="19"/>
      <c r="K210" s="25" t="str">
        <f t="shared" si="13"/>
        <v/>
      </c>
      <c r="L210" s="18"/>
      <c r="M210" s="18"/>
      <c r="N210" s="18"/>
      <c r="O210" s="19"/>
      <c r="P210" s="25" t="str">
        <f>IF(F210="","",IF(O210="",IFERROR(INDEX(Catalogue!$G$6:$G$55,MATCH(F210,Catalogue!$B$6:$B$55,0)),0),O210))</f>
        <v/>
      </c>
      <c r="Q210" s="25" t="str">
        <f>IF(F210="","",N(G210)*(IFERROR(INDEX(Catalogue!$E$6:$E$55,MATCH(F210,Catalogue!$B$6:$B$55,0)),0)+IFERROR(INDEX(Catalogue!$F$6:$F$55,MATCH(F210,Catalogue!$B$6:$B$55,0)),0)+IFERROR(INDEX(Catalogue!$H$6:$H$55,MATCH(F210,Catalogue!$B$6:$B$55,0)),0)))</f>
        <v/>
      </c>
      <c r="R210" s="25" t="str">
        <f t="shared" si="14"/>
        <v/>
      </c>
      <c r="S210" s="18"/>
      <c r="T210" s="24" t="str">
        <f t="shared" si="15"/>
        <v/>
      </c>
      <c r="U210" s="28" t="str">
        <f>IF(D210="","",IF(COUNTIF(D$6:D210,D210)=1,"Nouveau","Fidèle"))</f>
        <v/>
      </c>
    </row>
    <row r="211" spans="1:21" x14ac:dyDescent="0.25">
      <c r="A211" s="41" t="str">
        <f t="shared" si="12"/>
        <v/>
      </c>
      <c r="B211" s="38"/>
      <c r="C211" s="18"/>
      <c r="D211" s="18"/>
      <c r="E211" s="18"/>
      <c r="F211" s="18"/>
      <c r="G211" s="20"/>
      <c r="H211" s="19"/>
      <c r="I211" s="25" t="str">
        <f>IF(F211="","",IF(H211="",IFERROR(INDEX(Catalogue!$I$6:$I$55,MATCH(F211,Catalogue!$B$6:$B$55,0)),0),H211))</f>
        <v/>
      </c>
      <c r="J211" s="19"/>
      <c r="K211" s="25" t="str">
        <f t="shared" si="13"/>
        <v/>
      </c>
      <c r="L211" s="18"/>
      <c r="M211" s="18"/>
      <c r="N211" s="18"/>
      <c r="O211" s="19"/>
      <c r="P211" s="25" t="str">
        <f>IF(F211="","",IF(O211="",IFERROR(INDEX(Catalogue!$G$6:$G$55,MATCH(F211,Catalogue!$B$6:$B$55,0)),0),O211))</f>
        <v/>
      </c>
      <c r="Q211" s="25" t="str">
        <f>IF(F211="","",N(G211)*(IFERROR(INDEX(Catalogue!$E$6:$E$55,MATCH(F211,Catalogue!$B$6:$B$55,0)),0)+IFERROR(INDEX(Catalogue!$F$6:$F$55,MATCH(F211,Catalogue!$B$6:$B$55,0)),0)+IFERROR(INDEX(Catalogue!$H$6:$H$55,MATCH(F211,Catalogue!$B$6:$B$55,0)),0)))</f>
        <v/>
      </c>
      <c r="R211" s="25" t="str">
        <f t="shared" si="14"/>
        <v/>
      </c>
      <c r="S211" s="18"/>
      <c r="T211" s="24" t="str">
        <f t="shared" si="15"/>
        <v/>
      </c>
      <c r="U211" s="28" t="str">
        <f>IF(D211="","",IF(COUNTIF(D$6:D211,D211)=1,"Nouveau","Fidèle"))</f>
        <v/>
      </c>
    </row>
    <row r="212" spans="1:21" x14ac:dyDescent="0.25">
      <c r="A212" s="41" t="str">
        <f t="shared" si="12"/>
        <v/>
      </c>
      <c r="B212" s="38"/>
      <c r="C212" s="18"/>
      <c r="D212" s="18"/>
      <c r="E212" s="18"/>
      <c r="F212" s="18"/>
      <c r="G212" s="20"/>
      <c r="H212" s="19"/>
      <c r="I212" s="25" t="str">
        <f>IF(F212="","",IF(H212="",IFERROR(INDEX(Catalogue!$I$6:$I$55,MATCH(F212,Catalogue!$B$6:$B$55,0)),0),H212))</f>
        <v/>
      </c>
      <c r="J212" s="19"/>
      <c r="K212" s="25" t="str">
        <f t="shared" si="13"/>
        <v/>
      </c>
      <c r="L212" s="18"/>
      <c r="M212" s="18"/>
      <c r="N212" s="18"/>
      <c r="O212" s="19"/>
      <c r="P212" s="25" t="str">
        <f>IF(F212="","",IF(O212="",IFERROR(INDEX(Catalogue!$G$6:$G$55,MATCH(F212,Catalogue!$B$6:$B$55,0)),0),O212))</f>
        <v/>
      </c>
      <c r="Q212" s="25" t="str">
        <f>IF(F212="","",N(G212)*(IFERROR(INDEX(Catalogue!$E$6:$E$55,MATCH(F212,Catalogue!$B$6:$B$55,0)),0)+IFERROR(INDEX(Catalogue!$F$6:$F$55,MATCH(F212,Catalogue!$B$6:$B$55,0)),0)+IFERROR(INDEX(Catalogue!$H$6:$H$55,MATCH(F212,Catalogue!$B$6:$B$55,0)),0)))</f>
        <v/>
      </c>
      <c r="R212" s="25" t="str">
        <f t="shared" si="14"/>
        <v/>
      </c>
      <c r="S212" s="18"/>
      <c r="T212" s="24" t="str">
        <f t="shared" si="15"/>
        <v/>
      </c>
      <c r="U212" s="28" t="str">
        <f>IF(D212="","",IF(COUNTIF(D$6:D212,D212)=1,"Nouveau","Fidèle"))</f>
        <v/>
      </c>
    </row>
    <row r="213" spans="1:21" x14ac:dyDescent="0.25">
      <c r="A213" s="41" t="str">
        <f t="shared" si="12"/>
        <v/>
      </c>
      <c r="B213" s="38"/>
      <c r="C213" s="18"/>
      <c r="D213" s="18"/>
      <c r="E213" s="18"/>
      <c r="F213" s="18"/>
      <c r="G213" s="20"/>
      <c r="H213" s="19"/>
      <c r="I213" s="25" t="str">
        <f>IF(F213="","",IF(H213="",IFERROR(INDEX(Catalogue!$I$6:$I$55,MATCH(F213,Catalogue!$B$6:$B$55,0)),0),H213))</f>
        <v/>
      </c>
      <c r="J213" s="19"/>
      <c r="K213" s="25" t="str">
        <f t="shared" si="13"/>
        <v/>
      </c>
      <c r="L213" s="18"/>
      <c r="M213" s="18"/>
      <c r="N213" s="18"/>
      <c r="O213" s="19"/>
      <c r="P213" s="25" t="str">
        <f>IF(F213="","",IF(O213="",IFERROR(INDEX(Catalogue!$G$6:$G$55,MATCH(F213,Catalogue!$B$6:$B$55,0)),0),O213))</f>
        <v/>
      </c>
      <c r="Q213" s="25" t="str">
        <f>IF(F213="","",N(G213)*(IFERROR(INDEX(Catalogue!$E$6:$E$55,MATCH(F213,Catalogue!$B$6:$B$55,0)),0)+IFERROR(INDEX(Catalogue!$F$6:$F$55,MATCH(F213,Catalogue!$B$6:$B$55,0)),0)+IFERROR(INDEX(Catalogue!$H$6:$H$55,MATCH(F213,Catalogue!$B$6:$B$55,0)),0)))</f>
        <v/>
      </c>
      <c r="R213" s="25" t="str">
        <f t="shared" si="14"/>
        <v/>
      </c>
      <c r="S213" s="18"/>
      <c r="T213" s="24" t="str">
        <f t="shared" si="15"/>
        <v/>
      </c>
      <c r="U213" s="28" t="str">
        <f>IF(D213="","",IF(COUNTIF(D$6:D213,D213)=1,"Nouveau","Fidèle"))</f>
        <v/>
      </c>
    </row>
    <row r="214" spans="1:21" x14ac:dyDescent="0.25">
      <c r="A214" s="41" t="str">
        <f t="shared" si="12"/>
        <v/>
      </c>
      <c r="B214" s="38"/>
      <c r="C214" s="18"/>
      <c r="D214" s="18"/>
      <c r="E214" s="18"/>
      <c r="F214" s="18"/>
      <c r="G214" s="20"/>
      <c r="H214" s="19"/>
      <c r="I214" s="25" t="str">
        <f>IF(F214="","",IF(H214="",IFERROR(INDEX(Catalogue!$I$6:$I$55,MATCH(F214,Catalogue!$B$6:$B$55,0)),0),H214))</f>
        <v/>
      </c>
      <c r="J214" s="19"/>
      <c r="K214" s="25" t="str">
        <f t="shared" si="13"/>
        <v/>
      </c>
      <c r="L214" s="18"/>
      <c r="M214" s="18"/>
      <c r="N214" s="18"/>
      <c r="O214" s="19"/>
      <c r="P214" s="25" t="str">
        <f>IF(F214="","",IF(O214="",IFERROR(INDEX(Catalogue!$G$6:$G$55,MATCH(F214,Catalogue!$B$6:$B$55,0)),0),O214))</f>
        <v/>
      </c>
      <c r="Q214" s="25" t="str">
        <f>IF(F214="","",N(G214)*(IFERROR(INDEX(Catalogue!$E$6:$E$55,MATCH(F214,Catalogue!$B$6:$B$55,0)),0)+IFERROR(INDEX(Catalogue!$F$6:$F$55,MATCH(F214,Catalogue!$B$6:$B$55,0)),0)+IFERROR(INDEX(Catalogue!$H$6:$H$55,MATCH(F214,Catalogue!$B$6:$B$55,0)),0)))</f>
        <v/>
      </c>
      <c r="R214" s="25" t="str">
        <f t="shared" si="14"/>
        <v/>
      </c>
      <c r="S214" s="18"/>
      <c r="T214" s="24" t="str">
        <f t="shared" si="15"/>
        <v/>
      </c>
      <c r="U214" s="28" t="str">
        <f>IF(D214="","",IF(COUNTIF(D$6:D214,D214)=1,"Nouveau","Fidèle"))</f>
        <v/>
      </c>
    </row>
    <row r="215" spans="1:21" x14ac:dyDescent="0.25">
      <c r="A215" s="41" t="str">
        <f t="shared" si="12"/>
        <v/>
      </c>
      <c r="B215" s="38"/>
      <c r="C215" s="18"/>
      <c r="D215" s="18"/>
      <c r="E215" s="18"/>
      <c r="F215" s="18"/>
      <c r="G215" s="20"/>
      <c r="H215" s="19"/>
      <c r="I215" s="25" t="str">
        <f>IF(F215="","",IF(H215="",IFERROR(INDEX(Catalogue!$I$6:$I$55,MATCH(F215,Catalogue!$B$6:$B$55,0)),0),H215))</f>
        <v/>
      </c>
      <c r="J215" s="19"/>
      <c r="K215" s="25" t="str">
        <f t="shared" si="13"/>
        <v/>
      </c>
      <c r="L215" s="18"/>
      <c r="M215" s="18"/>
      <c r="N215" s="18"/>
      <c r="O215" s="19"/>
      <c r="P215" s="25" t="str">
        <f>IF(F215="","",IF(O215="",IFERROR(INDEX(Catalogue!$G$6:$G$55,MATCH(F215,Catalogue!$B$6:$B$55,0)),0),O215))</f>
        <v/>
      </c>
      <c r="Q215" s="25" t="str">
        <f>IF(F215="","",N(G215)*(IFERROR(INDEX(Catalogue!$E$6:$E$55,MATCH(F215,Catalogue!$B$6:$B$55,0)),0)+IFERROR(INDEX(Catalogue!$F$6:$F$55,MATCH(F215,Catalogue!$B$6:$B$55,0)),0)+IFERROR(INDEX(Catalogue!$H$6:$H$55,MATCH(F215,Catalogue!$B$6:$B$55,0)),0)))</f>
        <v/>
      </c>
      <c r="R215" s="25" t="str">
        <f t="shared" si="14"/>
        <v/>
      </c>
      <c r="S215" s="18"/>
      <c r="T215" s="24" t="str">
        <f t="shared" si="15"/>
        <v/>
      </c>
      <c r="U215" s="28" t="str">
        <f>IF(D215="","",IF(COUNTIF(D$6:D215,D215)=1,"Nouveau","Fidèle"))</f>
        <v/>
      </c>
    </row>
    <row r="216" spans="1:21" x14ac:dyDescent="0.25">
      <c r="A216" s="41" t="str">
        <f t="shared" si="12"/>
        <v/>
      </c>
      <c r="B216" s="38"/>
      <c r="C216" s="18"/>
      <c r="D216" s="18"/>
      <c r="E216" s="18"/>
      <c r="F216" s="18"/>
      <c r="G216" s="20"/>
      <c r="H216" s="19"/>
      <c r="I216" s="25" t="str">
        <f>IF(F216="","",IF(H216="",IFERROR(INDEX(Catalogue!$I$6:$I$55,MATCH(F216,Catalogue!$B$6:$B$55,0)),0),H216))</f>
        <v/>
      </c>
      <c r="J216" s="19"/>
      <c r="K216" s="25" t="str">
        <f t="shared" si="13"/>
        <v/>
      </c>
      <c r="L216" s="18"/>
      <c r="M216" s="18"/>
      <c r="N216" s="18"/>
      <c r="O216" s="19"/>
      <c r="P216" s="25" t="str">
        <f>IF(F216="","",IF(O216="",IFERROR(INDEX(Catalogue!$G$6:$G$55,MATCH(F216,Catalogue!$B$6:$B$55,0)),0),O216))</f>
        <v/>
      </c>
      <c r="Q216" s="25" t="str">
        <f>IF(F216="","",N(G216)*(IFERROR(INDEX(Catalogue!$E$6:$E$55,MATCH(F216,Catalogue!$B$6:$B$55,0)),0)+IFERROR(INDEX(Catalogue!$F$6:$F$55,MATCH(F216,Catalogue!$B$6:$B$55,0)),0)+IFERROR(INDEX(Catalogue!$H$6:$H$55,MATCH(F216,Catalogue!$B$6:$B$55,0)),0)))</f>
        <v/>
      </c>
      <c r="R216" s="25" t="str">
        <f t="shared" si="14"/>
        <v/>
      </c>
      <c r="S216" s="18"/>
      <c r="T216" s="24" t="str">
        <f t="shared" si="15"/>
        <v/>
      </c>
      <c r="U216" s="28" t="str">
        <f>IF(D216="","",IF(COUNTIF(D$6:D216,D216)=1,"Nouveau","Fidèle"))</f>
        <v/>
      </c>
    </row>
    <row r="217" spans="1:21" x14ac:dyDescent="0.25">
      <c r="A217" s="41" t="str">
        <f t="shared" si="12"/>
        <v/>
      </c>
      <c r="B217" s="38"/>
      <c r="C217" s="18"/>
      <c r="D217" s="18"/>
      <c r="E217" s="18"/>
      <c r="F217" s="18"/>
      <c r="G217" s="20"/>
      <c r="H217" s="19"/>
      <c r="I217" s="25" t="str">
        <f>IF(F217="","",IF(H217="",IFERROR(INDEX(Catalogue!$I$6:$I$55,MATCH(F217,Catalogue!$B$6:$B$55,0)),0),H217))</f>
        <v/>
      </c>
      <c r="J217" s="19"/>
      <c r="K217" s="25" t="str">
        <f t="shared" si="13"/>
        <v/>
      </c>
      <c r="L217" s="18"/>
      <c r="M217" s="18"/>
      <c r="N217" s="18"/>
      <c r="O217" s="19"/>
      <c r="P217" s="25" t="str">
        <f>IF(F217="","",IF(O217="",IFERROR(INDEX(Catalogue!$G$6:$G$55,MATCH(F217,Catalogue!$B$6:$B$55,0)),0),O217))</f>
        <v/>
      </c>
      <c r="Q217" s="25" t="str">
        <f>IF(F217="","",N(G217)*(IFERROR(INDEX(Catalogue!$E$6:$E$55,MATCH(F217,Catalogue!$B$6:$B$55,0)),0)+IFERROR(INDEX(Catalogue!$F$6:$F$55,MATCH(F217,Catalogue!$B$6:$B$55,0)),0)+IFERROR(INDEX(Catalogue!$H$6:$H$55,MATCH(F217,Catalogue!$B$6:$B$55,0)),0)))</f>
        <v/>
      </c>
      <c r="R217" s="25" t="str">
        <f t="shared" si="14"/>
        <v/>
      </c>
      <c r="S217" s="18"/>
      <c r="T217" s="24" t="str">
        <f t="shared" si="15"/>
        <v/>
      </c>
      <c r="U217" s="28" t="str">
        <f>IF(D217="","",IF(COUNTIF(D$6:D217,D217)=1,"Nouveau","Fidèle"))</f>
        <v/>
      </c>
    </row>
    <row r="218" spans="1:21" x14ac:dyDescent="0.25">
      <c r="A218" s="41" t="str">
        <f t="shared" si="12"/>
        <v/>
      </c>
      <c r="B218" s="38"/>
      <c r="C218" s="18"/>
      <c r="D218" s="18"/>
      <c r="E218" s="18"/>
      <c r="F218" s="18"/>
      <c r="G218" s="20"/>
      <c r="H218" s="19"/>
      <c r="I218" s="25" t="str">
        <f>IF(F218="","",IF(H218="",IFERROR(INDEX(Catalogue!$I$6:$I$55,MATCH(F218,Catalogue!$B$6:$B$55,0)),0),H218))</f>
        <v/>
      </c>
      <c r="J218" s="19"/>
      <c r="K218" s="25" t="str">
        <f t="shared" si="13"/>
        <v/>
      </c>
      <c r="L218" s="18"/>
      <c r="M218" s="18"/>
      <c r="N218" s="18"/>
      <c r="O218" s="19"/>
      <c r="P218" s="25" t="str">
        <f>IF(F218="","",IF(O218="",IFERROR(INDEX(Catalogue!$G$6:$G$55,MATCH(F218,Catalogue!$B$6:$B$55,0)),0),O218))</f>
        <v/>
      </c>
      <c r="Q218" s="25" t="str">
        <f>IF(F218="","",N(G218)*(IFERROR(INDEX(Catalogue!$E$6:$E$55,MATCH(F218,Catalogue!$B$6:$B$55,0)),0)+IFERROR(INDEX(Catalogue!$F$6:$F$55,MATCH(F218,Catalogue!$B$6:$B$55,0)),0)+IFERROR(INDEX(Catalogue!$H$6:$H$55,MATCH(F218,Catalogue!$B$6:$B$55,0)),0)))</f>
        <v/>
      </c>
      <c r="R218" s="25" t="str">
        <f t="shared" si="14"/>
        <v/>
      </c>
      <c r="S218" s="18"/>
      <c r="T218" s="24" t="str">
        <f t="shared" si="15"/>
        <v/>
      </c>
      <c r="U218" s="28" t="str">
        <f>IF(D218="","",IF(COUNTIF(D$6:D218,D218)=1,"Nouveau","Fidèle"))</f>
        <v/>
      </c>
    </row>
    <row r="219" spans="1:21" x14ac:dyDescent="0.25">
      <c r="A219" s="41" t="str">
        <f t="shared" si="12"/>
        <v/>
      </c>
      <c r="B219" s="38"/>
      <c r="C219" s="18"/>
      <c r="D219" s="18"/>
      <c r="E219" s="18"/>
      <c r="F219" s="18"/>
      <c r="G219" s="20"/>
      <c r="H219" s="19"/>
      <c r="I219" s="25" t="str">
        <f>IF(F219="","",IF(H219="",IFERROR(INDEX(Catalogue!$I$6:$I$55,MATCH(F219,Catalogue!$B$6:$B$55,0)),0),H219))</f>
        <v/>
      </c>
      <c r="J219" s="19"/>
      <c r="K219" s="25" t="str">
        <f t="shared" si="13"/>
        <v/>
      </c>
      <c r="L219" s="18"/>
      <c r="M219" s="18"/>
      <c r="N219" s="18"/>
      <c r="O219" s="19"/>
      <c r="P219" s="25" t="str">
        <f>IF(F219="","",IF(O219="",IFERROR(INDEX(Catalogue!$G$6:$G$55,MATCH(F219,Catalogue!$B$6:$B$55,0)),0),O219))</f>
        <v/>
      </c>
      <c r="Q219" s="25" t="str">
        <f>IF(F219="","",N(G219)*(IFERROR(INDEX(Catalogue!$E$6:$E$55,MATCH(F219,Catalogue!$B$6:$B$55,0)),0)+IFERROR(INDEX(Catalogue!$F$6:$F$55,MATCH(F219,Catalogue!$B$6:$B$55,0)),0)+IFERROR(INDEX(Catalogue!$H$6:$H$55,MATCH(F219,Catalogue!$B$6:$B$55,0)),0)))</f>
        <v/>
      </c>
      <c r="R219" s="25" t="str">
        <f t="shared" si="14"/>
        <v/>
      </c>
      <c r="S219" s="18"/>
      <c r="T219" s="24" t="str">
        <f t="shared" si="15"/>
        <v/>
      </c>
      <c r="U219" s="28" t="str">
        <f>IF(D219="","",IF(COUNTIF(D$6:D219,D219)=1,"Nouveau","Fidèle"))</f>
        <v/>
      </c>
    </row>
    <row r="220" spans="1:21" x14ac:dyDescent="0.25">
      <c r="A220" s="41" t="str">
        <f t="shared" si="12"/>
        <v/>
      </c>
      <c r="B220" s="38"/>
      <c r="C220" s="18"/>
      <c r="D220" s="18"/>
      <c r="E220" s="18"/>
      <c r="F220" s="18"/>
      <c r="G220" s="20"/>
      <c r="H220" s="19"/>
      <c r="I220" s="25" t="str">
        <f>IF(F220="","",IF(H220="",IFERROR(INDEX(Catalogue!$I$6:$I$55,MATCH(F220,Catalogue!$B$6:$B$55,0)),0),H220))</f>
        <v/>
      </c>
      <c r="J220" s="19"/>
      <c r="K220" s="25" t="str">
        <f t="shared" si="13"/>
        <v/>
      </c>
      <c r="L220" s="18"/>
      <c r="M220" s="18"/>
      <c r="N220" s="18"/>
      <c r="O220" s="19"/>
      <c r="P220" s="25" t="str">
        <f>IF(F220="","",IF(O220="",IFERROR(INDEX(Catalogue!$G$6:$G$55,MATCH(F220,Catalogue!$B$6:$B$55,0)),0),O220))</f>
        <v/>
      </c>
      <c r="Q220" s="25" t="str">
        <f>IF(F220="","",N(G220)*(IFERROR(INDEX(Catalogue!$E$6:$E$55,MATCH(F220,Catalogue!$B$6:$B$55,0)),0)+IFERROR(INDEX(Catalogue!$F$6:$F$55,MATCH(F220,Catalogue!$B$6:$B$55,0)),0)+IFERROR(INDEX(Catalogue!$H$6:$H$55,MATCH(F220,Catalogue!$B$6:$B$55,0)),0)))</f>
        <v/>
      </c>
      <c r="R220" s="25" t="str">
        <f t="shared" si="14"/>
        <v/>
      </c>
      <c r="S220" s="18"/>
      <c r="T220" s="24" t="str">
        <f t="shared" si="15"/>
        <v/>
      </c>
      <c r="U220" s="28" t="str">
        <f>IF(D220="","",IF(COUNTIF(D$6:D220,D220)=1,"Nouveau","Fidèle"))</f>
        <v/>
      </c>
    </row>
    <row r="221" spans="1:21" x14ac:dyDescent="0.25">
      <c r="A221" s="41" t="str">
        <f t="shared" si="12"/>
        <v/>
      </c>
      <c r="B221" s="38"/>
      <c r="C221" s="18"/>
      <c r="D221" s="18"/>
      <c r="E221" s="18"/>
      <c r="F221" s="18"/>
      <c r="G221" s="20"/>
      <c r="H221" s="19"/>
      <c r="I221" s="25" t="str">
        <f>IF(F221="","",IF(H221="",IFERROR(INDEX(Catalogue!$I$6:$I$55,MATCH(F221,Catalogue!$B$6:$B$55,0)),0),H221))</f>
        <v/>
      </c>
      <c r="J221" s="19"/>
      <c r="K221" s="25" t="str">
        <f t="shared" si="13"/>
        <v/>
      </c>
      <c r="L221" s="18"/>
      <c r="M221" s="18"/>
      <c r="N221" s="18"/>
      <c r="O221" s="19"/>
      <c r="P221" s="25" t="str">
        <f>IF(F221="","",IF(O221="",IFERROR(INDEX(Catalogue!$G$6:$G$55,MATCH(F221,Catalogue!$B$6:$B$55,0)),0),O221))</f>
        <v/>
      </c>
      <c r="Q221" s="25" t="str">
        <f>IF(F221="","",N(G221)*(IFERROR(INDEX(Catalogue!$E$6:$E$55,MATCH(F221,Catalogue!$B$6:$B$55,0)),0)+IFERROR(INDEX(Catalogue!$F$6:$F$55,MATCH(F221,Catalogue!$B$6:$B$55,0)),0)+IFERROR(INDEX(Catalogue!$H$6:$H$55,MATCH(F221,Catalogue!$B$6:$B$55,0)),0)))</f>
        <v/>
      </c>
      <c r="R221" s="25" t="str">
        <f t="shared" si="14"/>
        <v/>
      </c>
      <c r="S221" s="18"/>
      <c r="T221" s="24" t="str">
        <f t="shared" si="15"/>
        <v/>
      </c>
      <c r="U221" s="28" t="str">
        <f>IF(D221="","",IF(COUNTIF(D$6:D221,D221)=1,"Nouveau","Fidèle"))</f>
        <v/>
      </c>
    </row>
    <row r="222" spans="1:21" x14ac:dyDescent="0.25">
      <c r="A222" s="41" t="str">
        <f t="shared" si="12"/>
        <v/>
      </c>
      <c r="B222" s="38"/>
      <c r="C222" s="18"/>
      <c r="D222" s="18"/>
      <c r="E222" s="18"/>
      <c r="F222" s="18"/>
      <c r="G222" s="20"/>
      <c r="H222" s="19"/>
      <c r="I222" s="25" t="str">
        <f>IF(F222="","",IF(H222="",IFERROR(INDEX(Catalogue!$I$6:$I$55,MATCH(F222,Catalogue!$B$6:$B$55,0)),0),H222))</f>
        <v/>
      </c>
      <c r="J222" s="19"/>
      <c r="K222" s="25" t="str">
        <f t="shared" si="13"/>
        <v/>
      </c>
      <c r="L222" s="18"/>
      <c r="M222" s="18"/>
      <c r="N222" s="18"/>
      <c r="O222" s="19"/>
      <c r="P222" s="25" t="str">
        <f>IF(F222="","",IF(O222="",IFERROR(INDEX(Catalogue!$G$6:$G$55,MATCH(F222,Catalogue!$B$6:$B$55,0)),0),O222))</f>
        <v/>
      </c>
      <c r="Q222" s="25" t="str">
        <f>IF(F222="","",N(G222)*(IFERROR(INDEX(Catalogue!$E$6:$E$55,MATCH(F222,Catalogue!$B$6:$B$55,0)),0)+IFERROR(INDEX(Catalogue!$F$6:$F$55,MATCH(F222,Catalogue!$B$6:$B$55,0)),0)+IFERROR(INDEX(Catalogue!$H$6:$H$55,MATCH(F222,Catalogue!$B$6:$B$55,0)),0)))</f>
        <v/>
      </c>
      <c r="R222" s="25" t="str">
        <f t="shared" si="14"/>
        <v/>
      </c>
      <c r="S222" s="18"/>
      <c r="T222" s="24" t="str">
        <f t="shared" si="15"/>
        <v/>
      </c>
      <c r="U222" s="28" t="str">
        <f>IF(D222="","",IF(COUNTIF(D$6:D222,D222)=1,"Nouveau","Fidèle"))</f>
        <v/>
      </c>
    </row>
    <row r="223" spans="1:21" x14ac:dyDescent="0.25">
      <c r="A223" s="41" t="str">
        <f t="shared" si="12"/>
        <v/>
      </c>
      <c r="B223" s="38"/>
      <c r="C223" s="18"/>
      <c r="D223" s="18"/>
      <c r="E223" s="18"/>
      <c r="F223" s="18"/>
      <c r="G223" s="20"/>
      <c r="H223" s="19"/>
      <c r="I223" s="25" t="str">
        <f>IF(F223="","",IF(H223="",IFERROR(INDEX(Catalogue!$I$6:$I$55,MATCH(F223,Catalogue!$B$6:$B$55,0)),0),H223))</f>
        <v/>
      </c>
      <c r="J223" s="19"/>
      <c r="K223" s="25" t="str">
        <f t="shared" si="13"/>
        <v/>
      </c>
      <c r="L223" s="18"/>
      <c r="M223" s="18"/>
      <c r="N223" s="18"/>
      <c r="O223" s="19"/>
      <c r="P223" s="25" t="str">
        <f>IF(F223="","",IF(O223="",IFERROR(INDEX(Catalogue!$G$6:$G$55,MATCH(F223,Catalogue!$B$6:$B$55,0)),0),O223))</f>
        <v/>
      </c>
      <c r="Q223" s="25" t="str">
        <f>IF(F223="","",N(G223)*(IFERROR(INDEX(Catalogue!$E$6:$E$55,MATCH(F223,Catalogue!$B$6:$B$55,0)),0)+IFERROR(INDEX(Catalogue!$F$6:$F$55,MATCH(F223,Catalogue!$B$6:$B$55,0)),0)+IFERROR(INDEX(Catalogue!$H$6:$H$55,MATCH(F223,Catalogue!$B$6:$B$55,0)),0)))</f>
        <v/>
      </c>
      <c r="R223" s="25" t="str">
        <f t="shared" si="14"/>
        <v/>
      </c>
      <c r="S223" s="18"/>
      <c r="T223" s="24" t="str">
        <f t="shared" si="15"/>
        <v/>
      </c>
      <c r="U223" s="28" t="str">
        <f>IF(D223="","",IF(COUNTIF(D$6:D223,D223)=1,"Nouveau","Fidèle"))</f>
        <v/>
      </c>
    </row>
    <row r="224" spans="1:21" x14ac:dyDescent="0.25">
      <c r="A224" s="41" t="str">
        <f t="shared" si="12"/>
        <v/>
      </c>
      <c r="B224" s="38"/>
      <c r="C224" s="18"/>
      <c r="D224" s="18"/>
      <c r="E224" s="18"/>
      <c r="F224" s="18"/>
      <c r="G224" s="20"/>
      <c r="H224" s="19"/>
      <c r="I224" s="25" t="str">
        <f>IF(F224="","",IF(H224="",IFERROR(INDEX(Catalogue!$I$6:$I$55,MATCH(F224,Catalogue!$B$6:$B$55,0)),0),H224))</f>
        <v/>
      </c>
      <c r="J224" s="19"/>
      <c r="K224" s="25" t="str">
        <f t="shared" si="13"/>
        <v/>
      </c>
      <c r="L224" s="18"/>
      <c r="M224" s="18"/>
      <c r="N224" s="18"/>
      <c r="O224" s="19"/>
      <c r="P224" s="25" t="str">
        <f>IF(F224="","",IF(O224="",IFERROR(INDEX(Catalogue!$G$6:$G$55,MATCH(F224,Catalogue!$B$6:$B$55,0)),0),O224))</f>
        <v/>
      </c>
      <c r="Q224" s="25" t="str">
        <f>IF(F224="","",N(G224)*(IFERROR(INDEX(Catalogue!$E$6:$E$55,MATCH(F224,Catalogue!$B$6:$B$55,0)),0)+IFERROR(INDEX(Catalogue!$F$6:$F$55,MATCH(F224,Catalogue!$B$6:$B$55,0)),0)+IFERROR(INDEX(Catalogue!$H$6:$H$55,MATCH(F224,Catalogue!$B$6:$B$55,0)),0)))</f>
        <v/>
      </c>
      <c r="R224" s="25" t="str">
        <f t="shared" si="14"/>
        <v/>
      </c>
      <c r="S224" s="18"/>
      <c r="T224" s="24" t="str">
        <f t="shared" si="15"/>
        <v/>
      </c>
      <c r="U224" s="28" t="str">
        <f>IF(D224="","",IF(COUNTIF(D$6:D224,D224)=1,"Nouveau","Fidèle"))</f>
        <v/>
      </c>
    </row>
    <row r="225" spans="1:21" x14ac:dyDescent="0.25">
      <c r="A225" s="41" t="str">
        <f t="shared" si="12"/>
        <v/>
      </c>
      <c r="B225" s="38"/>
      <c r="C225" s="18"/>
      <c r="D225" s="18"/>
      <c r="E225" s="18"/>
      <c r="F225" s="18"/>
      <c r="G225" s="20"/>
      <c r="H225" s="19"/>
      <c r="I225" s="25" t="str">
        <f>IF(F225="","",IF(H225="",IFERROR(INDEX(Catalogue!$I$6:$I$55,MATCH(F225,Catalogue!$B$6:$B$55,0)),0),H225))</f>
        <v/>
      </c>
      <c r="J225" s="19"/>
      <c r="K225" s="25" t="str">
        <f t="shared" si="13"/>
        <v/>
      </c>
      <c r="L225" s="18"/>
      <c r="M225" s="18"/>
      <c r="N225" s="18"/>
      <c r="O225" s="19"/>
      <c r="P225" s="25" t="str">
        <f>IF(F225="","",IF(O225="",IFERROR(INDEX(Catalogue!$G$6:$G$55,MATCH(F225,Catalogue!$B$6:$B$55,0)),0),O225))</f>
        <v/>
      </c>
      <c r="Q225" s="25" t="str">
        <f>IF(F225="","",N(G225)*(IFERROR(INDEX(Catalogue!$E$6:$E$55,MATCH(F225,Catalogue!$B$6:$B$55,0)),0)+IFERROR(INDEX(Catalogue!$F$6:$F$55,MATCH(F225,Catalogue!$B$6:$B$55,0)),0)+IFERROR(INDEX(Catalogue!$H$6:$H$55,MATCH(F225,Catalogue!$B$6:$B$55,0)),0)))</f>
        <v/>
      </c>
      <c r="R225" s="25" t="str">
        <f t="shared" si="14"/>
        <v/>
      </c>
      <c r="S225" s="18"/>
      <c r="T225" s="24" t="str">
        <f t="shared" si="15"/>
        <v/>
      </c>
      <c r="U225" s="28" t="str">
        <f>IF(D225="","",IF(COUNTIF(D$6:D225,D225)=1,"Nouveau","Fidèle"))</f>
        <v/>
      </c>
    </row>
    <row r="226" spans="1:21" x14ac:dyDescent="0.25">
      <c r="A226" s="41" t="str">
        <f t="shared" si="12"/>
        <v/>
      </c>
      <c r="B226" s="38"/>
      <c r="C226" s="18"/>
      <c r="D226" s="18"/>
      <c r="E226" s="18"/>
      <c r="F226" s="18"/>
      <c r="G226" s="20"/>
      <c r="H226" s="19"/>
      <c r="I226" s="25" t="str">
        <f>IF(F226="","",IF(H226="",IFERROR(INDEX(Catalogue!$I$6:$I$55,MATCH(F226,Catalogue!$B$6:$B$55,0)),0),H226))</f>
        <v/>
      </c>
      <c r="J226" s="19"/>
      <c r="K226" s="25" t="str">
        <f t="shared" si="13"/>
        <v/>
      </c>
      <c r="L226" s="18"/>
      <c r="M226" s="18"/>
      <c r="N226" s="18"/>
      <c r="O226" s="19"/>
      <c r="P226" s="25" t="str">
        <f>IF(F226="","",IF(O226="",IFERROR(INDEX(Catalogue!$G$6:$G$55,MATCH(F226,Catalogue!$B$6:$B$55,0)),0),O226))</f>
        <v/>
      </c>
      <c r="Q226" s="25" t="str">
        <f>IF(F226="","",N(G226)*(IFERROR(INDEX(Catalogue!$E$6:$E$55,MATCH(F226,Catalogue!$B$6:$B$55,0)),0)+IFERROR(INDEX(Catalogue!$F$6:$F$55,MATCH(F226,Catalogue!$B$6:$B$55,0)),0)+IFERROR(INDEX(Catalogue!$H$6:$H$55,MATCH(F226,Catalogue!$B$6:$B$55,0)),0)))</f>
        <v/>
      </c>
      <c r="R226" s="25" t="str">
        <f t="shared" si="14"/>
        <v/>
      </c>
      <c r="S226" s="18"/>
      <c r="T226" s="24" t="str">
        <f t="shared" si="15"/>
        <v/>
      </c>
      <c r="U226" s="28" t="str">
        <f>IF(D226="","",IF(COUNTIF(D$6:D226,D226)=1,"Nouveau","Fidèle"))</f>
        <v/>
      </c>
    </row>
    <row r="227" spans="1:21" x14ac:dyDescent="0.25">
      <c r="A227" s="41" t="str">
        <f t="shared" si="12"/>
        <v/>
      </c>
      <c r="B227" s="38"/>
      <c r="C227" s="18"/>
      <c r="D227" s="18"/>
      <c r="E227" s="18"/>
      <c r="F227" s="18"/>
      <c r="G227" s="20"/>
      <c r="H227" s="19"/>
      <c r="I227" s="25" t="str">
        <f>IF(F227="","",IF(H227="",IFERROR(INDEX(Catalogue!$I$6:$I$55,MATCH(F227,Catalogue!$B$6:$B$55,0)),0),H227))</f>
        <v/>
      </c>
      <c r="J227" s="19"/>
      <c r="K227" s="25" t="str">
        <f t="shared" si="13"/>
        <v/>
      </c>
      <c r="L227" s="18"/>
      <c r="M227" s="18"/>
      <c r="N227" s="18"/>
      <c r="O227" s="19"/>
      <c r="P227" s="25" t="str">
        <f>IF(F227="","",IF(O227="",IFERROR(INDEX(Catalogue!$G$6:$G$55,MATCH(F227,Catalogue!$B$6:$B$55,0)),0),O227))</f>
        <v/>
      </c>
      <c r="Q227" s="25" t="str">
        <f>IF(F227="","",N(G227)*(IFERROR(INDEX(Catalogue!$E$6:$E$55,MATCH(F227,Catalogue!$B$6:$B$55,0)),0)+IFERROR(INDEX(Catalogue!$F$6:$F$55,MATCH(F227,Catalogue!$B$6:$B$55,0)),0)+IFERROR(INDEX(Catalogue!$H$6:$H$55,MATCH(F227,Catalogue!$B$6:$B$55,0)),0)))</f>
        <v/>
      </c>
      <c r="R227" s="25" t="str">
        <f t="shared" si="14"/>
        <v/>
      </c>
      <c r="S227" s="18"/>
      <c r="T227" s="24" t="str">
        <f t="shared" si="15"/>
        <v/>
      </c>
      <c r="U227" s="28" t="str">
        <f>IF(D227="","",IF(COUNTIF(D$6:D227,D227)=1,"Nouveau","Fidèle"))</f>
        <v/>
      </c>
    </row>
    <row r="228" spans="1:21" x14ac:dyDescent="0.25">
      <c r="A228" s="41" t="str">
        <f t="shared" si="12"/>
        <v/>
      </c>
      <c r="B228" s="38"/>
      <c r="C228" s="18"/>
      <c r="D228" s="18"/>
      <c r="E228" s="18"/>
      <c r="F228" s="18"/>
      <c r="G228" s="20"/>
      <c r="H228" s="19"/>
      <c r="I228" s="25" t="str">
        <f>IF(F228="","",IF(H228="",IFERROR(INDEX(Catalogue!$I$6:$I$55,MATCH(F228,Catalogue!$B$6:$B$55,0)),0),H228))</f>
        <v/>
      </c>
      <c r="J228" s="19"/>
      <c r="K228" s="25" t="str">
        <f t="shared" si="13"/>
        <v/>
      </c>
      <c r="L228" s="18"/>
      <c r="M228" s="18"/>
      <c r="N228" s="18"/>
      <c r="O228" s="19"/>
      <c r="P228" s="25" t="str">
        <f>IF(F228="","",IF(O228="",IFERROR(INDEX(Catalogue!$G$6:$G$55,MATCH(F228,Catalogue!$B$6:$B$55,0)),0),O228))</f>
        <v/>
      </c>
      <c r="Q228" s="25" t="str">
        <f>IF(F228="","",N(G228)*(IFERROR(INDEX(Catalogue!$E$6:$E$55,MATCH(F228,Catalogue!$B$6:$B$55,0)),0)+IFERROR(INDEX(Catalogue!$F$6:$F$55,MATCH(F228,Catalogue!$B$6:$B$55,0)),0)+IFERROR(INDEX(Catalogue!$H$6:$H$55,MATCH(F228,Catalogue!$B$6:$B$55,0)),0)))</f>
        <v/>
      </c>
      <c r="R228" s="25" t="str">
        <f t="shared" si="14"/>
        <v/>
      </c>
      <c r="S228" s="18"/>
      <c r="T228" s="24" t="str">
        <f t="shared" si="15"/>
        <v/>
      </c>
      <c r="U228" s="28" t="str">
        <f>IF(D228="","",IF(COUNTIF(D$6:D228,D228)=1,"Nouveau","Fidèle"))</f>
        <v/>
      </c>
    </row>
    <row r="229" spans="1:21" x14ac:dyDescent="0.25">
      <c r="A229" s="41" t="str">
        <f t="shared" si="12"/>
        <v/>
      </c>
      <c r="B229" s="38"/>
      <c r="C229" s="18"/>
      <c r="D229" s="18"/>
      <c r="E229" s="18"/>
      <c r="F229" s="18"/>
      <c r="G229" s="20"/>
      <c r="H229" s="19"/>
      <c r="I229" s="25" t="str">
        <f>IF(F229="","",IF(H229="",IFERROR(INDEX(Catalogue!$I$6:$I$55,MATCH(F229,Catalogue!$B$6:$B$55,0)),0),H229))</f>
        <v/>
      </c>
      <c r="J229" s="19"/>
      <c r="K229" s="25" t="str">
        <f t="shared" si="13"/>
        <v/>
      </c>
      <c r="L229" s="18"/>
      <c r="M229" s="18"/>
      <c r="N229" s="18"/>
      <c r="O229" s="19"/>
      <c r="P229" s="25" t="str">
        <f>IF(F229="","",IF(O229="",IFERROR(INDEX(Catalogue!$G$6:$G$55,MATCH(F229,Catalogue!$B$6:$B$55,0)),0),O229))</f>
        <v/>
      </c>
      <c r="Q229" s="25" t="str">
        <f>IF(F229="","",N(G229)*(IFERROR(INDEX(Catalogue!$E$6:$E$55,MATCH(F229,Catalogue!$B$6:$B$55,0)),0)+IFERROR(INDEX(Catalogue!$F$6:$F$55,MATCH(F229,Catalogue!$B$6:$B$55,0)),0)+IFERROR(INDEX(Catalogue!$H$6:$H$55,MATCH(F229,Catalogue!$B$6:$B$55,0)),0)))</f>
        <v/>
      </c>
      <c r="R229" s="25" t="str">
        <f t="shared" si="14"/>
        <v/>
      </c>
      <c r="S229" s="18"/>
      <c r="T229" s="24" t="str">
        <f t="shared" si="15"/>
        <v/>
      </c>
      <c r="U229" s="28" t="str">
        <f>IF(D229="","",IF(COUNTIF(D$6:D229,D229)=1,"Nouveau","Fidèle"))</f>
        <v/>
      </c>
    </row>
    <row r="230" spans="1:21" x14ac:dyDescent="0.25">
      <c r="A230" s="41" t="str">
        <f t="shared" si="12"/>
        <v/>
      </c>
      <c r="B230" s="38"/>
      <c r="C230" s="18"/>
      <c r="D230" s="18"/>
      <c r="E230" s="18"/>
      <c r="F230" s="18"/>
      <c r="G230" s="20"/>
      <c r="H230" s="19"/>
      <c r="I230" s="25" t="str">
        <f>IF(F230="","",IF(H230="",IFERROR(INDEX(Catalogue!$I$6:$I$55,MATCH(F230,Catalogue!$B$6:$B$55,0)),0),H230))</f>
        <v/>
      </c>
      <c r="J230" s="19"/>
      <c r="K230" s="25" t="str">
        <f t="shared" si="13"/>
        <v/>
      </c>
      <c r="L230" s="18"/>
      <c r="M230" s="18"/>
      <c r="N230" s="18"/>
      <c r="O230" s="19"/>
      <c r="P230" s="25" t="str">
        <f>IF(F230="","",IF(O230="",IFERROR(INDEX(Catalogue!$G$6:$G$55,MATCH(F230,Catalogue!$B$6:$B$55,0)),0),O230))</f>
        <v/>
      </c>
      <c r="Q230" s="25" t="str">
        <f>IF(F230="","",N(G230)*(IFERROR(INDEX(Catalogue!$E$6:$E$55,MATCH(F230,Catalogue!$B$6:$B$55,0)),0)+IFERROR(INDEX(Catalogue!$F$6:$F$55,MATCH(F230,Catalogue!$B$6:$B$55,0)),0)+IFERROR(INDEX(Catalogue!$H$6:$H$55,MATCH(F230,Catalogue!$B$6:$B$55,0)),0)))</f>
        <v/>
      </c>
      <c r="R230" s="25" t="str">
        <f t="shared" si="14"/>
        <v/>
      </c>
      <c r="S230" s="18"/>
      <c r="T230" s="24" t="str">
        <f t="shared" si="15"/>
        <v/>
      </c>
      <c r="U230" s="28" t="str">
        <f>IF(D230="","",IF(COUNTIF(D$6:D230,D230)=1,"Nouveau","Fidèle"))</f>
        <v/>
      </c>
    </row>
    <row r="231" spans="1:21" x14ac:dyDescent="0.25">
      <c r="A231" s="41" t="str">
        <f t="shared" si="12"/>
        <v/>
      </c>
      <c r="B231" s="38"/>
      <c r="C231" s="18"/>
      <c r="D231" s="18"/>
      <c r="E231" s="18"/>
      <c r="F231" s="18"/>
      <c r="G231" s="20"/>
      <c r="H231" s="19"/>
      <c r="I231" s="25" t="str">
        <f>IF(F231="","",IF(H231="",IFERROR(INDEX(Catalogue!$I$6:$I$55,MATCH(F231,Catalogue!$B$6:$B$55,0)),0),H231))</f>
        <v/>
      </c>
      <c r="J231" s="19"/>
      <c r="K231" s="25" t="str">
        <f t="shared" si="13"/>
        <v/>
      </c>
      <c r="L231" s="18"/>
      <c r="M231" s="18"/>
      <c r="N231" s="18"/>
      <c r="O231" s="19"/>
      <c r="P231" s="25" t="str">
        <f>IF(F231="","",IF(O231="",IFERROR(INDEX(Catalogue!$G$6:$G$55,MATCH(F231,Catalogue!$B$6:$B$55,0)),0),O231))</f>
        <v/>
      </c>
      <c r="Q231" s="25" t="str">
        <f>IF(F231="","",N(G231)*(IFERROR(INDEX(Catalogue!$E$6:$E$55,MATCH(F231,Catalogue!$B$6:$B$55,0)),0)+IFERROR(INDEX(Catalogue!$F$6:$F$55,MATCH(F231,Catalogue!$B$6:$B$55,0)),0)+IFERROR(INDEX(Catalogue!$H$6:$H$55,MATCH(F231,Catalogue!$B$6:$B$55,0)),0)))</f>
        <v/>
      </c>
      <c r="R231" s="25" t="str">
        <f t="shared" si="14"/>
        <v/>
      </c>
      <c r="S231" s="18"/>
      <c r="T231" s="24" t="str">
        <f t="shared" si="15"/>
        <v/>
      </c>
      <c r="U231" s="28" t="str">
        <f>IF(D231="","",IF(COUNTIF(D$6:D231,D231)=1,"Nouveau","Fidèle"))</f>
        <v/>
      </c>
    </row>
    <row r="232" spans="1:21" x14ac:dyDescent="0.25">
      <c r="A232" s="41" t="str">
        <f t="shared" si="12"/>
        <v/>
      </c>
      <c r="B232" s="38"/>
      <c r="C232" s="18"/>
      <c r="D232" s="18"/>
      <c r="E232" s="18"/>
      <c r="F232" s="18"/>
      <c r="G232" s="20"/>
      <c r="H232" s="19"/>
      <c r="I232" s="25" t="str">
        <f>IF(F232="","",IF(H232="",IFERROR(INDEX(Catalogue!$I$6:$I$55,MATCH(F232,Catalogue!$B$6:$B$55,0)),0),H232))</f>
        <v/>
      </c>
      <c r="J232" s="19"/>
      <c r="K232" s="25" t="str">
        <f t="shared" si="13"/>
        <v/>
      </c>
      <c r="L232" s="18"/>
      <c r="M232" s="18"/>
      <c r="N232" s="18"/>
      <c r="O232" s="19"/>
      <c r="P232" s="25" t="str">
        <f>IF(F232="","",IF(O232="",IFERROR(INDEX(Catalogue!$G$6:$G$55,MATCH(F232,Catalogue!$B$6:$B$55,0)),0),O232))</f>
        <v/>
      </c>
      <c r="Q232" s="25" t="str">
        <f>IF(F232="","",N(G232)*(IFERROR(INDEX(Catalogue!$E$6:$E$55,MATCH(F232,Catalogue!$B$6:$B$55,0)),0)+IFERROR(INDEX(Catalogue!$F$6:$F$55,MATCH(F232,Catalogue!$B$6:$B$55,0)),0)+IFERROR(INDEX(Catalogue!$H$6:$H$55,MATCH(F232,Catalogue!$B$6:$B$55,0)),0)))</f>
        <v/>
      </c>
      <c r="R232" s="25" t="str">
        <f t="shared" si="14"/>
        <v/>
      </c>
      <c r="S232" s="18"/>
      <c r="T232" s="24" t="str">
        <f t="shared" si="15"/>
        <v/>
      </c>
      <c r="U232" s="28" t="str">
        <f>IF(D232="","",IF(COUNTIF(D$6:D232,D232)=1,"Nouveau","Fidèle"))</f>
        <v/>
      </c>
    </row>
    <row r="233" spans="1:21" x14ac:dyDescent="0.25">
      <c r="A233" s="41" t="str">
        <f t="shared" si="12"/>
        <v/>
      </c>
      <c r="B233" s="38"/>
      <c r="C233" s="18"/>
      <c r="D233" s="18"/>
      <c r="E233" s="18"/>
      <c r="F233" s="18"/>
      <c r="G233" s="20"/>
      <c r="H233" s="19"/>
      <c r="I233" s="25" t="str">
        <f>IF(F233="","",IF(H233="",IFERROR(INDEX(Catalogue!$I$6:$I$55,MATCH(F233,Catalogue!$B$6:$B$55,0)),0),H233))</f>
        <v/>
      </c>
      <c r="J233" s="19"/>
      <c r="K233" s="25" t="str">
        <f t="shared" si="13"/>
        <v/>
      </c>
      <c r="L233" s="18"/>
      <c r="M233" s="18"/>
      <c r="N233" s="18"/>
      <c r="O233" s="19"/>
      <c r="P233" s="25" t="str">
        <f>IF(F233="","",IF(O233="",IFERROR(INDEX(Catalogue!$G$6:$G$55,MATCH(F233,Catalogue!$B$6:$B$55,0)),0),O233))</f>
        <v/>
      </c>
      <c r="Q233" s="25" t="str">
        <f>IF(F233="","",N(G233)*(IFERROR(INDEX(Catalogue!$E$6:$E$55,MATCH(F233,Catalogue!$B$6:$B$55,0)),0)+IFERROR(INDEX(Catalogue!$F$6:$F$55,MATCH(F233,Catalogue!$B$6:$B$55,0)),0)+IFERROR(INDEX(Catalogue!$H$6:$H$55,MATCH(F233,Catalogue!$B$6:$B$55,0)),0)))</f>
        <v/>
      </c>
      <c r="R233" s="25" t="str">
        <f t="shared" si="14"/>
        <v/>
      </c>
      <c r="S233" s="18"/>
      <c r="T233" s="24" t="str">
        <f t="shared" si="15"/>
        <v/>
      </c>
      <c r="U233" s="28" t="str">
        <f>IF(D233="","",IF(COUNTIF(D$6:D233,D233)=1,"Nouveau","Fidèle"))</f>
        <v/>
      </c>
    </row>
    <row r="234" spans="1:21" x14ac:dyDescent="0.25">
      <c r="A234" s="41" t="str">
        <f t="shared" si="12"/>
        <v/>
      </c>
      <c r="B234" s="38"/>
      <c r="C234" s="18"/>
      <c r="D234" s="18"/>
      <c r="E234" s="18"/>
      <c r="F234" s="18"/>
      <c r="G234" s="20"/>
      <c r="H234" s="19"/>
      <c r="I234" s="25" t="str">
        <f>IF(F234="","",IF(H234="",IFERROR(INDEX(Catalogue!$I$6:$I$55,MATCH(F234,Catalogue!$B$6:$B$55,0)),0),H234))</f>
        <v/>
      </c>
      <c r="J234" s="19"/>
      <c r="K234" s="25" t="str">
        <f t="shared" si="13"/>
        <v/>
      </c>
      <c r="L234" s="18"/>
      <c r="M234" s="18"/>
      <c r="N234" s="18"/>
      <c r="O234" s="19"/>
      <c r="P234" s="25" t="str">
        <f>IF(F234="","",IF(O234="",IFERROR(INDEX(Catalogue!$G$6:$G$55,MATCH(F234,Catalogue!$B$6:$B$55,0)),0),O234))</f>
        <v/>
      </c>
      <c r="Q234" s="25" t="str">
        <f>IF(F234="","",N(G234)*(IFERROR(INDEX(Catalogue!$E$6:$E$55,MATCH(F234,Catalogue!$B$6:$B$55,0)),0)+IFERROR(INDEX(Catalogue!$F$6:$F$55,MATCH(F234,Catalogue!$B$6:$B$55,0)),0)+IFERROR(INDEX(Catalogue!$H$6:$H$55,MATCH(F234,Catalogue!$B$6:$B$55,0)),0)))</f>
        <v/>
      </c>
      <c r="R234" s="25" t="str">
        <f t="shared" si="14"/>
        <v/>
      </c>
      <c r="S234" s="18"/>
      <c r="T234" s="24" t="str">
        <f t="shared" si="15"/>
        <v/>
      </c>
      <c r="U234" s="28" t="str">
        <f>IF(D234="","",IF(COUNTIF(D$6:D234,D234)=1,"Nouveau","Fidèle"))</f>
        <v/>
      </c>
    </row>
    <row r="235" spans="1:21" x14ac:dyDescent="0.25">
      <c r="A235" s="41" t="str">
        <f t="shared" si="12"/>
        <v/>
      </c>
      <c r="B235" s="38"/>
      <c r="C235" s="18"/>
      <c r="D235" s="18"/>
      <c r="E235" s="18"/>
      <c r="F235" s="18"/>
      <c r="G235" s="20"/>
      <c r="H235" s="19"/>
      <c r="I235" s="25" t="str">
        <f>IF(F235="","",IF(H235="",IFERROR(INDEX(Catalogue!$I$6:$I$55,MATCH(F235,Catalogue!$B$6:$B$55,0)),0),H235))</f>
        <v/>
      </c>
      <c r="J235" s="19"/>
      <c r="K235" s="25" t="str">
        <f t="shared" si="13"/>
        <v/>
      </c>
      <c r="L235" s="18"/>
      <c r="M235" s="18"/>
      <c r="N235" s="18"/>
      <c r="O235" s="19"/>
      <c r="P235" s="25" t="str">
        <f>IF(F235="","",IF(O235="",IFERROR(INDEX(Catalogue!$G$6:$G$55,MATCH(F235,Catalogue!$B$6:$B$55,0)),0),O235))</f>
        <v/>
      </c>
      <c r="Q235" s="25" t="str">
        <f>IF(F235="","",N(G235)*(IFERROR(INDEX(Catalogue!$E$6:$E$55,MATCH(F235,Catalogue!$B$6:$B$55,0)),0)+IFERROR(INDEX(Catalogue!$F$6:$F$55,MATCH(F235,Catalogue!$B$6:$B$55,0)),0)+IFERROR(INDEX(Catalogue!$H$6:$H$55,MATCH(F235,Catalogue!$B$6:$B$55,0)),0)))</f>
        <v/>
      </c>
      <c r="R235" s="25" t="str">
        <f t="shared" si="14"/>
        <v/>
      </c>
      <c r="S235" s="18"/>
      <c r="T235" s="24" t="str">
        <f t="shared" si="15"/>
        <v/>
      </c>
      <c r="U235" s="28" t="str">
        <f>IF(D235="","",IF(COUNTIF(D$6:D235,D235)=1,"Nouveau","Fidèle"))</f>
        <v/>
      </c>
    </row>
    <row r="236" spans="1:21" x14ac:dyDescent="0.25">
      <c r="A236" s="41" t="str">
        <f t="shared" si="12"/>
        <v/>
      </c>
      <c r="B236" s="38"/>
      <c r="C236" s="18"/>
      <c r="D236" s="18"/>
      <c r="E236" s="18"/>
      <c r="F236" s="18"/>
      <c r="G236" s="20"/>
      <c r="H236" s="19"/>
      <c r="I236" s="25" t="str">
        <f>IF(F236="","",IF(H236="",IFERROR(INDEX(Catalogue!$I$6:$I$55,MATCH(F236,Catalogue!$B$6:$B$55,0)),0),H236))</f>
        <v/>
      </c>
      <c r="J236" s="19"/>
      <c r="K236" s="25" t="str">
        <f t="shared" si="13"/>
        <v/>
      </c>
      <c r="L236" s="18"/>
      <c r="M236" s="18"/>
      <c r="N236" s="18"/>
      <c r="O236" s="19"/>
      <c r="P236" s="25" t="str">
        <f>IF(F236="","",IF(O236="",IFERROR(INDEX(Catalogue!$G$6:$G$55,MATCH(F236,Catalogue!$B$6:$B$55,0)),0),O236))</f>
        <v/>
      </c>
      <c r="Q236" s="25" t="str">
        <f>IF(F236="","",N(G236)*(IFERROR(INDEX(Catalogue!$E$6:$E$55,MATCH(F236,Catalogue!$B$6:$B$55,0)),0)+IFERROR(INDEX(Catalogue!$F$6:$F$55,MATCH(F236,Catalogue!$B$6:$B$55,0)),0)+IFERROR(INDEX(Catalogue!$H$6:$H$55,MATCH(F236,Catalogue!$B$6:$B$55,0)),0)))</f>
        <v/>
      </c>
      <c r="R236" s="25" t="str">
        <f t="shared" si="14"/>
        <v/>
      </c>
      <c r="S236" s="18"/>
      <c r="T236" s="24" t="str">
        <f t="shared" si="15"/>
        <v/>
      </c>
      <c r="U236" s="28" t="str">
        <f>IF(D236="","",IF(COUNTIF(D$6:D236,D236)=1,"Nouveau","Fidèle"))</f>
        <v/>
      </c>
    </row>
    <row r="237" spans="1:21" x14ac:dyDescent="0.25">
      <c r="A237" s="41" t="str">
        <f t="shared" si="12"/>
        <v/>
      </c>
      <c r="B237" s="38"/>
      <c r="C237" s="18"/>
      <c r="D237" s="18"/>
      <c r="E237" s="18"/>
      <c r="F237" s="18"/>
      <c r="G237" s="20"/>
      <c r="H237" s="19"/>
      <c r="I237" s="25" t="str">
        <f>IF(F237="","",IF(H237="",IFERROR(INDEX(Catalogue!$I$6:$I$55,MATCH(F237,Catalogue!$B$6:$B$55,0)),0),H237))</f>
        <v/>
      </c>
      <c r="J237" s="19"/>
      <c r="K237" s="25" t="str">
        <f t="shared" si="13"/>
        <v/>
      </c>
      <c r="L237" s="18"/>
      <c r="M237" s="18"/>
      <c r="N237" s="18"/>
      <c r="O237" s="19"/>
      <c r="P237" s="25" t="str">
        <f>IF(F237="","",IF(O237="",IFERROR(INDEX(Catalogue!$G$6:$G$55,MATCH(F237,Catalogue!$B$6:$B$55,0)),0),O237))</f>
        <v/>
      </c>
      <c r="Q237" s="25" t="str">
        <f>IF(F237="","",N(G237)*(IFERROR(INDEX(Catalogue!$E$6:$E$55,MATCH(F237,Catalogue!$B$6:$B$55,0)),0)+IFERROR(INDEX(Catalogue!$F$6:$F$55,MATCH(F237,Catalogue!$B$6:$B$55,0)),0)+IFERROR(INDEX(Catalogue!$H$6:$H$55,MATCH(F237,Catalogue!$B$6:$B$55,0)),0)))</f>
        <v/>
      </c>
      <c r="R237" s="25" t="str">
        <f t="shared" si="14"/>
        <v/>
      </c>
      <c r="S237" s="18"/>
      <c r="T237" s="24" t="str">
        <f t="shared" si="15"/>
        <v/>
      </c>
      <c r="U237" s="28" t="str">
        <f>IF(D237="","",IF(COUNTIF(D$6:D237,D237)=1,"Nouveau","Fidèle"))</f>
        <v/>
      </c>
    </row>
    <row r="238" spans="1:21" x14ac:dyDescent="0.25">
      <c r="A238" s="41" t="str">
        <f t="shared" si="12"/>
        <v/>
      </c>
      <c r="B238" s="38"/>
      <c r="C238" s="18"/>
      <c r="D238" s="18"/>
      <c r="E238" s="18"/>
      <c r="F238" s="18"/>
      <c r="G238" s="20"/>
      <c r="H238" s="19"/>
      <c r="I238" s="25" t="str">
        <f>IF(F238="","",IF(H238="",IFERROR(INDEX(Catalogue!$I$6:$I$55,MATCH(F238,Catalogue!$B$6:$B$55,0)),0),H238))</f>
        <v/>
      </c>
      <c r="J238" s="19"/>
      <c r="K238" s="25" t="str">
        <f t="shared" si="13"/>
        <v/>
      </c>
      <c r="L238" s="18"/>
      <c r="M238" s="18"/>
      <c r="N238" s="18"/>
      <c r="O238" s="19"/>
      <c r="P238" s="25" t="str">
        <f>IF(F238="","",IF(O238="",IFERROR(INDEX(Catalogue!$G$6:$G$55,MATCH(F238,Catalogue!$B$6:$B$55,0)),0),O238))</f>
        <v/>
      </c>
      <c r="Q238" s="25" t="str">
        <f>IF(F238="","",N(G238)*(IFERROR(INDEX(Catalogue!$E$6:$E$55,MATCH(F238,Catalogue!$B$6:$B$55,0)),0)+IFERROR(INDEX(Catalogue!$F$6:$F$55,MATCH(F238,Catalogue!$B$6:$B$55,0)),0)+IFERROR(INDEX(Catalogue!$H$6:$H$55,MATCH(F238,Catalogue!$B$6:$B$55,0)),0)))</f>
        <v/>
      </c>
      <c r="R238" s="25" t="str">
        <f t="shared" si="14"/>
        <v/>
      </c>
      <c r="S238" s="18"/>
      <c r="T238" s="24" t="str">
        <f t="shared" si="15"/>
        <v/>
      </c>
      <c r="U238" s="28" t="str">
        <f>IF(D238="","",IF(COUNTIF(D$6:D238,D238)=1,"Nouveau","Fidèle"))</f>
        <v/>
      </c>
    </row>
    <row r="239" spans="1:21" x14ac:dyDescent="0.25">
      <c r="A239" s="41" t="str">
        <f t="shared" si="12"/>
        <v/>
      </c>
      <c r="B239" s="38"/>
      <c r="C239" s="18"/>
      <c r="D239" s="18"/>
      <c r="E239" s="18"/>
      <c r="F239" s="18"/>
      <c r="G239" s="20"/>
      <c r="H239" s="19"/>
      <c r="I239" s="25" t="str">
        <f>IF(F239="","",IF(H239="",IFERROR(INDEX(Catalogue!$I$6:$I$55,MATCH(F239,Catalogue!$B$6:$B$55,0)),0),H239))</f>
        <v/>
      </c>
      <c r="J239" s="19"/>
      <c r="K239" s="25" t="str">
        <f t="shared" si="13"/>
        <v/>
      </c>
      <c r="L239" s="18"/>
      <c r="M239" s="18"/>
      <c r="N239" s="18"/>
      <c r="O239" s="19"/>
      <c r="P239" s="25" t="str">
        <f>IF(F239="","",IF(O239="",IFERROR(INDEX(Catalogue!$G$6:$G$55,MATCH(F239,Catalogue!$B$6:$B$55,0)),0),O239))</f>
        <v/>
      </c>
      <c r="Q239" s="25" t="str">
        <f>IF(F239="","",N(G239)*(IFERROR(INDEX(Catalogue!$E$6:$E$55,MATCH(F239,Catalogue!$B$6:$B$55,0)),0)+IFERROR(INDEX(Catalogue!$F$6:$F$55,MATCH(F239,Catalogue!$B$6:$B$55,0)),0)+IFERROR(INDEX(Catalogue!$H$6:$H$55,MATCH(F239,Catalogue!$B$6:$B$55,0)),0)))</f>
        <v/>
      </c>
      <c r="R239" s="25" t="str">
        <f t="shared" si="14"/>
        <v/>
      </c>
      <c r="S239" s="18"/>
      <c r="T239" s="24" t="str">
        <f t="shared" si="15"/>
        <v/>
      </c>
      <c r="U239" s="28" t="str">
        <f>IF(D239="","",IF(COUNTIF(D$6:D239,D239)=1,"Nouveau","Fidèle"))</f>
        <v/>
      </c>
    </row>
    <row r="240" spans="1:21" x14ac:dyDescent="0.25">
      <c r="A240" s="41" t="str">
        <f t="shared" si="12"/>
        <v/>
      </c>
      <c r="B240" s="38"/>
      <c r="C240" s="18"/>
      <c r="D240" s="18"/>
      <c r="E240" s="18"/>
      <c r="F240" s="18"/>
      <c r="G240" s="20"/>
      <c r="H240" s="19"/>
      <c r="I240" s="25" t="str">
        <f>IF(F240="","",IF(H240="",IFERROR(INDEX(Catalogue!$I$6:$I$55,MATCH(F240,Catalogue!$B$6:$B$55,0)),0),H240))</f>
        <v/>
      </c>
      <c r="J240" s="19"/>
      <c r="K240" s="25" t="str">
        <f t="shared" si="13"/>
        <v/>
      </c>
      <c r="L240" s="18"/>
      <c r="M240" s="18"/>
      <c r="N240" s="18"/>
      <c r="O240" s="19"/>
      <c r="P240" s="25" t="str">
        <f>IF(F240="","",IF(O240="",IFERROR(INDEX(Catalogue!$G$6:$G$55,MATCH(F240,Catalogue!$B$6:$B$55,0)),0),O240))</f>
        <v/>
      </c>
      <c r="Q240" s="25" t="str">
        <f>IF(F240="","",N(G240)*(IFERROR(INDEX(Catalogue!$E$6:$E$55,MATCH(F240,Catalogue!$B$6:$B$55,0)),0)+IFERROR(INDEX(Catalogue!$F$6:$F$55,MATCH(F240,Catalogue!$B$6:$B$55,0)),0)+IFERROR(INDEX(Catalogue!$H$6:$H$55,MATCH(F240,Catalogue!$B$6:$B$55,0)),0)))</f>
        <v/>
      </c>
      <c r="R240" s="25" t="str">
        <f t="shared" si="14"/>
        <v/>
      </c>
      <c r="S240" s="18"/>
      <c r="T240" s="24" t="str">
        <f t="shared" si="15"/>
        <v/>
      </c>
      <c r="U240" s="28" t="str">
        <f>IF(D240="","",IF(COUNTIF(D$6:D240,D240)=1,"Nouveau","Fidèle"))</f>
        <v/>
      </c>
    </row>
    <row r="241" spans="1:21" x14ac:dyDescent="0.25">
      <c r="A241" s="41" t="str">
        <f t="shared" si="12"/>
        <v/>
      </c>
      <c r="B241" s="38"/>
      <c r="C241" s="18"/>
      <c r="D241" s="18"/>
      <c r="E241" s="18"/>
      <c r="F241" s="18"/>
      <c r="G241" s="20"/>
      <c r="H241" s="19"/>
      <c r="I241" s="25" t="str">
        <f>IF(F241="","",IF(H241="",IFERROR(INDEX(Catalogue!$I$6:$I$55,MATCH(F241,Catalogue!$B$6:$B$55,0)),0),H241))</f>
        <v/>
      </c>
      <c r="J241" s="19"/>
      <c r="K241" s="25" t="str">
        <f t="shared" si="13"/>
        <v/>
      </c>
      <c r="L241" s="18"/>
      <c r="M241" s="18"/>
      <c r="N241" s="18"/>
      <c r="O241" s="19"/>
      <c r="P241" s="25" t="str">
        <f>IF(F241="","",IF(O241="",IFERROR(INDEX(Catalogue!$G$6:$G$55,MATCH(F241,Catalogue!$B$6:$B$55,0)),0),O241))</f>
        <v/>
      </c>
      <c r="Q241" s="25" t="str">
        <f>IF(F241="","",N(G241)*(IFERROR(INDEX(Catalogue!$E$6:$E$55,MATCH(F241,Catalogue!$B$6:$B$55,0)),0)+IFERROR(INDEX(Catalogue!$F$6:$F$55,MATCH(F241,Catalogue!$B$6:$B$55,0)),0)+IFERROR(INDEX(Catalogue!$H$6:$H$55,MATCH(F241,Catalogue!$B$6:$B$55,0)),0)))</f>
        <v/>
      </c>
      <c r="R241" s="25" t="str">
        <f t="shared" si="14"/>
        <v/>
      </c>
      <c r="S241" s="18"/>
      <c r="T241" s="24" t="str">
        <f t="shared" si="15"/>
        <v/>
      </c>
      <c r="U241" s="28" t="str">
        <f>IF(D241="","",IF(COUNTIF(D$6:D241,D241)=1,"Nouveau","Fidèle"))</f>
        <v/>
      </c>
    </row>
    <row r="242" spans="1:21" x14ac:dyDescent="0.25">
      <c r="A242" s="41" t="str">
        <f t="shared" si="12"/>
        <v/>
      </c>
      <c r="B242" s="38"/>
      <c r="C242" s="18"/>
      <c r="D242" s="18"/>
      <c r="E242" s="18"/>
      <c r="F242" s="18"/>
      <c r="G242" s="20"/>
      <c r="H242" s="19"/>
      <c r="I242" s="25" t="str">
        <f>IF(F242="","",IF(H242="",IFERROR(INDEX(Catalogue!$I$6:$I$55,MATCH(F242,Catalogue!$B$6:$B$55,0)),0),H242))</f>
        <v/>
      </c>
      <c r="J242" s="19"/>
      <c r="K242" s="25" t="str">
        <f t="shared" si="13"/>
        <v/>
      </c>
      <c r="L242" s="18"/>
      <c r="M242" s="18"/>
      <c r="N242" s="18"/>
      <c r="O242" s="19"/>
      <c r="P242" s="25" t="str">
        <f>IF(F242="","",IF(O242="",IFERROR(INDEX(Catalogue!$G$6:$G$55,MATCH(F242,Catalogue!$B$6:$B$55,0)),0),O242))</f>
        <v/>
      </c>
      <c r="Q242" s="25" t="str">
        <f>IF(F242="","",N(G242)*(IFERROR(INDEX(Catalogue!$E$6:$E$55,MATCH(F242,Catalogue!$B$6:$B$55,0)),0)+IFERROR(INDEX(Catalogue!$F$6:$F$55,MATCH(F242,Catalogue!$B$6:$B$55,0)),0)+IFERROR(INDEX(Catalogue!$H$6:$H$55,MATCH(F242,Catalogue!$B$6:$B$55,0)),0)))</f>
        <v/>
      </c>
      <c r="R242" s="25" t="str">
        <f t="shared" si="14"/>
        <v/>
      </c>
      <c r="S242" s="18"/>
      <c r="T242" s="24" t="str">
        <f t="shared" si="15"/>
        <v/>
      </c>
      <c r="U242" s="28" t="str">
        <f>IF(D242="","",IF(COUNTIF(D$6:D242,D242)=1,"Nouveau","Fidèle"))</f>
        <v/>
      </c>
    </row>
    <row r="243" spans="1:21" x14ac:dyDescent="0.25">
      <c r="A243" s="41" t="str">
        <f t="shared" si="12"/>
        <v/>
      </c>
      <c r="B243" s="38"/>
      <c r="C243" s="18"/>
      <c r="D243" s="18"/>
      <c r="E243" s="18"/>
      <c r="F243" s="18"/>
      <c r="G243" s="20"/>
      <c r="H243" s="19"/>
      <c r="I243" s="25" t="str">
        <f>IF(F243="","",IF(H243="",IFERROR(INDEX(Catalogue!$I$6:$I$55,MATCH(F243,Catalogue!$B$6:$B$55,0)),0),H243))</f>
        <v/>
      </c>
      <c r="J243" s="19"/>
      <c r="K243" s="25" t="str">
        <f t="shared" si="13"/>
        <v/>
      </c>
      <c r="L243" s="18"/>
      <c r="M243" s="18"/>
      <c r="N243" s="18"/>
      <c r="O243" s="19"/>
      <c r="P243" s="25" t="str">
        <f>IF(F243="","",IF(O243="",IFERROR(INDEX(Catalogue!$G$6:$G$55,MATCH(F243,Catalogue!$B$6:$B$55,0)),0),O243))</f>
        <v/>
      </c>
      <c r="Q243" s="25" t="str">
        <f>IF(F243="","",N(G243)*(IFERROR(INDEX(Catalogue!$E$6:$E$55,MATCH(F243,Catalogue!$B$6:$B$55,0)),0)+IFERROR(INDEX(Catalogue!$F$6:$F$55,MATCH(F243,Catalogue!$B$6:$B$55,0)),0)+IFERROR(INDEX(Catalogue!$H$6:$H$55,MATCH(F243,Catalogue!$B$6:$B$55,0)),0)))</f>
        <v/>
      </c>
      <c r="R243" s="25" t="str">
        <f t="shared" si="14"/>
        <v/>
      </c>
      <c r="S243" s="18"/>
      <c r="T243" s="24" t="str">
        <f t="shared" si="15"/>
        <v/>
      </c>
      <c r="U243" s="28" t="str">
        <f>IF(D243="","",IF(COUNTIF(D$6:D243,D243)=1,"Nouveau","Fidèle"))</f>
        <v/>
      </c>
    </row>
    <row r="244" spans="1:21" x14ac:dyDescent="0.25">
      <c r="A244" s="41" t="str">
        <f t="shared" si="12"/>
        <v/>
      </c>
      <c r="B244" s="38"/>
      <c r="C244" s="18"/>
      <c r="D244" s="18"/>
      <c r="E244" s="18"/>
      <c r="F244" s="18"/>
      <c r="G244" s="20"/>
      <c r="H244" s="19"/>
      <c r="I244" s="25" t="str">
        <f>IF(F244="","",IF(H244="",IFERROR(INDEX(Catalogue!$I$6:$I$55,MATCH(F244,Catalogue!$B$6:$B$55,0)),0),H244))</f>
        <v/>
      </c>
      <c r="J244" s="19"/>
      <c r="K244" s="25" t="str">
        <f t="shared" si="13"/>
        <v/>
      </c>
      <c r="L244" s="18"/>
      <c r="M244" s="18"/>
      <c r="N244" s="18"/>
      <c r="O244" s="19"/>
      <c r="P244" s="25" t="str">
        <f>IF(F244="","",IF(O244="",IFERROR(INDEX(Catalogue!$G$6:$G$55,MATCH(F244,Catalogue!$B$6:$B$55,0)),0),O244))</f>
        <v/>
      </c>
      <c r="Q244" s="25" t="str">
        <f>IF(F244="","",N(G244)*(IFERROR(INDEX(Catalogue!$E$6:$E$55,MATCH(F244,Catalogue!$B$6:$B$55,0)),0)+IFERROR(INDEX(Catalogue!$F$6:$F$55,MATCH(F244,Catalogue!$B$6:$B$55,0)),0)+IFERROR(INDEX(Catalogue!$H$6:$H$55,MATCH(F244,Catalogue!$B$6:$B$55,0)),0)))</f>
        <v/>
      </c>
      <c r="R244" s="25" t="str">
        <f t="shared" si="14"/>
        <v/>
      </c>
      <c r="S244" s="18"/>
      <c r="T244" s="24" t="str">
        <f t="shared" si="15"/>
        <v/>
      </c>
      <c r="U244" s="28" t="str">
        <f>IF(D244="","",IF(COUNTIF(D$6:D244,D244)=1,"Nouveau","Fidèle"))</f>
        <v/>
      </c>
    </row>
    <row r="245" spans="1:21" x14ac:dyDescent="0.25">
      <c r="A245" s="41" t="str">
        <f t="shared" si="12"/>
        <v/>
      </c>
      <c r="B245" s="38"/>
      <c r="C245" s="18"/>
      <c r="D245" s="18"/>
      <c r="E245" s="18"/>
      <c r="F245" s="18"/>
      <c r="G245" s="20"/>
      <c r="H245" s="19"/>
      <c r="I245" s="25" t="str">
        <f>IF(F245="","",IF(H245="",IFERROR(INDEX(Catalogue!$I$6:$I$55,MATCH(F245,Catalogue!$B$6:$B$55,0)),0),H245))</f>
        <v/>
      </c>
      <c r="J245" s="19"/>
      <c r="K245" s="25" t="str">
        <f t="shared" si="13"/>
        <v/>
      </c>
      <c r="L245" s="18"/>
      <c r="M245" s="18"/>
      <c r="N245" s="18"/>
      <c r="O245" s="19"/>
      <c r="P245" s="25" t="str">
        <f>IF(F245="","",IF(O245="",IFERROR(INDEX(Catalogue!$G$6:$G$55,MATCH(F245,Catalogue!$B$6:$B$55,0)),0),O245))</f>
        <v/>
      </c>
      <c r="Q245" s="25" t="str">
        <f>IF(F245="","",N(G245)*(IFERROR(INDEX(Catalogue!$E$6:$E$55,MATCH(F245,Catalogue!$B$6:$B$55,0)),0)+IFERROR(INDEX(Catalogue!$F$6:$F$55,MATCH(F245,Catalogue!$B$6:$B$55,0)),0)+IFERROR(INDEX(Catalogue!$H$6:$H$55,MATCH(F245,Catalogue!$B$6:$B$55,0)),0)))</f>
        <v/>
      </c>
      <c r="R245" s="25" t="str">
        <f t="shared" si="14"/>
        <v/>
      </c>
      <c r="S245" s="18"/>
      <c r="T245" s="24" t="str">
        <f t="shared" si="15"/>
        <v/>
      </c>
      <c r="U245" s="28" t="str">
        <f>IF(D245="","",IF(COUNTIF(D$6:D245,D245)=1,"Nouveau","Fidèle"))</f>
        <v/>
      </c>
    </row>
    <row r="246" spans="1:21" x14ac:dyDescent="0.25">
      <c r="A246" s="41" t="str">
        <f t="shared" si="12"/>
        <v/>
      </c>
      <c r="B246" s="38"/>
      <c r="C246" s="18"/>
      <c r="D246" s="18"/>
      <c r="E246" s="18"/>
      <c r="F246" s="18"/>
      <c r="G246" s="20"/>
      <c r="H246" s="19"/>
      <c r="I246" s="25" t="str">
        <f>IF(F246="","",IF(H246="",IFERROR(INDEX(Catalogue!$I$6:$I$55,MATCH(F246,Catalogue!$B$6:$B$55,0)),0),H246))</f>
        <v/>
      </c>
      <c r="J246" s="19"/>
      <c r="K246" s="25" t="str">
        <f t="shared" si="13"/>
        <v/>
      </c>
      <c r="L246" s="18"/>
      <c r="M246" s="18"/>
      <c r="N246" s="18"/>
      <c r="O246" s="19"/>
      <c r="P246" s="25" t="str">
        <f>IF(F246="","",IF(O246="",IFERROR(INDEX(Catalogue!$G$6:$G$55,MATCH(F246,Catalogue!$B$6:$B$55,0)),0),O246))</f>
        <v/>
      </c>
      <c r="Q246" s="25" t="str">
        <f>IF(F246="","",N(G246)*(IFERROR(INDEX(Catalogue!$E$6:$E$55,MATCH(F246,Catalogue!$B$6:$B$55,0)),0)+IFERROR(INDEX(Catalogue!$F$6:$F$55,MATCH(F246,Catalogue!$B$6:$B$55,0)),0)+IFERROR(INDEX(Catalogue!$H$6:$H$55,MATCH(F246,Catalogue!$B$6:$B$55,0)),0)))</f>
        <v/>
      </c>
      <c r="R246" s="25" t="str">
        <f t="shared" si="14"/>
        <v/>
      </c>
      <c r="S246" s="18"/>
      <c r="T246" s="24" t="str">
        <f t="shared" si="15"/>
        <v/>
      </c>
      <c r="U246" s="28" t="str">
        <f>IF(D246="","",IF(COUNTIF(D$6:D246,D246)=1,"Nouveau","Fidèle"))</f>
        <v/>
      </c>
    </row>
    <row r="247" spans="1:21" x14ac:dyDescent="0.25">
      <c r="A247" s="41" t="str">
        <f t="shared" si="12"/>
        <v/>
      </c>
      <c r="B247" s="38"/>
      <c r="C247" s="18"/>
      <c r="D247" s="18"/>
      <c r="E247" s="18"/>
      <c r="F247" s="18"/>
      <c r="G247" s="20"/>
      <c r="H247" s="19"/>
      <c r="I247" s="25" t="str">
        <f>IF(F247="","",IF(H247="",IFERROR(INDEX(Catalogue!$I$6:$I$55,MATCH(F247,Catalogue!$B$6:$B$55,0)),0),H247))</f>
        <v/>
      </c>
      <c r="J247" s="19"/>
      <c r="K247" s="25" t="str">
        <f t="shared" si="13"/>
        <v/>
      </c>
      <c r="L247" s="18"/>
      <c r="M247" s="18"/>
      <c r="N247" s="18"/>
      <c r="O247" s="19"/>
      <c r="P247" s="25" t="str">
        <f>IF(F247="","",IF(O247="",IFERROR(INDEX(Catalogue!$G$6:$G$55,MATCH(F247,Catalogue!$B$6:$B$55,0)),0),O247))</f>
        <v/>
      </c>
      <c r="Q247" s="25" t="str">
        <f>IF(F247="","",N(G247)*(IFERROR(INDEX(Catalogue!$E$6:$E$55,MATCH(F247,Catalogue!$B$6:$B$55,0)),0)+IFERROR(INDEX(Catalogue!$F$6:$F$55,MATCH(F247,Catalogue!$B$6:$B$55,0)),0)+IFERROR(INDEX(Catalogue!$H$6:$H$55,MATCH(F247,Catalogue!$B$6:$B$55,0)),0)))</f>
        <v/>
      </c>
      <c r="R247" s="25" t="str">
        <f t="shared" si="14"/>
        <v/>
      </c>
      <c r="S247" s="18"/>
      <c r="T247" s="24" t="str">
        <f t="shared" si="15"/>
        <v/>
      </c>
      <c r="U247" s="28" t="str">
        <f>IF(D247="","",IF(COUNTIF(D$6:D247,D247)=1,"Nouveau","Fidèle"))</f>
        <v/>
      </c>
    </row>
    <row r="248" spans="1:21" x14ac:dyDescent="0.25">
      <c r="A248" s="41" t="str">
        <f t="shared" si="12"/>
        <v/>
      </c>
      <c r="B248" s="38"/>
      <c r="C248" s="18"/>
      <c r="D248" s="18"/>
      <c r="E248" s="18"/>
      <c r="F248" s="18"/>
      <c r="G248" s="20"/>
      <c r="H248" s="19"/>
      <c r="I248" s="25" t="str">
        <f>IF(F248="","",IF(H248="",IFERROR(INDEX(Catalogue!$I$6:$I$55,MATCH(F248,Catalogue!$B$6:$B$55,0)),0),H248))</f>
        <v/>
      </c>
      <c r="J248" s="19"/>
      <c r="K248" s="25" t="str">
        <f t="shared" si="13"/>
        <v/>
      </c>
      <c r="L248" s="18"/>
      <c r="M248" s="18"/>
      <c r="N248" s="18"/>
      <c r="O248" s="19"/>
      <c r="P248" s="25" t="str">
        <f>IF(F248="","",IF(O248="",IFERROR(INDEX(Catalogue!$G$6:$G$55,MATCH(F248,Catalogue!$B$6:$B$55,0)),0),O248))</f>
        <v/>
      </c>
      <c r="Q248" s="25" t="str">
        <f>IF(F248="","",N(G248)*(IFERROR(INDEX(Catalogue!$E$6:$E$55,MATCH(F248,Catalogue!$B$6:$B$55,0)),0)+IFERROR(INDEX(Catalogue!$F$6:$F$55,MATCH(F248,Catalogue!$B$6:$B$55,0)),0)+IFERROR(INDEX(Catalogue!$H$6:$H$55,MATCH(F248,Catalogue!$B$6:$B$55,0)),0)))</f>
        <v/>
      </c>
      <c r="R248" s="25" t="str">
        <f t="shared" si="14"/>
        <v/>
      </c>
      <c r="S248" s="18"/>
      <c r="T248" s="24" t="str">
        <f t="shared" si="15"/>
        <v/>
      </c>
      <c r="U248" s="28" t="str">
        <f>IF(D248="","",IF(COUNTIF(D$6:D248,D248)=1,"Nouveau","Fidèle"))</f>
        <v/>
      </c>
    </row>
    <row r="249" spans="1:21" x14ac:dyDescent="0.25">
      <c r="A249" s="41" t="str">
        <f t="shared" si="12"/>
        <v/>
      </c>
      <c r="B249" s="38"/>
      <c r="C249" s="18"/>
      <c r="D249" s="18"/>
      <c r="E249" s="18"/>
      <c r="F249" s="18"/>
      <c r="G249" s="20"/>
      <c r="H249" s="19"/>
      <c r="I249" s="25" t="str">
        <f>IF(F249="","",IF(H249="",IFERROR(INDEX(Catalogue!$I$6:$I$55,MATCH(F249,Catalogue!$B$6:$B$55,0)),0),H249))</f>
        <v/>
      </c>
      <c r="J249" s="19"/>
      <c r="K249" s="25" t="str">
        <f t="shared" si="13"/>
        <v/>
      </c>
      <c r="L249" s="18"/>
      <c r="M249" s="18"/>
      <c r="N249" s="18"/>
      <c r="O249" s="19"/>
      <c r="P249" s="25" t="str">
        <f>IF(F249="","",IF(O249="",IFERROR(INDEX(Catalogue!$G$6:$G$55,MATCH(F249,Catalogue!$B$6:$B$55,0)),0),O249))</f>
        <v/>
      </c>
      <c r="Q249" s="25" t="str">
        <f>IF(F249="","",N(G249)*(IFERROR(INDEX(Catalogue!$E$6:$E$55,MATCH(F249,Catalogue!$B$6:$B$55,0)),0)+IFERROR(INDEX(Catalogue!$F$6:$F$55,MATCH(F249,Catalogue!$B$6:$B$55,0)),0)+IFERROR(INDEX(Catalogue!$H$6:$H$55,MATCH(F249,Catalogue!$B$6:$B$55,0)),0)))</f>
        <v/>
      </c>
      <c r="R249" s="25" t="str">
        <f t="shared" si="14"/>
        <v/>
      </c>
      <c r="S249" s="18"/>
      <c r="T249" s="24" t="str">
        <f t="shared" si="15"/>
        <v/>
      </c>
      <c r="U249" s="28" t="str">
        <f>IF(D249="","",IF(COUNTIF(D$6:D249,D249)=1,"Nouveau","Fidèle"))</f>
        <v/>
      </c>
    </row>
    <row r="250" spans="1:21" x14ac:dyDescent="0.25">
      <c r="A250" s="41" t="str">
        <f t="shared" si="12"/>
        <v/>
      </c>
      <c r="B250" s="38"/>
      <c r="C250" s="18"/>
      <c r="D250" s="18"/>
      <c r="E250" s="18"/>
      <c r="F250" s="18"/>
      <c r="G250" s="20"/>
      <c r="H250" s="19"/>
      <c r="I250" s="25" t="str">
        <f>IF(F250="","",IF(H250="",IFERROR(INDEX(Catalogue!$I$6:$I$55,MATCH(F250,Catalogue!$B$6:$B$55,0)),0),H250))</f>
        <v/>
      </c>
      <c r="J250" s="19"/>
      <c r="K250" s="25" t="str">
        <f t="shared" si="13"/>
        <v/>
      </c>
      <c r="L250" s="18"/>
      <c r="M250" s="18"/>
      <c r="N250" s="18"/>
      <c r="O250" s="19"/>
      <c r="P250" s="25" t="str">
        <f>IF(F250="","",IF(O250="",IFERROR(INDEX(Catalogue!$G$6:$G$55,MATCH(F250,Catalogue!$B$6:$B$55,0)),0),O250))</f>
        <v/>
      </c>
      <c r="Q250" s="25" t="str">
        <f>IF(F250="","",N(G250)*(IFERROR(INDEX(Catalogue!$E$6:$E$55,MATCH(F250,Catalogue!$B$6:$B$55,0)),0)+IFERROR(INDEX(Catalogue!$F$6:$F$55,MATCH(F250,Catalogue!$B$6:$B$55,0)),0)+IFERROR(INDEX(Catalogue!$H$6:$H$55,MATCH(F250,Catalogue!$B$6:$B$55,0)),0)))</f>
        <v/>
      </c>
      <c r="R250" s="25" t="str">
        <f t="shared" si="14"/>
        <v/>
      </c>
      <c r="S250" s="18"/>
      <c r="T250" s="24" t="str">
        <f t="shared" si="15"/>
        <v/>
      </c>
      <c r="U250" s="28" t="str">
        <f>IF(D250="","",IF(COUNTIF(D$6:D250,D250)=1,"Nouveau","Fidèle"))</f>
        <v/>
      </c>
    </row>
    <row r="251" spans="1:21" x14ac:dyDescent="0.25">
      <c r="A251" s="41" t="str">
        <f t="shared" si="12"/>
        <v/>
      </c>
      <c r="B251" s="38"/>
      <c r="C251" s="18"/>
      <c r="D251" s="18"/>
      <c r="E251" s="18"/>
      <c r="F251" s="18"/>
      <c r="G251" s="20"/>
      <c r="H251" s="19"/>
      <c r="I251" s="25" t="str">
        <f>IF(F251="","",IF(H251="",IFERROR(INDEX(Catalogue!$I$6:$I$55,MATCH(F251,Catalogue!$B$6:$B$55,0)),0),H251))</f>
        <v/>
      </c>
      <c r="J251" s="19"/>
      <c r="K251" s="25" t="str">
        <f t="shared" si="13"/>
        <v/>
      </c>
      <c r="L251" s="18"/>
      <c r="M251" s="18"/>
      <c r="N251" s="18"/>
      <c r="O251" s="19"/>
      <c r="P251" s="25" t="str">
        <f>IF(F251="","",IF(O251="",IFERROR(INDEX(Catalogue!$G$6:$G$55,MATCH(F251,Catalogue!$B$6:$B$55,0)),0),O251))</f>
        <v/>
      </c>
      <c r="Q251" s="25" t="str">
        <f>IF(F251="","",N(G251)*(IFERROR(INDEX(Catalogue!$E$6:$E$55,MATCH(F251,Catalogue!$B$6:$B$55,0)),0)+IFERROR(INDEX(Catalogue!$F$6:$F$55,MATCH(F251,Catalogue!$B$6:$B$55,0)),0)+IFERROR(INDEX(Catalogue!$H$6:$H$55,MATCH(F251,Catalogue!$B$6:$B$55,0)),0)))</f>
        <v/>
      </c>
      <c r="R251" s="25" t="str">
        <f t="shared" si="14"/>
        <v/>
      </c>
      <c r="S251" s="18"/>
      <c r="T251" s="24" t="str">
        <f t="shared" si="15"/>
        <v/>
      </c>
      <c r="U251" s="28" t="str">
        <f>IF(D251="","",IF(COUNTIF(D$6:D251,D251)=1,"Nouveau","Fidèle"))</f>
        <v/>
      </c>
    </row>
    <row r="252" spans="1:21" x14ac:dyDescent="0.25">
      <c r="A252" s="41" t="str">
        <f t="shared" si="12"/>
        <v/>
      </c>
      <c r="B252" s="38"/>
      <c r="C252" s="18"/>
      <c r="D252" s="18"/>
      <c r="E252" s="18"/>
      <c r="F252" s="18"/>
      <c r="G252" s="20"/>
      <c r="H252" s="19"/>
      <c r="I252" s="25" t="str">
        <f>IF(F252="","",IF(H252="",IFERROR(INDEX(Catalogue!$I$6:$I$55,MATCH(F252,Catalogue!$B$6:$B$55,0)),0),H252))</f>
        <v/>
      </c>
      <c r="J252" s="19"/>
      <c r="K252" s="25" t="str">
        <f t="shared" si="13"/>
        <v/>
      </c>
      <c r="L252" s="18"/>
      <c r="M252" s="18"/>
      <c r="N252" s="18"/>
      <c r="O252" s="19"/>
      <c r="P252" s="25" t="str">
        <f>IF(F252="","",IF(O252="",IFERROR(INDEX(Catalogue!$G$6:$G$55,MATCH(F252,Catalogue!$B$6:$B$55,0)),0),O252))</f>
        <v/>
      </c>
      <c r="Q252" s="25" t="str">
        <f>IF(F252="","",N(G252)*(IFERROR(INDEX(Catalogue!$E$6:$E$55,MATCH(F252,Catalogue!$B$6:$B$55,0)),0)+IFERROR(INDEX(Catalogue!$F$6:$F$55,MATCH(F252,Catalogue!$B$6:$B$55,0)),0)+IFERROR(INDEX(Catalogue!$H$6:$H$55,MATCH(F252,Catalogue!$B$6:$B$55,0)),0)))</f>
        <v/>
      </c>
      <c r="R252" s="25" t="str">
        <f t="shared" si="14"/>
        <v/>
      </c>
      <c r="S252" s="18"/>
      <c r="T252" s="24" t="str">
        <f t="shared" si="15"/>
        <v/>
      </c>
      <c r="U252" s="28" t="str">
        <f>IF(D252="","",IF(COUNTIF(D$6:D252,D252)=1,"Nouveau","Fidèle"))</f>
        <v/>
      </c>
    </row>
    <row r="253" spans="1:21" x14ac:dyDescent="0.25">
      <c r="A253" s="41" t="str">
        <f t="shared" si="12"/>
        <v/>
      </c>
      <c r="B253" s="38"/>
      <c r="C253" s="18"/>
      <c r="D253" s="18"/>
      <c r="E253" s="18"/>
      <c r="F253" s="18"/>
      <c r="G253" s="20"/>
      <c r="H253" s="19"/>
      <c r="I253" s="25" t="str">
        <f>IF(F253="","",IF(H253="",IFERROR(INDEX(Catalogue!$I$6:$I$55,MATCH(F253,Catalogue!$B$6:$B$55,0)),0),H253))</f>
        <v/>
      </c>
      <c r="J253" s="19"/>
      <c r="K253" s="25" t="str">
        <f t="shared" si="13"/>
        <v/>
      </c>
      <c r="L253" s="18"/>
      <c r="M253" s="18"/>
      <c r="N253" s="18"/>
      <c r="O253" s="19"/>
      <c r="P253" s="25" t="str">
        <f>IF(F253="","",IF(O253="",IFERROR(INDEX(Catalogue!$G$6:$G$55,MATCH(F253,Catalogue!$B$6:$B$55,0)),0),O253))</f>
        <v/>
      </c>
      <c r="Q253" s="25" t="str">
        <f>IF(F253="","",N(G253)*(IFERROR(INDEX(Catalogue!$E$6:$E$55,MATCH(F253,Catalogue!$B$6:$B$55,0)),0)+IFERROR(INDEX(Catalogue!$F$6:$F$55,MATCH(F253,Catalogue!$B$6:$B$55,0)),0)+IFERROR(INDEX(Catalogue!$H$6:$H$55,MATCH(F253,Catalogue!$B$6:$B$55,0)),0)))</f>
        <v/>
      </c>
      <c r="R253" s="25" t="str">
        <f t="shared" si="14"/>
        <v/>
      </c>
      <c r="S253" s="18"/>
      <c r="T253" s="24" t="str">
        <f t="shared" si="15"/>
        <v/>
      </c>
      <c r="U253" s="28" t="str">
        <f>IF(D253="","",IF(COUNTIF(D$6:D253,D253)=1,"Nouveau","Fidèle"))</f>
        <v/>
      </c>
    </row>
    <row r="254" spans="1:21" x14ac:dyDescent="0.25">
      <c r="A254" s="41" t="str">
        <f t="shared" si="12"/>
        <v/>
      </c>
      <c r="B254" s="38"/>
      <c r="C254" s="18"/>
      <c r="D254" s="18"/>
      <c r="E254" s="18"/>
      <c r="F254" s="18"/>
      <c r="G254" s="20"/>
      <c r="H254" s="19"/>
      <c r="I254" s="25" t="str">
        <f>IF(F254="","",IF(H254="",IFERROR(INDEX(Catalogue!$I$6:$I$55,MATCH(F254,Catalogue!$B$6:$B$55,0)),0),H254))</f>
        <v/>
      </c>
      <c r="J254" s="19"/>
      <c r="K254" s="25" t="str">
        <f t="shared" si="13"/>
        <v/>
      </c>
      <c r="L254" s="18"/>
      <c r="M254" s="18"/>
      <c r="N254" s="18"/>
      <c r="O254" s="19"/>
      <c r="P254" s="25" t="str">
        <f>IF(F254="","",IF(O254="",IFERROR(INDEX(Catalogue!$G$6:$G$55,MATCH(F254,Catalogue!$B$6:$B$55,0)),0),O254))</f>
        <v/>
      </c>
      <c r="Q254" s="25" t="str">
        <f>IF(F254="","",N(G254)*(IFERROR(INDEX(Catalogue!$E$6:$E$55,MATCH(F254,Catalogue!$B$6:$B$55,0)),0)+IFERROR(INDEX(Catalogue!$F$6:$F$55,MATCH(F254,Catalogue!$B$6:$B$55,0)),0)+IFERROR(INDEX(Catalogue!$H$6:$H$55,MATCH(F254,Catalogue!$B$6:$B$55,0)),0)))</f>
        <v/>
      </c>
      <c r="R254" s="25" t="str">
        <f t="shared" si="14"/>
        <v/>
      </c>
      <c r="S254" s="18"/>
      <c r="T254" s="24" t="str">
        <f t="shared" si="15"/>
        <v/>
      </c>
      <c r="U254" s="28" t="str">
        <f>IF(D254="","",IF(COUNTIF(D$6:D254,D254)=1,"Nouveau","Fidèle"))</f>
        <v/>
      </c>
    </row>
    <row r="255" spans="1:21" x14ac:dyDescent="0.25">
      <c r="A255" s="41" t="str">
        <f t="shared" si="12"/>
        <v/>
      </c>
      <c r="B255" s="38"/>
      <c r="C255" s="18"/>
      <c r="D255" s="18"/>
      <c r="E255" s="18"/>
      <c r="F255" s="18"/>
      <c r="G255" s="20"/>
      <c r="H255" s="19"/>
      <c r="I255" s="25" t="str">
        <f>IF(F255="","",IF(H255="",IFERROR(INDEX(Catalogue!$I$6:$I$55,MATCH(F255,Catalogue!$B$6:$B$55,0)),0),H255))</f>
        <v/>
      </c>
      <c r="J255" s="19"/>
      <c r="K255" s="25" t="str">
        <f t="shared" si="13"/>
        <v/>
      </c>
      <c r="L255" s="18"/>
      <c r="M255" s="18"/>
      <c r="N255" s="18"/>
      <c r="O255" s="19"/>
      <c r="P255" s="25" t="str">
        <f>IF(F255="","",IF(O255="",IFERROR(INDEX(Catalogue!$G$6:$G$55,MATCH(F255,Catalogue!$B$6:$B$55,0)),0),O255))</f>
        <v/>
      </c>
      <c r="Q255" s="25" t="str">
        <f>IF(F255="","",N(G255)*(IFERROR(INDEX(Catalogue!$E$6:$E$55,MATCH(F255,Catalogue!$B$6:$B$55,0)),0)+IFERROR(INDEX(Catalogue!$F$6:$F$55,MATCH(F255,Catalogue!$B$6:$B$55,0)),0)+IFERROR(INDEX(Catalogue!$H$6:$H$55,MATCH(F255,Catalogue!$B$6:$B$55,0)),0)))</f>
        <v/>
      </c>
      <c r="R255" s="25" t="str">
        <f t="shared" si="14"/>
        <v/>
      </c>
      <c r="S255" s="18"/>
      <c r="T255" s="24" t="str">
        <f t="shared" si="15"/>
        <v/>
      </c>
      <c r="U255" s="28" t="str">
        <f>IF(D255="","",IF(COUNTIF(D$6:D255,D255)=1,"Nouveau","Fidèle"))</f>
        <v/>
      </c>
    </row>
    <row r="256" spans="1:21" x14ac:dyDescent="0.25">
      <c r="A256" s="41" t="str">
        <f t="shared" si="12"/>
        <v/>
      </c>
      <c r="B256" s="38"/>
      <c r="C256" s="18"/>
      <c r="D256" s="18"/>
      <c r="E256" s="18"/>
      <c r="F256" s="18"/>
      <c r="G256" s="20"/>
      <c r="H256" s="19"/>
      <c r="I256" s="25" t="str">
        <f>IF(F256="","",IF(H256="",IFERROR(INDEX(Catalogue!$I$6:$I$55,MATCH(F256,Catalogue!$B$6:$B$55,0)),0),H256))</f>
        <v/>
      </c>
      <c r="J256" s="19"/>
      <c r="K256" s="25" t="str">
        <f t="shared" si="13"/>
        <v/>
      </c>
      <c r="L256" s="18"/>
      <c r="M256" s="18"/>
      <c r="N256" s="18"/>
      <c r="O256" s="19"/>
      <c r="P256" s="25" t="str">
        <f>IF(F256="","",IF(O256="",IFERROR(INDEX(Catalogue!$G$6:$G$55,MATCH(F256,Catalogue!$B$6:$B$55,0)),0),O256))</f>
        <v/>
      </c>
      <c r="Q256" s="25" t="str">
        <f>IF(F256="","",N(G256)*(IFERROR(INDEX(Catalogue!$E$6:$E$55,MATCH(F256,Catalogue!$B$6:$B$55,0)),0)+IFERROR(INDEX(Catalogue!$F$6:$F$55,MATCH(F256,Catalogue!$B$6:$B$55,0)),0)+IFERROR(INDEX(Catalogue!$H$6:$H$55,MATCH(F256,Catalogue!$B$6:$B$55,0)),0)))</f>
        <v/>
      </c>
      <c r="R256" s="25" t="str">
        <f t="shared" si="14"/>
        <v/>
      </c>
      <c r="S256" s="18"/>
      <c r="T256" s="24" t="str">
        <f t="shared" si="15"/>
        <v/>
      </c>
      <c r="U256" s="28" t="str">
        <f>IF(D256="","",IF(COUNTIF(D$6:D256,D256)=1,"Nouveau","Fidèle"))</f>
        <v/>
      </c>
    </row>
    <row r="257" spans="1:21" x14ac:dyDescent="0.25">
      <c r="A257" s="41" t="str">
        <f t="shared" si="12"/>
        <v/>
      </c>
      <c r="B257" s="38"/>
      <c r="C257" s="18"/>
      <c r="D257" s="18"/>
      <c r="E257" s="18"/>
      <c r="F257" s="18"/>
      <c r="G257" s="20"/>
      <c r="H257" s="19"/>
      <c r="I257" s="25" t="str">
        <f>IF(F257="","",IF(H257="",IFERROR(INDEX(Catalogue!$I$6:$I$55,MATCH(F257,Catalogue!$B$6:$B$55,0)),0),H257))</f>
        <v/>
      </c>
      <c r="J257" s="19"/>
      <c r="K257" s="25" t="str">
        <f t="shared" si="13"/>
        <v/>
      </c>
      <c r="L257" s="18"/>
      <c r="M257" s="18"/>
      <c r="N257" s="18"/>
      <c r="O257" s="19"/>
      <c r="P257" s="25" t="str">
        <f>IF(F257="","",IF(O257="",IFERROR(INDEX(Catalogue!$G$6:$G$55,MATCH(F257,Catalogue!$B$6:$B$55,0)),0),O257))</f>
        <v/>
      </c>
      <c r="Q257" s="25" t="str">
        <f>IF(F257="","",N(G257)*(IFERROR(INDEX(Catalogue!$E$6:$E$55,MATCH(F257,Catalogue!$B$6:$B$55,0)),0)+IFERROR(INDEX(Catalogue!$F$6:$F$55,MATCH(F257,Catalogue!$B$6:$B$55,0)),0)+IFERROR(INDEX(Catalogue!$H$6:$H$55,MATCH(F257,Catalogue!$B$6:$B$55,0)),0)))</f>
        <v/>
      </c>
      <c r="R257" s="25" t="str">
        <f t="shared" si="14"/>
        <v/>
      </c>
      <c r="S257" s="18"/>
      <c r="T257" s="24" t="str">
        <f t="shared" si="15"/>
        <v/>
      </c>
      <c r="U257" s="28" t="str">
        <f>IF(D257="","",IF(COUNTIF(D$6:D257,D257)=1,"Nouveau","Fidèle"))</f>
        <v/>
      </c>
    </row>
    <row r="258" spans="1:21" x14ac:dyDescent="0.25">
      <c r="A258" s="41" t="str">
        <f t="shared" si="12"/>
        <v/>
      </c>
      <c r="B258" s="38"/>
      <c r="C258" s="18"/>
      <c r="D258" s="18"/>
      <c r="E258" s="18"/>
      <c r="F258" s="18"/>
      <c r="G258" s="20"/>
      <c r="H258" s="19"/>
      <c r="I258" s="25" t="str">
        <f>IF(F258="","",IF(H258="",IFERROR(INDEX(Catalogue!$I$6:$I$55,MATCH(F258,Catalogue!$B$6:$B$55,0)),0),H258))</f>
        <v/>
      </c>
      <c r="J258" s="19"/>
      <c r="K258" s="25" t="str">
        <f t="shared" si="13"/>
        <v/>
      </c>
      <c r="L258" s="18"/>
      <c r="M258" s="18"/>
      <c r="N258" s="18"/>
      <c r="O258" s="19"/>
      <c r="P258" s="25" t="str">
        <f>IF(F258="","",IF(O258="",IFERROR(INDEX(Catalogue!$G$6:$G$55,MATCH(F258,Catalogue!$B$6:$B$55,0)),0),O258))</f>
        <v/>
      </c>
      <c r="Q258" s="25" t="str">
        <f>IF(F258="","",N(G258)*(IFERROR(INDEX(Catalogue!$E$6:$E$55,MATCH(F258,Catalogue!$B$6:$B$55,0)),0)+IFERROR(INDEX(Catalogue!$F$6:$F$55,MATCH(F258,Catalogue!$B$6:$B$55,0)),0)+IFERROR(INDEX(Catalogue!$H$6:$H$55,MATCH(F258,Catalogue!$B$6:$B$55,0)),0)))</f>
        <v/>
      </c>
      <c r="R258" s="25" t="str">
        <f t="shared" si="14"/>
        <v/>
      </c>
      <c r="S258" s="18"/>
      <c r="T258" s="24" t="str">
        <f t="shared" si="15"/>
        <v/>
      </c>
      <c r="U258" s="28" t="str">
        <f>IF(D258="","",IF(COUNTIF(D$6:D258,D258)=1,"Nouveau","Fidèle"))</f>
        <v/>
      </c>
    </row>
    <row r="259" spans="1:21" x14ac:dyDescent="0.25">
      <c r="A259" s="41" t="str">
        <f t="shared" si="12"/>
        <v/>
      </c>
      <c r="B259" s="38"/>
      <c r="C259" s="18"/>
      <c r="D259" s="18"/>
      <c r="E259" s="18"/>
      <c r="F259" s="18"/>
      <c r="G259" s="20"/>
      <c r="H259" s="19"/>
      <c r="I259" s="25" t="str">
        <f>IF(F259="","",IF(H259="",IFERROR(INDEX(Catalogue!$I$6:$I$55,MATCH(F259,Catalogue!$B$6:$B$55,0)),0),H259))</f>
        <v/>
      </c>
      <c r="J259" s="19"/>
      <c r="K259" s="25" t="str">
        <f t="shared" si="13"/>
        <v/>
      </c>
      <c r="L259" s="18"/>
      <c r="M259" s="18"/>
      <c r="N259" s="18"/>
      <c r="O259" s="19"/>
      <c r="P259" s="25" t="str">
        <f>IF(F259="","",IF(O259="",IFERROR(INDEX(Catalogue!$G$6:$G$55,MATCH(F259,Catalogue!$B$6:$B$55,0)),0),O259))</f>
        <v/>
      </c>
      <c r="Q259" s="25" t="str">
        <f>IF(F259="","",N(G259)*(IFERROR(INDEX(Catalogue!$E$6:$E$55,MATCH(F259,Catalogue!$B$6:$B$55,0)),0)+IFERROR(INDEX(Catalogue!$F$6:$F$55,MATCH(F259,Catalogue!$B$6:$B$55,0)),0)+IFERROR(INDEX(Catalogue!$H$6:$H$55,MATCH(F259,Catalogue!$B$6:$B$55,0)),0)))</f>
        <v/>
      </c>
      <c r="R259" s="25" t="str">
        <f t="shared" si="14"/>
        <v/>
      </c>
      <c r="S259" s="18"/>
      <c r="T259" s="24" t="str">
        <f t="shared" si="15"/>
        <v/>
      </c>
      <c r="U259" s="28" t="str">
        <f>IF(D259="","",IF(COUNTIF(D$6:D259,D259)=1,"Nouveau","Fidèle"))</f>
        <v/>
      </c>
    </row>
    <row r="260" spans="1:21" x14ac:dyDescent="0.25">
      <c r="A260" s="41" t="str">
        <f t="shared" si="12"/>
        <v/>
      </c>
      <c r="B260" s="38"/>
      <c r="C260" s="18"/>
      <c r="D260" s="18"/>
      <c r="E260" s="18"/>
      <c r="F260" s="18"/>
      <c r="G260" s="20"/>
      <c r="H260" s="19"/>
      <c r="I260" s="25" t="str">
        <f>IF(F260="","",IF(H260="",IFERROR(INDEX(Catalogue!$I$6:$I$55,MATCH(F260,Catalogue!$B$6:$B$55,0)),0),H260))</f>
        <v/>
      </c>
      <c r="J260" s="19"/>
      <c r="K260" s="25" t="str">
        <f t="shared" si="13"/>
        <v/>
      </c>
      <c r="L260" s="18"/>
      <c r="M260" s="18"/>
      <c r="N260" s="18"/>
      <c r="O260" s="19"/>
      <c r="P260" s="25" t="str">
        <f>IF(F260="","",IF(O260="",IFERROR(INDEX(Catalogue!$G$6:$G$55,MATCH(F260,Catalogue!$B$6:$B$55,0)),0),O260))</f>
        <v/>
      </c>
      <c r="Q260" s="25" t="str">
        <f>IF(F260="","",N(G260)*(IFERROR(INDEX(Catalogue!$E$6:$E$55,MATCH(F260,Catalogue!$B$6:$B$55,0)),0)+IFERROR(INDEX(Catalogue!$F$6:$F$55,MATCH(F260,Catalogue!$B$6:$B$55,0)),0)+IFERROR(INDEX(Catalogue!$H$6:$H$55,MATCH(F260,Catalogue!$B$6:$B$55,0)),0)))</f>
        <v/>
      </c>
      <c r="R260" s="25" t="str">
        <f t="shared" si="14"/>
        <v/>
      </c>
      <c r="S260" s="18"/>
      <c r="T260" s="24" t="str">
        <f t="shared" si="15"/>
        <v/>
      </c>
      <c r="U260" s="28" t="str">
        <f>IF(D260="","",IF(COUNTIF(D$6:D260,D260)=1,"Nouveau","Fidèle"))</f>
        <v/>
      </c>
    </row>
    <row r="261" spans="1:21" x14ac:dyDescent="0.25">
      <c r="A261" s="41" t="str">
        <f t="shared" si="12"/>
        <v/>
      </c>
      <c r="B261" s="38"/>
      <c r="C261" s="18"/>
      <c r="D261" s="18"/>
      <c r="E261" s="18"/>
      <c r="F261" s="18"/>
      <c r="G261" s="20"/>
      <c r="H261" s="19"/>
      <c r="I261" s="25" t="str">
        <f>IF(F261="","",IF(H261="",IFERROR(INDEX(Catalogue!$I$6:$I$55,MATCH(F261,Catalogue!$B$6:$B$55,0)),0),H261))</f>
        <v/>
      </c>
      <c r="J261" s="19"/>
      <c r="K261" s="25" t="str">
        <f t="shared" si="13"/>
        <v/>
      </c>
      <c r="L261" s="18"/>
      <c r="M261" s="18"/>
      <c r="N261" s="18"/>
      <c r="O261" s="19"/>
      <c r="P261" s="25" t="str">
        <f>IF(F261="","",IF(O261="",IFERROR(INDEX(Catalogue!$G$6:$G$55,MATCH(F261,Catalogue!$B$6:$B$55,0)),0),O261))</f>
        <v/>
      </c>
      <c r="Q261" s="25" t="str">
        <f>IF(F261="","",N(G261)*(IFERROR(INDEX(Catalogue!$E$6:$E$55,MATCH(F261,Catalogue!$B$6:$B$55,0)),0)+IFERROR(INDEX(Catalogue!$F$6:$F$55,MATCH(F261,Catalogue!$B$6:$B$55,0)),0)+IFERROR(INDEX(Catalogue!$H$6:$H$55,MATCH(F261,Catalogue!$B$6:$B$55,0)),0)))</f>
        <v/>
      </c>
      <c r="R261" s="25" t="str">
        <f t="shared" si="14"/>
        <v/>
      </c>
      <c r="S261" s="18"/>
      <c r="T261" s="24" t="str">
        <f t="shared" si="15"/>
        <v/>
      </c>
      <c r="U261" s="28" t="str">
        <f>IF(D261="","",IF(COUNTIF(D$6:D261,D261)=1,"Nouveau","Fidèle"))</f>
        <v/>
      </c>
    </row>
    <row r="262" spans="1:21" x14ac:dyDescent="0.25">
      <c r="A262" s="41" t="str">
        <f t="shared" ref="A262:A325" si="16">IF(B262="","",ROW()-5)</f>
        <v/>
      </c>
      <c r="B262" s="38"/>
      <c r="C262" s="18"/>
      <c r="D262" s="18"/>
      <c r="E262" s="18"/>
      <c r="F262" s="18"/>
      <c r="G262" s="20"/>
      <c r="H262" s="19"/>
      <c r="I262" s="25" t="str">
        <f>IF(F262="","",IF(H262="",IFERROR(INDEX(Catalogue!$I$6:$I$55,MATCH(F262,Catalogue!$B$6:$B$55,0)),0),H262))</f>
        <v/>
      </c>
      <c r="J262" s="19"/>
      <c r="K262" s="25" t="str">
        <f t="shared" ref="K262:K325" si="17">IF(F262="","",N(G262)*I262-N(J262))</f>
        <v/>
      </c>
      <c r="L262" s="18"/>
      <c r="M262" s="18"/>
      <c r="N262" s="18"/>
      <c r="O262" s="19"/>
      <c r="P262" s="25" t="str">
        <f>IF(F262="","",IF(O262="",IFERROR(INDEX(Catalogue!$G$6:$G$55,MATCH(F262,Catalogue!$B$6:$B$55,0)),0),O262))</f>
        <v/>
      </c>
      <c r="Q262" s="25" t="str">
        <f>IF(F262="","",N(G262)*(IFERROR(INDEX(Catalogue!$E$6:$E$55,MATCH(F262,Catalogue!$B$6:$B$55,0)),0)+IFERROR(INDEX(Catalogue!$F$6:$F$55,MATCH(F262,Catalogue!$B$6:$B$55,0)),0)+IFERROR(INDEX(Catalogue!$H$6:$H$55,MATCH(F262,Catalogue!$B$6:$B$55,0)),0)))</f>
        <v/>
      </c>
      <c r="R262" s="25" t="str">
        <f t="shared" ref="R262:R325" si="18">IF(F262="","",IF(M262="Livrée et payée",K262-Q262-P262,IF(M262="Annulée",-N(P262),0)))</f>
        <v/>
      </c>
      <c r="S262" s="18"/>
      <c r="T262" s="24" t="str">
        <f t="shared" ref="T262:T325" si="19">IF(B262="","",DATE(YEAR(B262),MONTH(B262),1))</f>
        <v/>
      </c>
      <c r="U262" s="28" t="str">
        <f>IF(D262="","",IF(COUNTIF(D$6:D262,D262)=1,"Nouveau","Fidèle"))</f>
        <v/>
      </c>
    </row>
    <row r="263" spans="1:21" x14ac:dyDescent="0.25">
      <c r="A263" s="41" t="str">
        <f t="shared" si="16"/>
        <v/>
      </c>
      <c r="B263" s="38"/>
      <c r="C263" s="18"/>
      <c r="D263" s="18"/>
      <c r="E263" s="18"/>
      <c r="F263" s="18"/>
      <c r="G263" s="20"/>
      <c r="H263" s="19"/>
      <c r="I263" s="25" t="str">
        <f>IF(F263="","",IF(H263="",IFERROR(INDEX(Catalogue!$I$6:$I$55,MATCH(F263,Catalogue!$B$6:$B$55,0)),0),H263))</f>
        <v/>
      </c>
      <c r="J263" s="19"/>
      <c r="K263" s="25" t="str">
        <f t="shared" si="17"/>
        <v/>
      </c>
      <c r="L263" s="18"/>
      <c r="M263" s="18"/>
      <c r="N263" s="18"/>
      <c r="O263" s="19"/>
      <c r="P263" s="25" t="str">
        <f>IF(F263="","",IF(O263="",IFERROR(INDEX(Catalogue!$G$6:$G$55,MATCH(F263,Catalogue!$B$6:$B$55,0)),0),O263))</f>
        <v/>
      </c>
      <c r="Q263" s="25" t="str">
        <f>IF(F263="","",N(G263)*(IFERROR(INDEX(Catalogue!$E$6:$E$55,MATCH(F263,Catalogue!$B$6:$B$55,0)),0)+IFERROR(INDEX(Catalogue!$F$6:$F$55,MATCH(F263,Catalogue!$B$6:$B$55,0)),0)+IFERROR(INDEX(Catalogue!$H$6:$H$55,MATCH(F263,Catalogue!$B$6:$B$55,0)),0)))</f>
        <v/>
      </c>
      <c r="R263" s="25" t="str">
        <f t="shared" si="18"/>
        <v/>
      </c>
      <c r="S263" s="18"/>
      <c r="T263" s="24" t="str">
        <f t="shared" si="19"/>
        <v/>
      </c>
      <c r="U263" s="28" t="str">
        <f>IF(D263="","",IF(COUNTIF(D$6:D263,D263)=1,"Nouveau","Fidèle"))</f>
        <v/>
      </c>
    </row>
    <row r="264" spans="1:21" x14ac:dyDescent="0.25">
      <c r="A264" s="41" t="str">
        <f t="shared" si="16"/>
        <v/>
      </c>
      <c r="B264" s="38"/>
      <c r="C264" s="18"/>
      <c r="D264" s="18"/>
      <c r="E264" s="18"/>
      <c r="F264" s="18"/>
      <c r="G264" s="20"/>
      <c r="H264" s="19"/>
      <c r="I264" s="25" t="str">
        <f>IF(F264="","",IF(H264="",IFERROR(INDEX(Catalogue!$I$6:$I$55,MATCH(F264,Catalogue!$B$6:$B$55,0)),0),H264))</f>
        <v/>
      </c>
      <c r="J264" s="19"/>
      <c r="K264" s="25" t="str">
        <f t="shared" si="17"/>
        <v/>
      </c>
      <c r="L264" s="18"/>
      <c r="M264" s="18"/>
      <c r="N264" s="18"/>
      <c r="O264" s="19"/>
      <c r="P264" s="25" t="str">
        <f>IF(F264="","",IF(O264="",IFERROR(INDEX(Catalogue!$G$6:$G$55,MATCH(F264,Catalogue!$B$6:$B$55,0)),0),O264))</f>
        <v/>
      </c>
      <c r="Q264" s="25" t="str">
        <f>IF(F264="","",N(G264)*(IFERROR(INDEX(Catalogue!$E$6:$E$55,MATCH(F264,Catalogue!$B$6:$B$55,0)),0)+IFERROR(INDEX(Catalogue!$F$6:$F$55,MATCH(F264,Catalogue!$B$6:$B$55,0)),0)+IFERROR(INDEX(Catalogue!$H$6:$H$55,MATCH(F264,Catalogue!$B$6:$B$55,0)),0)))</f>
        <v/>
      </c>
      <c r="R264" s="25" t="str">
        <f t="shared" si="18"/>
        <v/>
      </c>
      <c r="S264" s="18"/>
      <c r="T264" s="24" t="str">
        <f t="shared" si="19"/>
        <v/>
      </c>
      <c r="U264" s="28" t="str">
        <f>IF(D264="","",IF(COUNTIF(D$6:D264,D264)=1,"Nouveau","Fidèle"))</f>
        <v/>
      </c>
    </row>
    <row r="265" spans="1:21" x14ac:dyDescent="0.25">
      <c r="A265" s="41" t="str">
        <f t="shared" si="16"/>
        <v/>
      </c>
      <c r="B265" s="38"/>
      <c r="C265" s="18"/>
      <c r="D265" s="18"/>
      <c r="E265" s="18"/>
      <c r="F265" s="18"/>
      <c r="G265" s="20"/>
      <c r="H265" s="19"/>
      <c r="I265" s="25" t="str">
        <f>IF(F265="","",IF(H265="",IFERROR(INDEX(Catalogue!$I$6:$I$55,MATCH(F265,Catalogue!$B$6:$B$55,0)),0),H265))</f>
        <v/>
      </c>
      <c r="J265" s="19"/>
      <c r="K265" s="25" t="str">
        <f t="shared" si="17"/>
        <v/>
      </c>
      <c r="L265" s="18"/>
      <c r="M265" s="18"/>
      <c r="N265" s="18"/>
      <c r="O265" s="19"/>
      <c r="P265" s="25" t="str">
        <f>IF(F265="","",IF(O265="",IFERROR(INDEX(Catalogue!$G$6:$G$55,MATCH(F265,Catalogue!$B$6:$B$55,0)),0),O265))</f>
        <v/>
      </c>
      <c r="Q265" s="25" t="str">
        <f>IF(F265="","",N(G265)*(IFERROR(INDEX(Catalogue!$E$6:$E$55,MATCH(F265,Catalogue!$B$6:$B$55,0)),0)+IFERROR(INDEX(Catalogue!$F$6:$F$55,MATCH(F265,Catalogue!$B$6:$B$55,0)),0)+IFERROR(INDEX(Catalogue!$H$6:$H$55,MATCH(F265,Catalogue!$B$6:$B$55,0)),0)))</f>
        <v/>
      </c>
      <c r="R265" s="25" t="str">
        <f t="shared" si="18"/>
        <v/>
      </c>
      <c r="S265" s="18"/>
      <c r="T265" s="24" t="str">
        <f t="shared" si="19"/>
        <v/>
      </c>
      <c r="U265" s="28" t="str">
        <f>IF(D265="","",IF(COUNTIF(D$6:D265,D265)=1,"Nouveau","Fidèle"))</f>
        <v/>
      </c>
    </row>
    <row r="266" spans="1:21" x14ac:dyDescent="0.25">
      <c r="A266" s="41" t="str">
        <f t="shared" si="16"/>
        <v/>
      </c>
      <c r="B266" s="38"/>
      <c r="C266" s="18"/>
      <c r="D266" s="18"/>
      <c r="E266" s="18"/>
      <c r="F266" s="18"/>
      <c r="G266" s="20"/>
      <c r="H266" s="19"/>
      <c r="I266" s="25" t="str">
        <f>IF(F266="","",IF(H266="",IFERROR(INDEX(Catalogue!$I$6:$I$55,MATCH(F266,Catalogue!$B$6:$B$55,0)),0),H266))</f>
        <v/>
      </c>
      <c r="J266" s="19"/>
      <c r="K266" s="25" t="str">
        <f t="shared" si="17"/>
        <v/>
      </c>
      <c r="L266" s="18"/>
      <c r="M266" s="18"/>
      <c r="N266" s="18"/>
      <c r="O266" s="19"/>
      <c r="P266" s="25" t="str">
        <f>IF(F266="","",IF(O266="",IFERROR(INDEX(Catalogue!$G$6:$G$55,MATCH(F266,Catalogue!$B$6:$B$55,0)),0),O266))</f>
        <v/>
      </c>
      <c r="Q266" s="25" t="str">
        <f>IF(F266="","",N(G266)*(IFERROR(INDEX(Catalogue!$E$6:$E$55,MATCH(F266,Catalogue!$B$6:$B$55,0)),0)+IFERROR(INDEX(Catalogue!$F$6:$F$55,MATCH(F266,Catalogue!$B$6:$B$55,0)),0)+IFERROR(INDEX(Catalogue!$H$6:$H$55,MATCH(F266,Catalogue!$B$6:$B$55,0)),0)))</f>
        <v/>
      </c>
      <c r="R266" s="25" t="str">
        <f t="shared" si="18"/>
        <v/>
      </c>
      <c r="S266" s="18"/>
      <c r="T266" s="24" t="str">
        <f t="shared" si="19"/>
        <v/>
      </c>
      <c r="U266" s="28" t="str">
        <f>IF(D266="","",IF(COUNTIF(D$6:D266,D266)=1,"Nouveau","Fidèle"))</f>
        <v/>
      </c>
    </row>
    <row r="267" spans="1:21" x14ac:dyDescent="0.25">
      <c r="A267" s="41" t="str">
        <f t="shared" si="16"/>
        <v/>
      </c>
      <c r="B267" s="38"/>
      <c r="C267" s="18"/>
      <c r="D267" s="18"/>
      <c r="E267" s="18"/>
      <c r="F267" s="18"/>
      <c r="G267" s="20"/>
      <c r="H267" s="19"/>
      <c r="I267" s="25" t="str">
        <f>IF(F267="","",IF(H267="",IFERROR(INDEX(Catalogue!$I$6:$I$55,MATCH(F267,Catalogue!$B$6:$B$55,0)),0),H267))</f>
        <v/>
      </c>
      <c r="J267" s="19"/>
      <c r="K267" s="25" t="str">
        <f t="shared" si="17"/>
        <v/>
      </c>
      <c r="L267" s="18"/>
      <c r="M267" s="18"/>
      <c r="N267" s="18"/>
      <c r="O267" s="19"/>
      <c r="P267" s="25" t="str">
        <f>IF(F267="","",IF(O267="",IFERROR(INDEX(Catalogue!$G$6:$G$55,MATCH(F267,Catalogue!$B$6:$B$55,0)),0),O267))</f>
        <v/>
      </c>
      <c r="Q267" s="25" t="str">
        <f>IF(F267="","",N(G267)*(IFERROR(INDEX(Catalogue!$E$6:$E$55,MATCH(F267,Catalogue!$B$6:$B$55,0)),0)+IFERROR(INDEX(Catalogue!$F$6:$F$55,MATCH(F267,Catalogue!$B$6:$B$55,0)),0)+IFERROR(INDEX(Catalogue!$H$6:$H$55,MATCH(F267,Catalogue!$B$6:$B$55,0)),0)))</f>
        <v/>
      </c>
      <c r="R267" s="25" t="str">
        <f t="shared" si="18"/>
        <v/>
      </c>
      <c r="S267" s="18"/>
      <c r="T267" s="24" t="str">
        <f t="shared" si="19"/>
        <v/>
      </c>
      <c r="U267" s="28" t="str">
        <f>IF(D267="","",IF(COUNTIF(D$6:D267,D267)=1,"Nouveau","Fidèle"))</f>
        <v/>
      </c>
    </row>
    <row r="268" spans="1:21" x14ac:dyDescent="0.25">
      <c r="A268" s="41" t="str">
        <f t="shared" si="16"/>
        <v/>
      </c>
      <c r="B268" s="38"/>
      <c r="C268" s="18"/>
      <c r="D268" s="18"/>
      <c r="E268" s="18"/>
      <c r="F268" s="18"/>
      <c r="G268" s="20"/>
      <c r="H268" s="19"/>
      <c r="I268" s="25" t="str">
        <f>IF(F268="","",IF(H268="",IFERROR(INDEX(Catalogue!$I$6:$I$55,MATCH(F268,Catalogue!$B$6:$B$55,0)),0),H268))</f>
        <v/>
      </c>
      <c r="J268" s="19"/>
      <c r="K268" s="25" t="str">
        <f t="shared" si="17"/>
        <v/>
      </c>
      <c r="L268" s="18"/>
      <c r="M268" s="18"/>
      <c r="N268" s="18"/>
      <c r="O268" s="19"/>
      <c r="P268" s="25" t="str">
        <f>IF(F268="","",IF(O268="",IFERROR(INDEX(Catalogue!$G$6:$G$55,MATCH(F268,Catalogue!$B$6:$B$55,0)),0),O268))</f>
        <v/>
      </c>
      <c r="Q268" s="25" t="str">
        <f>IF(F268="","",N(G268)*(IFERROR(INDEX(Catalogue!$E$6:$E$55,MATCH(F268,Catalogue!$B$6:$B$55,0)),0)+IFERROR(INDEX(Catalogue!$F$6:$F$55,MATCH(F268,Catalogue!$B$6:$B$55,0)),0)+IFERROR(INDEX(Catalogue!$H$6:$H$55,MATCH(F268,Catalogue!$B$6:$B$55,0)),0)))</f>
        <v/>
      </c>
      <c r="R268" s="25" t="str">
        <f t="shared" si="18"/>
        <v/>
      </c>
      <c r="S268" s="18"/>
      <c r="T268" s="24" t="str">
        <f t="shared" si="19"/>
        <v/>
      </c>
      <c r="U268" s="28" t="str">
        <f>IF(D268="","",IF(COUNTIF(D$6:D268,D268)=1,"Nouveau","Fidèle"))</f>
        <v/>
      </c>
    </row>
    <row r="269" spans="1:21" x14ac:dyDescent="0.25">
      <c r="A269" s="41" t="str">
        <f t="shared" si="16"/>
        <v/>
      </c>
      <c r="B269" s="38"/>
      <c r="C269" s="18"/>
      <c r="D269" s="18"/>
      <c r="E269" s="18"/>
      <c r="F269" s="18"/>
      <c r="G269" s="20"/>
      <c r="H269" s="19"/>
      <c r="I269" s="25" t="str">
        <f>IF(F269="","",IF(H269="",IFERROR(INDEX(Catalogue!$I$6:$I$55,MATCH(F269,Catalogue!$B$6:$B$55,0)),0),H269))</f>
        <v/>
      </c>
      <c r="J269" s="19"/>
      <c r="K269" s="25" t="str">
        <f t="shared" si="17"/>
        <v/>
      </c>
      <c r="L269" s="18"/>
      <c r="M269" s="18"/>
      <c r="N269" s="18"/>
      <c r="O269" s="19"/>
      <c r="P269" s="25" t="str">
        <f>IF(F269="","",IF(O269="",IFERROR(INDEX(Catalogue!$G$6:$G$55,MATCH(F269,Catalogue!$B$6:$B$55,0)),0),O269))</f>
        <v/>
      </c>
      <c r="Q269" s="25" t="str">
        <f>IF(F269="","",N(G269)*(IFERROR(INDEX(Catalogue!$E$6:$E$55,MATCH(F269,Catalogue!$B$6:$B$55,0)),0)+IFERROR(INDEX(Catalogue!$F$6:$F$55,MATCH(F269,Catalogue!$B$6:$B$55,0)),0)+IFERROR(INDEX(Catalogue!$H$6:$H$55,MATCH(F269,Catalogue!$B$6:$B$55,0)),0)))</f>
        <v/>
      </c>
      <c r="R269" s="25" t="str">
        <f t="shared" si="18"/>
        <v/>
      </c>
      <c r="S269" s="18"/>
      <c r="T269" s="24" t="str">
        <f t="shared" si="19"/>
        <v/>
      </c>
      <c r="U269" s="28" t="str">
        <f>IF(D269="","",IF(COUNTIF(D$6:D269,D269)=1,"Nouveau","Fidèle"))</f>
        <v/>
      </c>
    </row>
    <row r="270" spans="1:21" x14ac:dyDescent="0.25">
      <c r="A270" s="41" t="str">
        <f t="shared" si="16"/>
        <v/>
      </c>
      <c r="B270" s="38"/>
      <c r="C270" s="18"/>
      <c r="D270" s="18"/>
      <c r="E270" s="18"/>
      <c r="F270" s="18"/>
      <c r="G270" s="20"/>
      <c r="H270" s="19"/>
      <c r="I270" s="25" t="str">
        <f>IF(F270="","",IF(H270="",IFERROR(INDEX(Catalogue!$I$6:$I$55,MATCH(F270,Catalogue!$B$6:$B$55,0)),0),H270))</f>
        <v/>
      </c>
      <c r="J270" s="19"/>
      <c r="K270" s="25" t="str">
        <f t="shared" si="17"/>
        <v/>
      </c>
      <c r="L270" s="18"/>
      <c r="M270" s="18"/>
      <c r="N270" s="18"/>
      <c r="O270" s="19"/>
      <c r="P270" s="25" t="str">
        <f>IF(F270="","",IF(O270="",IFERROR(INDEX(Catalogue!$G$6:$G$55,MATCH(F270,Catalogue!$B$6:$B$55,0)),0),O270))</f>
        <v/>
      </c>
      <c r="Q270" s="25" t="str">
        <f>IF(F270="","",N(G270)*(IFERROR(INDEX(Catalogue!$E$6:$E$55,MATCH(F270,Catalogue!$B$6:$B$55,0)),0)+IFERROR(INDEX(Catalogue!$F$6:$F$55,MATCH(F270,Catalogue!$B$6:$B$55,0)),0)+IFERROR(INDEX(Catalogue!$H$6:$H$55,MATCH(F270,Catalogue!$B$6:$B$55,0)),0)))</f>
        <v/>
      </c>
      <c r="R270" s="25" t="str">
        <f t="shared" si="18"/>
        <v/>
      </c>
      <c r="S270" s="18"/>
      <c r="T270" s="24" t="str">
        <f t="shared" si="19"/>
        <v/>
      </c>
      <c r="U270" s="28" t="str">
        <f>IF(D270="","",IF(COUNTIF(D$6:D270,D270)=1,"Nouveau","Fidèle"))</f>
        <v/>
      </c>
    </row>
    <row r="271" spans="1:21" x14ac:dyDescent="0.25">
      <c r="A271" s="41" t="str">
        <f t="shared" si="16"/>
        <v/>
      </c>
      <c r="B271" s="38"/>
      <c r="C271" s="18"/>
      <c r="D271" s="18"/>
      <c r="E271" s="18"/>
      <c r="F271" s="18"/>
      <c r="G271" s="20"/>
      <c r="H271" s="19"/>
      <c r="I271" s="25" t="str">
        <f>IF(F271="","",IF(H271="",IFERROR(INDEX(Catalogue!$I$6:$I$55,MATCH(F271,Catalogue!$B$6:$B$55,0)),0),H271))</f>
        <v/>
      </c>
      <c r="J271" s="19"/>
      <c r="K271" s="25" t="str">
        <f t="shared" si="17"/>
        <v/>
      </c>
      <c r="L271" s="18"/>
      <c r="M271" s="18"/>
      <c r="N271" s="18"/>
      <c r="O271" s="19"/>
      <c r="P271" s="25" t="str">
        <f>IF(F271="","",IF(O271="",IFERROR(INDEX(Catalogue!$G$6:$G$55,MATCH(F271,Catalogue!$B$6:$B$55,0)),0),O271))</f>
        <v/>
      </c>
      <c r="Q271" s="25" t="str">
        <f>IF(F271="","",N(G271)*(IFERROR(INDEX(Catalogue!$E$6:$E$55,MATCH(F271,Catalogue!$B$6:$B$55,0)),0)+IFERROR(INDEX(Catalogue!$F$6:$F$55,MATCH(F271,Catalogue!$B$6:$B$55,0)),0)+IFERROR(INDEX(Catalogue!$H$6:$H$55,MATCH(F271,Catalogue!$B$6:$B$55,0)),0)))</f>
        <v/>
      </c>
      <c r="R271" s="25" t="str">
        <f t="shared" si="18"/>
        <v/>
      </c>
      <c r="S271" s="18"/>
      <c r="T271" s="24" t="str">
        <f t="shared" si="19"/>
        <v/>
      </c>
      <c r="U271" s="28" t="str">
        <f>IF(D271="","",IF(COUNTIF(D$6:D271,D271)=1,"Nouveau","Fidèle"))</f>
        <v/>
      </c>
    </row>
    <row r="272" spans="1:21" x14ac:dyDescent="0.25">
      <c r="A272" s="41" t="str">
        <f t="shared" si="16"/>
        <v/>
      </c>
      <c r="B272" s="38"/>
      <c r="C272" s="18"/>
      <c r="D272" s="18"/>
      <c r="E272" s="18"/>
      <c r="F272" s="18"/>
      <c r="G272" s="20"/>
      <c r="H272" s="19"/>
      <c r="I272" s="25" t="str">
        <f>IF(F272="","",IF(H272="",IFERROR(INDEX(Catalogue!$I$6:$I$55,MATCH(F272,Catalogue!$B$6:$B$55,0)),0),H272))</f>
        <v/>
      </c>
      <c r="J272" s="19"/>
      <c r="K272" s="25" t="str">
        <f t="shared" si="17"/>
        <v/>
      </c>
      <c r="L272" s="18"/>
      <c r="M272" s="18"/>
      <c r="N272" s="18"/>
      <c r="O272" s="19"/>
      <c r="P272" s="25" t="str">
        <f>IF(F272="","",IF(O272="",IFERROR(INDEX(Catalogue!$G$6:$G$55,MATCH(F272,Catalogue!$B$6:$B$55,0)),0),O272))</f>
        <v/>
      </c>
      <c r="Q272" s="25" t="str">
        <f>IF(F272="","",N(G272)*(IFERROR(INDEX(Catalogue!$E$6:$E$55,MATCH(F272,Catalogue!$B$6:$B$55,0)),0)+IFERROR(INDEX(Catalogue!$F$6:$F$55,MATCH(F272,Catalogue!$B$6:$B$55,0)),0)+IFERROR(INDEX(Catalogue!$H$6:$H$55,MATCH(F272,Catalogue!$B$6:$B$55,0)),0)))</f>
        <v/>
      </c>
      <c r="R272" s="25" t="str">
        <f t="shared" si="18"/>
        <v/>
      </c>
      <c r="S272" s="18"/>
      <c r="T272" s="24" t="str">
        <f t="shared" si="19"/>
        <v/>
      </c>
      <c r="U272" s="28" t="str">
        <f>IF(D272="","",IF(COUNTIF(D$6:D272,D272)=1,"Nouveau","Fidèle"))</f>
        <v/>
      </c>
    </row>
    <row r="273" spans="1:21" x14ac:dyDescent="0.25">
      <c r="A273" s="41" t="str">
        <f t="shared" si="16"/>
        <v/>
      </c>
      <c r="B273" s="38"/>
      <c r="C273" s="18"/>
      <c r="D273" s="18"/>
      <c r="E273" s="18"/>
      <c r="F273" s="18"/>
      <c r="G273" s="20"/>
      <c r="H273" s="19"/>
      <c r="I273" s="25" t="str">
        <f>IF(F273="","",IF(H273="",IFERROR(INDEX(Catalogue!$I$6:$I$55,MATCH(F273,Catalogue!$B$6:$B$55,0)),0),H273))</f>
        <v/>
      </c>
      <c r="J273" s="19"/>
      <c r="K273" s="25" t="str">
        <f t="shared" si="17"/>
        <v/>
      </c>
      <c r="L273" s="18"/>
      <c r="M273" s="18"/>
      <c r="N273" s="18"/>
      <c r="O273" s="19"/>
      <c r="P273" s="25" t="str">
        <f>IF(F273="","",IF(O273="",IFERROR(INDEX(Catalogue!$G$6:$G$55,MATCH(F273,Catalogue!$B$6:$B$55,0)),0),O273))</f>
        <v/>
      </c>
      <c r="Q273" s="25" t="str">
        <f>IF(F273="","",N(G273)*(IFERROR(INDEX(Catalogue!$E$6:$E$55,MATCH(F273,Catalogue!$B$6:$B$55,0)),0)+IFERROR(INDEX(Catalogue!$F$6:$F$55,MATCH(F273,Catalogue!$B$6:$B$55,0)),0)+IFERROR(INDEX(Catalogue!$H$6:$H$55,MATCH(F273,Catalogue!$B$6:$B$55,0)),0)))</f>
        <v/>
      </c>
      <c r="R273" s="25" t="str">
        <f t="shared" si="18"/>
        <v/>
      </c>
      <c r="S273" s="18"/>
      <c r="T273" s="24" t="str">
        <f t="shared" si="19"/>
        <v/>
      </c>
      <c r="U273" s="28" t="str">
        <f>IF(D273="","",IF(COUNTIF(D$6:D273,D273)=1,"Nouveau","Fidèle"))</f>
        <v/>
      </c>
    </row>
    <row r="274" spans="1:21" x14ac:dyDescent="0.25">
      <c r="A274" s="41" t="str">
        <f t="shared" si="16"/>
        <v/>
      </c>
      <c r="B274" s="38"/>
      <c r="C274" s="18"/>
      <c r="D274" s="18"/>
      <c r="E274" s="18"/>
      <c r="F274" s="18"/>
      <c r="G274" s="20"/>
      <c r="H274" s="19"/>
      <c r="I274" s="25" t="str">
        <f>IF(F274="","",IF(H274="",IFERROR(INDEX(Catalogue!$I$6:$I$55,MATCH(F274,Catalogue!$B$6:$B$55,0)),0),H274))</f>
        <v/>
      </c>
      <c r="J274" s="19"/>
      <c r="K274" s="25" t="str">
        <f t="shared" si="17"/>
        <v/>
      </c>
      <c r="L274" s="18"/>
      <c r="M274" s="18"/>
      <c r="N274" s="18"/>
      <c r="O274" s="19"/>
      <c r="P274" s="25" t="str">
        <f>IF(F274="","",IF(O274="",IFERROR(INDEX(Catalogue!$G$6:$G$55,MATCH(F274,Catalogue!$B$6:$B$55,0)),0),O274))</f>
        <v/>
      </c>
      <c r="Q274" s="25" t="str">
        <f>IF(F274="","",N(G274)*(IFERROR(INDEX(Catalogue!$E$6:$E$55,MATCH(F274,Catalogue!$B$6:$B$55,0)),0)+IFERROR(INDEX(Catalogue!$F$6:$F$55,MATCH(F274,Catalogue!$B$6:$B$55,0)),0)+IFERROR(INDEX(Catalogue!$H$6:$H$55,MATCH(F274,Catalogue!$B$6:$B$55,0)),0)))</f>
        <v/>
      </c>
      <c r="R274" s="25" t="str">
        <f t="shared" si="18"/>
        <v/>
      </c>
      <c r="S274" s="18"/>
      <c r="T274" s="24" t="str">
        <f t="shared" si="19"/>
        <v/>
      </c>
      <c r="U274" s="28" t="str">
        <f>IF(D274="","",IF(COUNTIF(D$6:D274,D274)=1,"Nouveau","Fidèle"))</f>
        <v/>
      </c>
    </row>
    <row r="275" spans="1:21" x14ac:dyDescent="0.25">
      <c r="A275" s="41" t="str">
        <f t="shared" si="16"/>
        <v/>
      </c>
      <c r="B275" s="38"/>
      <c r="C275" s="18"/>
      <c r="D275" s="18"/>
      <c r="E275" s="18"/>
      <c r="F275" s="18"/>
      <c r="G275" s="20"/>
      <c r="H275" s="19"/>
      <c r="I275" s="25" t="str">
        <f>IF(F275="","",IF(H275="",IFERROR(INDEX(Catalogue!$I$6:$I$55,MATCH(F275,Catalogue!$B$6:$B$55,0)),0),H275))</f>
        <v/>
      </c>
      <c r="J275" s="19"/>
      <c r="K275" s="25" t="str">
        <f t="shared" si="17"/>
        <v/>
      </c>
      <c r="L275" s="18"/>
      <c r="M275" s="18"/>
      <c r="N275" s="18"/>
      <c r="O275" s="19"/>
      <c r="P275" s="25" t="str">
        <f>IF(F275="","",IF(O275="",IFERROR(INDEX(Catalogue!$G$6:$G$55,MATCH(F275,Catalogue!$B$6:$B$55,0)),0),O275))</f>
        <v/>
      </c>
      <c r="Q275" s="25" t="str">
        <f>IF(F275="","",N(G275)*(IFERROR(INDEX(Catalogue!$E$6:$E$55,MATCH(F275,Catalogue!$B$6:$B$55,0)),0)+IFERROR(INDEX(Catalogue!$F$6:$F$55,MATCH(F275,Catalogue!$B$6:$B$55,0)),0)+IFERROR(INDEX(Catalogue!$H$6:$H$55,MATCH(F275,Catalogue!$B$6:$B$55,0)),0)))</f>
        <v/>
      </c>
      <c r="R275" s="25" t="str">
        <f t="shared" si="18"/>
        <v/>
      </c>
      <c r="S275" s="18"/>
      <c r="T275" s="24" t="str">
        <f t="shared" si="19"/>
        <v/>
      </c>
      <c r="U275" s="28" t="str">
        <f>IF(D275="","",IF(COUNTIF(D$6:D275,D275)=1,"Nouveau","Fidèle"))</f>
        <v/>
      </c>
    </row>
    <row r="276" spans="1:21" x14ac:dyDescent="0.25">
      <c r="A276" s="41" t="str">
        <f t="shared" si="16"/>
        <v/>
      </c>
      <c r="B276" s="38"/>
      <c r="C276" s="18"/>
      <c r="D276" s="18"/>
      <c r="E276" s="18"/>
      <c r="F276" s="18"/>
      <c r="G276" s="20"/>
      <c r="H276" s="19"/>
      <c r="I276" s="25" t="str">
        <f>IF(F276="","",IF(H276="",IFERROR(INDEX(Catalogue!$I$6:$I$55,MATCH(F276,Catalogue!$B$6:$B$55,0)),0),H276))</f>
        <v/>
      </c>
      <c r="J276" s="19"/>
      <c r="K276" s="25" t="str">
        <f t="shared" si="17"/>
        <v/>
      </c>
      <c r="L276" s="18"/>
      <c r="M276" s="18"/>
      <c r="N276" s="18"/>
      <c r="O276" s="19"/>
      <c r="P276" s="25" t="str">
        <f>IF(F276="","",IF(O276="",IFERROR(INDEX(Catalogue!$G$6:$G$55,MATCH(F276,Catalogue!$B$6:$B$55,0)),0),O276))</f>
        <v/>
      </c>
      <c r="Q276" s="25" t="str">
        <f>IF(F276="","",N(G276)*(IFERROR(INDEX(Catalogue!$E$6:$E$55,MATCH(F276,Catalogue!$B$6:$B$55,0)),0)+IFERROR(INDEX(Catalogue!$F$6:$F$55,MATCH(F276,Catalogue!$B$6:$B$55,0)),0)+IFERROR(INDEX(Catalogue!$H$6:$H$55,MATCH(F276,Catalogue!$B$6:$B$55,0)),0)))</f>
        <v/>
      </c>
      <c r="R276" s="25" t="str">
        <f t="shared" si="18"/>
        <v/>
      </c>
      <c r="S276" s="18"/>
      <c r="T276" s="24" t="str">
        <f t="shared" si="19"/>
        <v/>
      </c>
      <c r="U276" s="28" t="str">
        <f>IF(D276="","",IF(COUNTIF(D$6:D276,D276)=1,"Nouveau","Fidèle"))</f>
        <v/>
      </c>
    </row>
    <row r="277" spans="1:21" x14ac:dyDescent="0.25">
      <c r="A277" s="41" t="str">
        <f t="shared" si="16"/>
        <v/>
      </c>
      <c r="B277" s="38"/>
      <c r="C277" s="18"/>
      <c r="D277" s="18"/>
      <c r="E277" s="18"/>
      <c r="F277" s="18"/>
      <c r="G277" s="20"/>
      <c r="H277" s="19"/>
      <c r="I277" s="25" t="str">
        <f>IF(F277="","",IF(H277="",IFERROR(INDEX(Catalogue!$I$6:$I$55,MATCH(F277,Catalogue!$B$6:$B$55,0)),0),H277))</f>
        <v/>
      </c>
      <c r="J277" s="19"/>
      <c r="K277" s="25" t="str">
        <f t="shared" si="17"/>
        <v/>
      </c>
      <c r="L277" s="18"/>
      <c r="M277" s="18"/>
      <c r="N277" s="18"/>
      <c r="O277" s="19"/>
      <c r="P277" s="25" t="str">
        <f>IF(F277="","",IF(O277="",IFERROR(INDEX(Catalogue!$G$6:$G$55,MATCH(F277,Catalogue!$B$6:$B$55,0)),0),O277))</f>
        <v/>
      </c>
      <c r="Q277" s="25" t="str">
        <f>IF(F277="","",N(G277)*(IFERROR(INDEX(Catalogue!$E$6:$E$55,MATCH(F277,Catalogue!$B$6:$B$55,0)),0)+IFERROR(INDEX(Catalogue!$F$6:$F$55,MATCH(F277,Catalogue!$B$6:$B$55,0)),0)+IFERROR(INDEX(Catalogue!$H$6:$H$55,MATCH(F277,Catalogue!$B$6:$B$55,0)),0)))</f>
        <v/>
      </c>
      <c r="R277" s="25" t="str">
        <f t="shared" si="18"/>
        <v/>
      </c>
      <c r="S277" s="18"/>
      <c r="T277" s="24" t="str">
        <f t="shared" si="19"/>
        <v/>
      </c>
      <c r="U277" s="28" t="str">
        <f>IF(D277="","",IF(COUNTIF(D$6:D277,D277)=1,"Nouveau","Fidèle"))</f>
        <v/>
      </c>
    </row>
    <row r="278" spans="1:21" x14ac:dyDescent="0.25">
      <c r="A278" s="41" t="str">
        <f t="shared" si="16"/>
        <v/>
      </c>
      <c r="B278" s="38"/>
      <c r="C278" s="18"/>
      <c r="D278" s="18"/>
      <c r="E278" s="18"/>
      <c r="F278" s="18"/>
      <c r="G278" s="20"/>
      <c r="H278" s="19"/>
      <c r="I278" s="25" t="str">
        <f>IF(F278="","",IF(H278="",IFERROR(INDEX(Catalogue!$I$6:$I$55,MATCH(F278,Catalogue!$B$6:$B$55,0)),0),H278))</f>
        <v/>
      </c>
      <c r="J278" s="19"/>
      <c r="K278" s="25" t="str">
        <f t="shared" si="17"/>
        <v/>
      </c>
      <c r="L278" s="18"/>
      <c r="M278" s="18"/>
      <c r="N278" s="18"/>
      <c r="O278" s="19"/>
      <c r="P278" s="25" t="str">
        <f>IF(F278="","",IF(O278="",IFERROR(INDEX(Catalogue!$G$6:$G$55,MATCH(F278,Catalogue!$B$6:$B$55,0)),0),O278))</f>
        <v/>
      </c>
      <c r="Q278" s="25" t="str">
        <f>IF(F278="","",N(G278)*(IFERROR(INDEX(Catalogue!$E$6:$E$55,MATCH(F278,Catalogue!$B$6:$B$55,0)),0)+IFERROR(INDEX(Catalogue!$F$6:$F$55,MATCH(F278,Catalogue!$B$6:$B$55,0)),0)+IFERROR(INDEX(Catalogue!$H$6:$H$55,MATCH(F278,Catalogue!$B$6:$B$55,0)),0)))</f>
        <v/>
      </c>
      <c r="R278" s="25" t="str">
        <f t="shared" si="18"/>
        <v/>
      </c>
      <c r="S278" s="18"/>
      <c r="T278" s="24" t="str">
        <f t="shared" si="19"/>
        <v/>
      </c>
      <c r="U278" s="28" t="str">
        <f>IF(D278="","",IF(COUNTIF(D$6:D278,D278)=1,"Nouveau","Fidèle"))</f>
        <v/>
      </c>
    </row>
    <row r="279" spans="1:21" x14ac:dyDescent="0.25">
      <c r="A279" s="41" t="str">
        <f t="shared" si="16"/>
        <v/>
      </c>
      <c r="B279" s="38"/>
      <c r="C279" s="18"/>
      <c r="D279" s="18"/>
      <c r="E279" s="18"/>
      <c r="F279" s="18"/>
      <c r="G279" s="20"/>
      <c r="H279" s="19"/>
      <c r="I279" s="25" t="str">
        <f>IF(F279="","",IF(H279="",IFERROR(INDEX(Catalogue!$I$6:$I$55,MATCH(F279,Catalogue!$B$6:$B$55,0)),0),H279))</f>
        <v/>
      </c>
      <c r="J279" s="19"/>
      <c r="K279" s="25" t="str">
        <f t="shared" si="17"/>
        <v/>
      </c>
      <c r="L279" s="18"/>
      <c r="M279" s="18"/>
      <c r="N279" s="18"/>
      <c r="O279" s="19"/>
      <c r="P279" s="25" t="str">
        <f>IF(F279="","",IF(O279="",IFERROR(INDEX(Catalogue!$G$6:$G$55,MATCH(F279,Catalogue!$B$6:$B$55,0)),0),O279))</f>
        <v/>
      </c>
      <c r="Q279" s="25" t="str">
        <f>IF(F279="","",N(G279)*(IFERROR(INDEX(Catalogue!$E$6:$E$55,MATCH(F279,Catalogue!$B$6:$B$55,0)),0)+IFERROR(INDEX(Catalogue!$F$6:$F$55,MATCH(F279,Catalogue!$B$6:$B$55,0)),0)+IFERROR(INDEX(Catalogue!$H$6:$H$55,MATCH(F279,Catalogue!$B$6:$B$55,0)),0)))</f>
        <v/>
      </c>
      <c r="R279" s="25" t="str">
        <f t="shared" si="18"/>
        <v/>
      </c>
      <c r="S279" s="18"/>
      <c r="T279" s="24" t="str">
        <f t="shared" si="19"/>
        <v/>
      </c>
      <c r="U279" s="28" t="str">
        <f>IF(D279="","",IF(COUNTIF(D$6:D279,D279)=1,"Nouveau","Fidèle"))</f>
        <v/>
      </c>
    </row>
    <row r="280" spans="1:21" x14ac:dyDescent="0.25">
      <c r="A280" s="41" t="str">
        <f t="shared" si="16"/>
        <v/>
      </c>
      <c r="B280" s="38"/>
      <c r="C280" s="18"/>
      <c r="D280" s="18"/>
      <c r="E280" s="18"/>
      <c r="F280" s="18"/>
      <c r="G280" s="20"/>
      <c r="H280" s="19"/>
      <c r="I280" s="25" t="str">
        <f>IF(F280="","",IF(H280="",IFERROR(INDEX(Catalogue!$I$6:$I$55,MATCH(F280,Catalogue!$B$6:$B$55,0)),0),H280))</f>
        <v/>
      </c>
      <c r="J280" s="19"/>
      <c r="K280" s="25" t="str">
        <f t="shared" si="17"/>
        <v/>
      </c>
      <c r="L280" s="18"/>
      <c r="M280" s="18"/>
      <c r="N280" s="18"/>
      <c r="O280" s="19"/>
      <c r="P280" s="25" t="str">
        <f>IF(F280="","",IF(O280="",IFERROR(INDEX(Catalogue!$G$6:$G$55,MATCH(F280,Catalogue!$B$6:$B$55,0)),0),O280))</f>
        <v/>
      </c>
      <c r="Q280" s="25" t="str">
        <f>IF(F280="","",N(G280)*(IFERROR(INDEX(Catalogue!$E$6:$E$55,MATCH(F280,Catalogue!$B$6:$B$55,0)),0)+IFERROR(INDEX(Catalogue!$F$6:$F$55,MATCH(F280,Catalogue!$B$6:$B$55,0)),0)+IFERROR(INDEX(Catalogue!$H$6:$H$55,MATCH(F280,Catalogue!$B$6:$B$55,0)),0)))</f>
        <v/>
      </c>
      <c r="R280" s="25" t="str">
        <f t="shared" si="18"/>
        <v/>
      </c>
      <c r="S280" s="18"/>
      <c r="T280" s="24" t="str">
        <f t="shared" si="19"/>
        <v/>
      </c>
      <c r="U280" s="28" t="str">
        <f>IF(D280="","",IF(COUNTIF(D$6:D280,D280)=1,"Nouveau","Fidèle"))</f>
        <v/>
      </c>
    </row>
    <row r="281" spans="1:21" x14ac:dyDescent="0.25">
      <c r="A281" s="41" t="str">
        <f t="shared" si="16"/>
        <v/>
      </c>
      <c r="B281" s="38"/>
      <c r="C281" s="18"/>
      <c r="D281" s="18"/>
      <c r="E281" s="18"/>
      <c r="F281" s="18"/>
      <c r="G281" s="20"/>
      <c r="H281" s="19"/>
      <c r="I281" s="25" t="str">
        <f>IF(F281="","",IF(H281="",IFERROR(INDEX(Catalogue!$I$6:$I$55,MATCH(F281,Catalogue!$B$6:$B$55,0)),0),H281))</f>
        <v/>
      </c>
      <c r="J281" s="19"/>
      <c r="K281" s="25" t="str">
        <f t="shared" si="17"/>
        <v/>
      </c>
      <c r="L281" s="18"/>
      <c r="M281" s="18"/>
      <c r="N281" s="18"/>
      <c r="O281" s="19"/>
      <c r="P281" s="25" t="str">
        <f>IF(F281="","",IF(O281="",IFERROR(INDEX(Catalogue!$G$6:$G$55,MATCH(F281,Catalogue!$B$6:$B$55,0)),0),O281))</f>
        <v/>
      </c>
      <c r="Q281" s="25" t="str">
        <f>IF(F281="","",N(G281)*(IFERROR(INDEX(Catalogue!$E$6:$E$55,MATCH(F281,Catalogue!$B$6:$B$55,0)),0)+IFERROR(INDEX(Catalogue!$F$6:$F$55,MATCH(F281,Catalogue!$B$6:$B$55,0)),0)+IFERROR(INDEX(Catalogue!$H$6:$H$55,MATCH(F281,Catalogue!$B$6:$B$55,0)),0)))</f>
        <v/>
      </c>
      <c r="R281" s="25" t="str">
        <f t="shared" si="18"/>
        <v/>
      </c>
      <c r="S281" s="18"/>
      <c r="T281" s="24" t="str">
        <f t="shared" si="19"/>
        <v/>
      </c>
      <c r="U281" s="28" t="str">
        <f>IF(D281="","",IF(COUNTIF(D$6:D281,D281)=1,"Nouveau","Fidèle"))</f>
        <v/>
      </c>
    </row>
    <row r="282" spans="1:21" x14ac:dyDescent="0.25">
      <c r="A282" s="41" t="str">
        <f t="shared" si="16"/>
        <v/>
      </c>
      <c r="B282" s="38"/>
      <c r="C282" s="18"/>
      <c r="D282" s="18"/>
      <c r="E282" s="18"/>
      <c r="F282" s="18"/>
      <c r="G282" s="20"/>
      <c r="H282" s="19"/>
      <c r="I282" s="25" t="str">
        <f>IF(F282="","",IF(H282="",IFERROR(INDEX(Catalogue!$I$6:$I$55,MATCH(F282,Catalogue!$B$6:$B$55,0)),0),H282))</f>
        <v/>
      </c>
      <c r="J282" s="19"/>
      <c r="K282" s="25" t="str">
        <f t="shared" si="17"/>
        <v/>
      </c>
      <c r="L282" s="18"/>
      <c r="M282" s="18"/>
      <c r="N282" s="18"/>
      <c r="O282" s="19"/>
      <c r="P282" s="25" t="str">
        <f>IF(F282="","",IF(O282="",IFERROR(INDEX(Catalogue!$G$6:$G$55,MATCH(F282,Catalogue!$B$6:$B$55,0)),0),O282))</f>
        <v/>
      </c>
      <c r="Q282" s="25" t="str">
        <f>IF(F282="","",N(G282)*(IFERROR(INDEX(Catalogue!$E$6:$E$55,MATCH(F282,Catalogue!$B$6:$B$55,0)),0)+IFERROR(INDEX(Catalogue!$F$6:$F$55,MATCH(F282,Catalogue!$B$6:$B$55,0)),0)+IFERROR(INDEX(Catalogue!$H$6:$H$55,MATCH(F282,Catalogue!$B$6:$B$55,0)),0)))</f>
        <v/>
      </c>
      <c r="R282" s="25" t="str">
        <f t="shared" si="18"/>
        <v/>
      </c>
      <c r="S282" s="18"/>
      <c r="T282" s="24" t="str">
        <f t="shared" si="19"/>
        <v/>
      </c>
      <c r="U282" s="28" t="str">
        <f>IF(D282="","",IF(COUNTIF(D$6:D282,D282)=1,"Nouveau","Fidèle"))</f>
        <v/>
      </c>
    </row>
    <row r="283" spans="1:21" x14ac:dyDescent="0.25">
      <c r="A283" s="41" t="str">
        <f t="shared" si="16"/>
        <v/>
      </c>
      <c r="B283" s="38"/>
      <c r="C283" s="18"/>
      <c r="D283" s="18"/>
      <c r="E283" s="18"/>
      <c r="F283" s="18"/>
      <c r="G283" s="20"/>
      <c r="H283" s="19"/>
      <c r="I283" s="25" t="str">
        <f>IF(F283="","",IF(H283="",IFERROR(INDEX(Catalogue!$I$6:$I$55,MATCH(F283,Catalogue!$B$6:$B$55,0)),0),H283))</f>
        <v/>
      </c>
      <c r="J283" s="19"/>
      <c r="K283" s="25" t="str">
        <f t="shared" si="17"/>
        <v/>
      </c>
      <c r="L283" s="18"/>
      <c r="M283" s="18"/>
      <c r="N283" s="18"/>
      <c r="O283" s="19"/>
      <c r="P283" s="25" t="str">
        <f>IF(F283="","",IF(O283="",IFERROR(INDEX(Catalogue!$G$6:$G$55,MATCH(F283,Catalogue!$B$6:$B$55,0)),0),O283))</f>
        <v/>
      </c>
      <c r="Q283" s="25" t="str">
        <f>IF(F283="","",N(G283)*(IFERROR(INDEX(Catalogue!$E$6:$E$55,MATCH(F283,Catalogue!$B$6:$B$55,0)),0)+IFERROR(INDEX(Catalogue!$F$6:$F$55,MATCH(F283,Catalogue!$B$6:$B$55,0)),0)+IFERROR(INDEX(Catalogue!$H$6:$H$55,MATCH(F283,Catalogue!$B$6:$B$55,0)),0)))</f>
        <v/>
      </c>
      <c r="R283" s="25" t="str">
        <f t="shared" si="18"/>
        <v/>
      </c>
      <c r="S283" s="18"/>
      <c r="T283" s="24" t="str">
        <f t="shared" si="19"/>
        <v/>
      </c>
      <c r="U283" s="28" t="str">
        <f>IF(D283="","",IF(COUNTIF(D$6:D283,D283)=1,"Nouveau","Fidèle"))</f>
        <v/>
      </c>
    </row>
    <row r="284" spans="1:21" x14ac:dyDescent="0.25">
      <c r="A284" s="41" t="str">
        <f t="shared" si="16"/>
        <v/>
      </c>
      <c r="B284" s="38"/>
      <c r="C284" s="18"/>
      <c r="D284" s="18"/>
      <c r="E284" s="18"/>
      <c r="F284" s="18"/>
      <c r="G284" s="20"/>
      <c r="H284" s="19"/>
      <c r="I284" s="25" t="str">
        <f>IF(F284="","",IF(H284="",IFERROR(INDEX(Catalogue!$I$6:$I$55,MATCH(F284,Catalogue!$B$6:$B$55,0)),0),H284))</f>
        <v/>
      </c>
      <c r="J284" s="19"/>
      <c r="K284" s="25" t="str">
        <f t="shared" si="17"/>
        <v/>
      </c>
      <c r="L284" s="18"/>
      <c r="M284" s="18"/>
      <c r="N284" s="18"/>
      <c r="O284" s="19"/>
      <c r="P284" s="25" t="str">
        <f>IF(F284="","",IF(O284="",IFERROR(INDEX(Catalogue!$G$6:$G$55,MATCH(F284,Catalogue!$B$6:$B$55,0)),0),O284))</f>
        <v/>
      </c>
      <c r="Q284" s="25" t="str">
        <f>IF(F284="","",N(G284)*(IFERROR(INDEX(Catalogue!$E$6:$E$55,MATCH(F284,Catalogue!$B$6:$B$55,0)),0)+IFERROR(INDEX(Catalogue!$F$6:$F$55,MATCH(F284,Catalogue!$B$6:$B$55,0)),0)+IFERROR(INDEX(Catalogue!$H$6:$H$55,MATCH(F284,Catalogue!$B$6:$B$55,0)),0)))</f>
        <v/>
      </c>
      <c r="R284" s="25" t="str">
        <f t="shared" si="18"/>
        <v/>
      </c>
      <c r="S284" s="18"/>
      <c r="T284" s="24" t="str">
        <f t="shared" si="19"/>
        <v/>
      </c>
      <c r="U284" s="28" t="str">
        <f>IF(D284="","",IF(COUNTIF(D$6:D284,D284)=1,"Nouveau","Fidèle"))</f>
        <v/>
      </c>
    </row>
    <row r="285" spans="1:21" x14ac:dyDescent="0.25">
      <c r="A285" s="41" t="str">
        <f t="shared" si="16"/>
        <v/>
      </c>
      <c r="B285" s="38"/>
      <c r="C285" s="18"/>
      <c r="D285" s="18"/>
      <c r="E285" s="18"/>
      <c r="F285" s="18"/>
      <c r="G285" s="20"/>
      <c r="H285" s="19"/>
      <c r="I285" s="25" t="str">
        <f>IF(F285="","",IF(H285="",IFERROR(INDEX(Catalogue!$I$6:$I$55,MATCH(F285,Catalogue!$B$6:$B$55,0)),0),H285))</f>
        <v/>
      </c>
      <c r="J285" s="19"/>
      <c r="K285" s="25" t="str">
        <f t="shared" si="17"/>
        <v/>
      </c>
      <c r="L285" s="18"/>
      <c r="M285" s="18"/>
      <c r="N285" s="18"/>
      <c r="O285" s="19"/>
      <c r="P285" s="25" t="str">
        <f>IF(F285="","",IF(O285="",IFERROR(INDEX(Catalogue!$G$6:$G$55,MATCH(F285,Catalogue!$B$6:$B$55,0)),0),O285))</f>
        <v/>
      </c>
      <c r="Q285" s="25" t="str">
        <f>IF(F285="","",N(G285)*(IFERROR(INDEX(Catalogue!$E$6:$E$55,MATCH(F285,Catalogue!$B$6:$B$55,0)),0)+IFERROR(INDEX(Catalogue!$F$6:$F$55,MATCH(F285,Catalogue!$B$6:$B$55,0)),0)+IFERROR(INDEX(Catalogue!$H$6:$H$55,MATCH(F285,Catalogue!$B$6:$B$55,0)),0)))</f>
        <v/>
      </c>
      <c r="R285" s="25" t="str">
        <f t="shared" si="18"/>
        <v/>
      </c>
      <c r="S285" s="18"/>
      <c r="T285" s="24" t="str">
        <f t="shared" si="19"/>
        <v/>
      </c>
      <c r="U285" s="28" t="str">
        <f>IF(D285="","",IF(COUNTIF(D$6:D285,D285)=1,"Nouveau","Fidèle"))</f>
        <v/>
      </c>
    </row>
    <row r="286" spans="1:21" x14ac:dyDescent="0.25">
      <c r="A286" s="41" t="str">
        <f t="shared" si="16"/>
        <v/>
      </c>
      <c r="B286" s="38"/>
      <c r="C286" s="18"/>
      <c r="D286" s="18"/>
      <c r="E286" s="18"/>
      <c r="F286" s="18"/>
      <c r="G286" s="20"/>
      <c r="H286" s="19"/>
      <c r="I286" s="25" t="str">
        <f>IF(F286="","",IF(H286="",IFERROR(INDEX(Catalogue!$I$6:$I$55,MATCH(F286,Catalogue!$B$6:$B$55,0)),0),H286))</f>
        <v/>
      </c>
      <c r="J286" s="19"/>
      <c r="K286" s="25" t="str">
        <f t="shared" si="17"/>
        <v/>
      </c>
      <c r="L286" s="18"/>
      <c r="M286" s="18"/>
      <c r="N286" s="18"/>
      <c r="O286" s="19"/>
      <c r="P286" s="25" t="str">
        <f>IF(F286="","",IF(O286="",IFERROR(INDEX(Catalogue!$G$6:$G$55,MATCH(F286,Catalogue!$B$6:$B$55,0)),0),O286))</f>
        <v/>
      </c>
      <c r="Q286" s="25" t="str">
        <f>IF(F286="","",N(G286)*(IFERROR(INDEX(Catalogue!$E$6:$E$55,MATCH(F286,Catalogue!$B$6:$B$55,0)),0)+IFERROR(INDEX(Catalogue!$F$6:$F$55,MATCH(F286,Catalogue!$B$6:$B$55,0)),0)+IFERROR(INDEX(Catalogue!$H$6:$H$55,MATCH(F286,Catalogue!$B$6:$B$55,0)),0)))</f>
        <v/>
      </c>
      <c r="R286" s="25" t="str">
        <f t="shared" si="18"/>
        <v/>
      </c>
      <c r="S286" s="18"/>
      <c r="T286" s="24" t="str">
        <f t="shared" si="19"/>
        <v/>
      </c>
      <c r="U286" s="28" t="str">
        <f>IF(D286="","",IF(COUNTIF(D$6:D286,D286)=1,"Nouveau","Fidèle"))</f>
        <v/>
      </c>
    </row>
    <row r="287" spans="1:21" x14ac:dyDescent="0.25">
      <c r="A287" s="41" t="str">
        <f t="shared" si="16"/>
        <v/>
      </c>
      <c r="B287" s="38"/>
      <c r="C287" s="18"/>
      <c r="D287" s="18"/>
      <c r="E287" s="18"/>
      <c r="F287" s="18"/>
      <c r="G287" s="20"/>
      <c r="H287" s="19"/>
      <c r="I287" s="25" t="str">
        <f>IF(F287="","",IF(H287="",IFERROR(INDEX(Catalogue!$I$6:$I$55,MATCH(F287,Catalogue!$B$6:$B$55,0)),0),H287))</f>
        <v/>
      </c>
      <c r="J287" s="19"/>
      <c r="K287" s="25" t="str">
        <f t="shared" si="17"/>
        <v/>
      </c>
      <c r="L287" s="18"/>
      <c r="M287" s="18"/>
      <c r="N287" s="18"/>
      <c r="O287" s="19"/>
      <c r="P287" s="25" t="str">
        <f>IF(F287="","",IF(O287="",IFERROR(INDEX(Catalogue!$G$6:$G$55,MATCH(F287,Catalogue!$B$6:$B$55,0)),0),O287))</f>
        <v/>
      </c>
      <c r="Q287" s="25" t="str">
        <f>IF(F287="","",N(G287)*(IFERROR(INDEX(Catalogue!$E$6:$E$55,MATCH(F287,Catalogue!$B$6:$B$55,0)),0)+IFERROR(INDEX(Catalogue!$F$6:$F$55,MATCH(F287,Catalogue!$B$6:$B$55,0)),0)+IFERROR(INDEX(Catalogue!$H$6:$H$55,MATCH(F287,Catalogue!$B$6:$B$55,0)),0)))</f>
        <v/>
      </c>
      <c r="R287" s="25" t="str">
        <f t="shared" si="18"/>
        <v/>
      </c>
      <c r="S287" s="18"/>
      <c r="T287" s="24" t="str">
        <f t="shared" si="19"/>
        <v/>
      </c>
      <c r="U287" s="28" t="str">
        <f>IF(D287="","",IF(COUNTIF(D$6:D287,D287)=1,"Nouveau","Fidèle"))</f>
        <v/>
      </c>
    </row>
    <row r="288" spans="1:21" x14ac:dyDescent="0.25">
      <c r="A288" s="41" t="str">
        <f t="shared" si="16"/>
        <v/>
      </c>
      <c r="B288" s="38"/>
      <c r="C288" s="18"/>
      <c r="D288" s="18"/>
      <c r="E288" s="18"/>
      <c r="F288" s="18"/>
      <c r="G288" s="20"/>
      <c r="H288" s="19"/>
      <c r="I288" s="25" t="str">
        <f>IF(F288="","",IF(H288="",IFERROR(INDEX(Catalogue!$I$6:$I$55,MATCH(F288,Catalogue!$B$6:$B$55,0)),0),H288))</f>
        <v/>
      </c>
      <c r="J288" s="19"/>
      <c r="K288" s="25" t="str">
        <f t="shared" si="17"/>
        <v/>
      </c>
      <c r="L288" s="18"/>
      <c r="M288" s="18"/>
      <c r="N288" s="18"/>
      <c r="O288" s="19"/>
      <c r="P288" s="25" t="str">
        <f>IF(F288="","",IF(O288="",IFERROR(INDEX(Catalogue!$G$6:$G$55,MATCH(F288,Catalogue!$B$6:$B$55,0)),0),O288))</f>
        <v/>
      </c>
      <c r="Q288" s="25" t="str">
        <f>IF(F288="","",N(G288)*(IFERROR(INDEX(Catalogue!$E$6:$E$55,MATCH(F288,Catalogue!$B$6:$B$55,0)),0)+IFERROR(INDEX(Catalogue!$F$6:$F$55,MATCH(F288,Catalogue!$B$6:$B$55,0)),0)+IFERROR(INDEX(Catalogue!$H$6:$H$55,MATCH(F288,Catalogue!$B$6:$B$55,0)),0)))</f>
        <v/>
      </c>
      <c r="R288" s="25" t="str">
        <f t="shared" si="18"/>
        <v/>
      </c>
      <c r="S288" s="18"/>
      <c r="T288" s="24" t="str">
        <f t="shared" si="19"/>
        <v/>
      </c>
      <c r="U288" s="28" t="str">
        <f>IF(D288="","",IF(COUNTIF(D$6:D288,D288)=1,"Nouveau","Fidèle"))</f>
        <v/>
      </c>
    </row>
    <row r="289" spans="1:21" x14ac:dyDescent="0.25">
      <c r="A289" s="41" t="str">
        <f t="shared" si="16"/>
        <v/>
      </c>
      <c r="B289" s="38"/>
      <c r="C289" s="18"/>
      <c r="D289" s="18"/>
      <c r="E289" s="18"/>
      <c r="F289" s="18"/>
      <c r="G289" s="20"/>
      <c r="H289" s="19"/>
      <c r="I289" s="25" t="str">
        <f>IF(F289="","",IF(H289="",IFERROR(INDEX(Catalogue!$I$6:$I$55,MATCH(F289,Catalogue!$B$6:$B$55,0)),0),H289))</f>
        <v/>
      </c>
      <c r="J289" s="19"/>
      <c r="K289" s="25" t="str">
        <f t="shared" si="17"/>
        <v/>
      </c>
      <c r="L289" s="18"/>
      <c r="M289" s="18"/>
      <c r="N289" s="18"/>
      <c r="O289" s="19"/>
      <c r="P289" s="25" t="str">
        <f>IF(F289="","",IF(O289="",IFERROR(INDEX(Catalogue!$G$6:$G$55,MATCH(F289,Catalogue!$B$6:$B$55,0)),0),O289))</f>
        <v/>
      </c>
      <c r="Q289" s="25" t="str">
        <f>IF(F289="","",N(G289)*(IFERROR(INDEX(Catalogue!$E$6:$E$55,MATCH(F289,Catalogue!$B$6:$B$55,0)),0)+IFERROR(INDEX(Catalogue!$F$6:$F$55,MATCH(F289,Catalogue!$B$6:$B$55,0)),0)+IFERROR(INDEX(Catalogue!$H$6:$H$55,MATCH(F289,Catalogue!$B$6:$B$55,0)),0)))</f>
        <v/>
      </c>
      <c r="R289" s="25" t="str">
        <f t="shared" si="18"/>
        <v/>
      </c>
      <c r="S289" s="18"/>
      <c r="T289" s="24" t="str">
        <f t="shared" si="19"/>
        <v/>
      </c>
      <c r="U289" s="28" t="str">
        <f>IF(D289="","",IF(COUNTIF(D$6:D289,D289)=1,"Nouveau","Fidèle"))</f>
        <v/>
      </c>
    </row>
    <row r="290" spans="1:21" x14ac:dyDescent="0.25">
      <c r="A290" s="41" t="str">
        <f t="shared" si="16"/>
        <v/>
      </c>
      <c r="B290" s="38"/>
      <c r="C290" s="18"/>
      <c r="D290" s="18"/>
      <c r="E290" s="18"/>
      <c r="F290" s="18"/>
      <c r="G290" s="20"/>
      <c r="H290" s="19"/>
      <c r="I290" s="25" t="str">
        <f>IF(F290="","",IF(H290="",IFERROR(INDEX(Catalogue!$I$6:$I$55,MATCH(F290,Catalogue!$B$6:$B$55,0)),0),H290))</f>
        <v/>
      </c>
      <c r="J290" s="19"/>
      <c r="K290" s="25" t="str">
        <f t="shared" si="17"/>
        <v/>
      </c>
      <c r="L290" s="18"/>
      <c r="M290" s="18"/>
      <c r="N290" s="18"/>
      <c r="O290" s="19"/>
      <c r="P290" s="25" t="str">
        <f>IF(F290="","",IF(O290="",IFERROR(INDEX(Catalogue!$G$6:$G$55,MATCH(F290,Catalogue!$B$6:$B$55,0)),0),O290))</f>
        <v/>
      </c>
      <c r="Q290" s="25" t="str">
        <f>IF(F290="","",N(G290)*(IFERROR(INDEX(Catalogue!$E$6:$E$55,MATCH(F290,Catalogue!$B$6:$B$55,0)),0)+IFERROR(INDEX(Catalogue!$F$6:$F$55,MATCH(F290,Catalogue!$B$6:$B$55,0)),0)+IFERROR(INDEX(Catalogue!$H$6:$H$55,MATCH(F290,Catalogue!$B$6:$B$55,0)),0)))</f>
        <v/>
      </c>
      <c r="R290" s="25" t="str">
        <f t="shared" si="18"/>
        <v/>
      </c>
      <c r="S290" s="18"/>
      <c r="T290" s="24" t="str">
        <f t="shared" si="19"/>
        <v/>
      </c>
      <c r="U290" s="28" t="str">
        <f>IF(D290="","",IF(COUNTIF(D$6:D290,D290)=1,"Nouveau","Fidèle"))</f>
        <v/>
      </c>
    </row>
    <row r="291" spans="1:21" x14ac:dyDescent="0.25">
      <c r="A291" s="41" t="str">
        <f t="shared" si="16"/>
        <v/>
      </c>
      <c r="B291" s="38"/>
      <c r="C291" s="18"/>
      <c r="D291" s="18"/>
      <c r="E291" s="18"/>
      <c r="F291" s="18"/>
      <c r="G291" s="20"/>
      <c r="H291" s="19"/>
      <c r="I291" s="25" t="str">
        <f>IF(F291="","",IF(H291="",IFERROR(INDEX(Catalogue!$I$6:$I$55,MATCH(F291,Catalogue!$B$6:$B$55,0)),0),H291))</f>
        <v/>
      </c>
      <c r="J291" s="19"/>
      <c r="K291" s="25" t="str">
        <f t="shared" si="17"/>
        <v/>
      </c>
      <c r="L291" s="18"/>
      <c r="M291" s="18"/>
      <c r="N291" s="18"/>
      <c r="O291" s="19"/>
      <c r="P291" s="25" t="str">
        <f>IF(F291="","",IF(O291="",IFERROR(INDEX(Catalogue!$G$6:$G$55,MATCH(F291,Catalogue!$B$6:$B$55,0)),0),O291))</f>
        <v/>
      </c>
      <c r="Q291" s="25" t="str">
        <f>IF(F291="","",N(G291)*(IFERROR(INDEX(Catalogue!$E$6:$E$55,MATCH(F291,Catalogue!$B$6:$B$55,0)),0)+IFERROR(INDEX(Catalogue!$F$6:$F$55,MATCH(F291,Catalogue!$B$6:$B$55,0)),0)+IFERROR(INDEX(Catalogue!$H$6:$H$55,MATCH(F291,Catalogue!$B$6:$B$55,0)),0)))</f>
        <v/>
      </c>
      <c r="R291" s="25" t="str">
        <f t="shared" si="18"/>
        <v/>
      </c>
      <c r="S291" s="18"/>
      <c r="T291" s="24" t="str">
        <f t="shared" si="19"/>
        <v/>
      </c>
      <c r="U291" s="28" t="str">
        <f>IF(D291="","",IF(COUNTIF(D$6:D291,D291)=1,"Nouveau","Fidèle"))</f>
        <v/>
      </c>
    </row>
    <row r="292" spans="1:21" x14ac:dyDescent="0.25">
      <c r="A292" s="41" t="str">
        <f t="shared" si="16"/>
        <v/>
      </c>
      <c r="B292" s="38"/>
      <c r="C292" s="18"/>
      <c r="D292" s="18"/>
      <c r="E292" s="18"/>
      <c r="F292" s="18"/>
      <c r="G292" s="20"/>
      <c r="H292" s="19"/>
      <c r="I292" s="25" t="str">
        <f>IF(F292="","",IF(H292="",IFERROR(INDEX(Catalogue!$I$6:$I$55,MATCH(F292,Catalogue!$B$6:$B$55,0)),0),H292))</f>
        <v/>
      </c>
      <c r="J292" s="19"/>
      <c r="K292" s="25" t="str">
        <f t="shared" si="17"/>
        <v/>
      </c>
      <c r="L292" s="18"/>
      <c r="M292" s="18"/>
      <c r="N292" s="18"/>
      <c r="O292" s="19"/>
      <c r="P292" s="25" t="str">
        <f>IF(F292="","",IF(O292="",IFERROR(INDEX(Catalogue!$G$6:$G$55,MATCH(F292,Catalogue!$B$6:$B$55,0)),0),O292))</f>
        <v/>
      </c>
      <c r="Q292" s="25" t="str">
        <f>IF(F292="","",N(G292)*(IFERROR(INDEX(Catalogue!$E$6:$E$55,MATCH(F292,Catalogue!$B$6:$B$55,0)),0)+IFERROR(INDEX(Catalogue!$F$6:$F$55,MATCH(F292,Catalogue!$B$6:$B$55,0)),0)+IFERROR(INDEX(Catalogue!$H$6:$H$55,MATCH(F292,Catalogue!$B$6:$B$55,0)),0)))</f>
        <v/>
      </c>
      <c r="R292" s="25" t="str">
        <f t="shared" si="18"/>
        <v/>
      </c>
      <c r="S292" s="18"/>
      <c r="T292" s="24" t="str">
        <f t="shared" si="19"/>
        <v/>
      </c>
      <c r="U292" s="28" t="str">
        <f>IF(D292="","",IF(COUNTIF(D$6:D292,D292)=1,"Nouveau","Fidèle"))</f>
        <v/>
      </c>
    </row>
    <row r="293" spans="1:21" x14ac:dyDescent="0.25">
      <c r="A293" s="41" t="str">
        <f t="shared" si="16"/>
        <v/>
      </c>
      <c r="B293" s="38"/>
      <c r="C293" s="18"/>
      <c r="D293" s="18"/>
      <c r="E293" s="18"/>
      <c r="F293" s="18"/>
      <c r="G293" s="20"/>
      <c r="H293" s="19"/>
      <c r="I293" s="25" t="str">
        <f>IF(F293="","",IF(H293="",IFERROR(INDEX(Catalogue!$I$6:$I$55,MATCH(F293,Catalogue!$B$6:$B$55,0)),0),H293))</f>
        <v/>
      </c>
      <c r="J293" s="19"/>
      <c r="K293" s="25" t="str">
        <f t="shared" si="17"/>
        <v/>
      </c>
      <c r="L293" s="18"/>
      <c r="M293" s="18"/>
      <c r="N293" s="18"/>
      <c r="O293" s="19"/>
      <c r="P293" s="25" t="str">
        <f>IF(F293="","",IF(O293="",IFERROR(INDEX(Catalogue!$G$6:$G$55,MATCH(F293,Catalogue!$B$6:$B$55,0)),0),O293))</f>
        <v/>
      </c>
      <c r="Q293" s="25" t="str">
        <f>IF(F293="","",N(G293)*(IFERROR(INDEX(Catalogue!$E$6:$E$55,MATCH(F293,Catalogue!$B$6:$B$55,0)),0)+IFERROR(INDEX(Catalogue!$F$6:$F$55,MATCH(F293,Catalogue!$B$6:$B$55,0)),0)+IFERROR(INDEX(Catalogue!$H$6:$H$55,MATCH(F293,Catalogue!$B$6:$B$55,0)),0)))</f>
        <v/>
      </c>
      <c r="R293" s="25" t="str">
        <f t="shared" si="18"/>
        <v/>
      </c>
      <c r="S293" s="18"/>
      <c r="T293" s="24" t="str">
        <f t="shared" si="19"/>
        <v/>
      </c>
      <c r="U293" s="28" t="str">
        <f>IF(D293="","",IF(COUNTIF(D$6:D293,D293)=1,"Nouveau","Fidèle"))</f>
        <v/>
      </c>
    </row>
    <row r="294" spans="1:21" x14ac:dyDescent="0.25">
      <c r="A294" s="41" t="str">
        <f t="shared" si="16"/>
        <v/>
      </c>
      <c r="B294" s="38"/>
      <c r="C294" s="18"/>
      <c r="D294" s="18"/>
      <c r="E294" s="18"/>
      <c r="F294" s="18"/>
      <c r="G294" s="20"/>
      <c r="H294" s="19"/>
      <c r="I294" s="25" t="str">
        <f>IF(F294="","",IF(H294="",IFERROR(INDEX(Catalogue!$I$6:$I$55,MATCH(F294,Catalogue!$B$6:$B$55,0)),0),H294))</f>
        <v/>
      </c>
      <c r="J294" s="19"/>
      <c r="K294" s="25" t="str">
        <f t="shared" si="17"/>
        <v/>
      </c>
      <c r="L294" s="18"/>
      <c r="M294" s="18"/>
      <c r="N294" s="18"/>
      <c r="O294" s="19"/>
      <c r="P294" s="25" t="str">
        <f>IF(F294="","",IF(O294="",IFERROR(INDEX(Catalogue!$G$6:$G$55,MATCH(F294,Catalogue!$B$6:$B$55,0)),0),O294))</f>
        <v/>
      </c>
      <c r="Q294" s="25" t="str">
        <f>IF(F294="","",N(G294)*(IFERROR(INDEX(Catalogue!$E$6:$E$55,MATCH(F294,Catalogue!$B$6:$B$55,0)),0)+IFERROR(INDEX(Catalogue!$F$6:$F$55,MATCH(F294,Catalogue!$B$6:$B$55,0)),0)+IFERROR(INDEX(Catalogue!$H$6:$H$55,MATCH(F294,Catalogue!$B$6:$B$55,0)),0)))</f>
        <v/>
      </c>
      <c r="R294" s="25" t="str">
        <f t="shared" si="18"/>
        <v/>
      </c>
      <c r="S294" s="18"/>
      <c r="T294" s="24" t="str">
        <f t="shared" si="19"/>
        <v/>
      </c>
      <c r="U294" s="28" t="str">
        <f>IF(D294="","",IF(COUNTIF(D$6:D294,D294)=1,"Nouveau","Fidèle"))</f>
        <v/>
      </c>
    </row>
    <row r="295" spans="1:21" x14ac:dyDescent="0.25">
      <c r="A295" s="41" t="str">
        <f t="shared" si="16"/>
        <v/>
      </c>
      <c r="B295" s="38"/>
      <c r="C295" s="18"/>
      <c r="D295" s="18"/>
      <c r="E295" s="18"/>
      <c r="F295" s="18"/>
      <c r="G295" s="20"/>
      <c r="H295" s="19"/>
      <c r="I295" s="25" t="str">
        <f>IF(F295="","",IF(H295="",IFERROR(INDEX(Catalogue!$I$6:$I$55,MATCH(F295,Catalogue!$B$6:$B$55,0)),0),H295))</f>
        <v/>
      </c>
      <c r="J295" s="19"/>
      <c r="K295" s="25" t="str">
        <f t="shared" si="17"/>
        <v/>
      </c>
      <c r="L295" s="18"/>
      <c r="M295" s="18"/>
      <c r="N295" s="18"/>
      <c r="O295" s="19"/>
      <c r="P295" s="25" t="str">
        <f>IF(F295="","",IF(O295="",IFERROR(INDEX(Catalogue!$G$6:$G$55,MATCH(F295,Catalogue!$B$6:$B$55,0)),0),O295))</f>
        <v/>
      </c>
      <c r="Q295" s="25" t="str">
        <f>IF(F295="","",N(G295)*(IFERROR(INDEX(Catalogue!$E$6:$E$55,MATCH(F295,Catalogue!$B$6:$B$55,0)),0)+IFERROR(INDEX(Catalogue!$F$6:$F$55,MATCH(F295,Catalogue!$B$6:$B$55,0)),0)+IFERROR(INDEX(Catalogue!$H$6:$H$55,MATCH(F295,Catalogue!$B$6:$B$55,0)),0)))</f>
        <v/>
      </c>
      <c r="R295" s="25" t="str">
        <f t="shared" si="18"/>
        <v/>
      </c>
      <c r="S295" s="18"/>
      <c r="T295" s="24" t="str">
        <f t="shared" si="19"/>
        <v/>
      </c>
      <c r="U295" s="28" t="str">
        <f>IF(D295="","",IF(COUNTIF(D$6:D295,D295)=1,"Nouveau","Fidèle"))</f>
        <v/>
      </c>
    </row>
    <row r="296" spans="1:21" x14ac:dyDescent="0.25">
      <c r="A296" s="41" t="str">
        <f t="shared" si="16"/>
        <v/>
      </c>
      <c r="B296" s="38"/>
      <c r="C296" s="18"/>
      <c r="D296" s="18"/>
      <c r="E296" s="18"/>
      <c r="F296" s="18"/>
      <c r="G296" s="20"/>
      <c r="H296" s="19"/>
      <c r="I296" s="25" t="str">
        <f>IF(F296="","",IF(H296="",IFERROR(INDEX(Catalogue!$I$6:$I$55,MATCH(F296,Catalogue!$B$6:$B$55,0)),0),H296))</f>
        <v/>
      </c>
      <c r="J296" s="19"/>
      <c r="K296" s="25" t="str">
        <f t="shared" si="17"/>
        <v/>
      </c>
      <c r="L296" s="18"/>
      <c r="M296" s="18"/>
      <c r="N296" s="18"/>
      <c r="O296" s="19"/>
      <c r="P296" s="25" t="str">
        <f>IF(F296="","",IF(O296="",IFERROR(INDEX(Catalogue!$G$6:$G$55,MATCH(F296,Catalogue!$B$6:$B$55,0)),0),O296))</f>
        <v/>
      </c>
      <c r="Q296" s="25" t="str">
        <f>IF(F296="","",N(G296)*(IFERROR(INDEX(Catalogue!$E$6:$E$55,MATCH(F296,Catalogue!$B$6:$B$55,0)),0)+IFERROR(INDEX(Catalogue!$F$6:$F$55,MATCH(F296,Catalogue!$B$6:$B$55,0)),0)+IFERROR(INDEX(Catalogue!$H$6:$H$55,MATCH(F296,Catalogue!$B$6:$B$55,0)),0)))</f>
        <v/>
      </c>
      <c r="R296" s="25" t="str">
        <f t="shared" si="18"/>
        <v/>
      </c>
      <c r="S296" s="18"/>
      <c r="T296" s="24" t="str">
        <f t="shared" si="19"/>
        <v/>
      </c>
      <c r="U296" s="28" t="str">
        <f>IF(D296="","",IF(COUNTIF(D$6:D296,D296)=1,"Nouveau","Fidèle"))</f>
        <v/>
      </c>
    </row>
    <row r="297" spans="1:21" x14ac:dyDescent="0.25">
      <c r="A297" s="41" t="str">
        <f t="shared" si="16"/>
        <v/>
      </c>
      <c r="B297" s="38"/>
      <c r="C297" s="18"/>
      <c r="D297" s="18"/>
      <c r="E297" s="18"/>
      <c r="F297" s="18"/>
      <c r="G297" s="20"/>
      <c r="H297" s="19"/>
      <c r="I297" s="25" t="str">
        <f>IF(F297="","",IF(H297="",IFERROR(INDEX(Catalogue!$I$6:$I$55,MATCH(F297,Catalogue!$B$6:$B$55,0)),0),H297))</f>
        <v/>
      </c>
      <c r="J297" s="19"/>
      <c r="K297" s="25" t="str">
        <f t="shared" si="17"/>
        <v/>
      </c>
      <c r="L297" s="18"/>
      <c r="M297" s="18"/>
      <c r="N297" s="18"/>
      <c r="O297" s="19"/>
      <c r="P297" s="25" t="str">
        <f>IF(F297="","",IF(O297="",IFERROR(INDEX(Catalogue!$G$6:$G$55,MATCH(F297,Catalogue!$B$6:$B$55,0)),0),O297))</f>
        <v/>
      </c>
      <c r="Q297" s="25" t="str">
        <f>IF(F297="","",N(G297)*(IFERROR(INDEX(Catalogue!$E$6:$E$55,MATCH(F297,Catalogue!$B$6:$B$55,0)),0)+IFERROR(INDEX(Catalogue!$F$6:$F$55,MATCH(F297,Catalogue!$B$6:$B$55,0)),0)+IFERROR(INDEX(Catalogue!$H$6:$H$55,MATCH(F297,Catalogue!$B$6:$B$55,0)),0)))</f>
        <v/>
      </c>
      <c r="R297" s="25" t="str">
        <f t="shared" si="18"/>
        <v/>
      </c>
      <c r="S297" s="18"/>
      <c r="T297" s="24" t="str">
        <f t="shared" si="19"/>
        <v/>
      </c>
      <c r="U297" s="28" t="str">
        <f>IF(D297="","",IF(COUNTIF(D$6:D297,D297)=1,"Nouveau","Fidèle"))</f>
        <v/>
      </c>
    </row>
    <row r="298" spans="1:21" x14ac:dyDescent="0.25">
      <c r="A298" s="41" t="str">
        <f t="shared" si="16"/>
        <v/>
      </c>
      <c r="B298" s="38"/>
      <c r="C298" s="18"/>
      <c r="D298" s="18"/>
      <c r="E298" s="18"/>
      <c r="F298" s="18"/>
      <c r="G298" s="20"/>
      <c r="H298" s="19"/>
      <c r="I298" s="25" t="str">
        <f>IF(F298="","",IF(H298="",IFERROR(INDEX(Catalogue!$I$6:$I$55,MATCH(F298,Catalogue!$B$6:$B$55,0)),0),H298))</f>
        <v/>
      </c>
      <c r="J298" s="19"/>
      <c r="K298" s="25" t="str">
        <f t="shared" si="17"/>
        <v/>
      </c>
      <c r="L298" s="18"/>
      <c r="M298" s="18"/>
      <c r="N298" s="18"/>
      <c r="O298" s="19"/>
      <c r="P298" s="25" t="str">
        <f>IF(F298="","",IF(O298="",IFERROR(INDEX(Catalogue!$G$6:$G$55,MATCH(F298,Catalogue!$B$6:$B$55,0)),0),O298))</f>
        <v/>
      </c>
      <c r="Q298" s="25" t="str">
        <f>IF(F298="","",N(G298)*(IFERROR(INDEX(Catalogue!$E$6:$E$55,MATCH(F298,Catalogue!$B$6:$B$55,0)),0)+IFERROR(INDEX(Catalogue!$F$6:$F$55,MATCH(F298,Catalogue!$B$6:$B$55,0)),0)+IFERROR(INDEX(Catalogue!$H$6:$H$55,MATCH(F298,Catalogue!$B$6:$B$55,0)),0)))</f>
        <v/>
      </c>
      <c r="R298" s="25" t="str">
        <f t="shared" si="18"/>
        <v/>
      </c>
      <c r="S298" s="18"/>
      <c r="T298" s="24" t="str">
        <f t="shared" si="19"/>
        <v/>
      </c>
      <c r="U298" s="28" t="str">
        <f>IF(D298="","",IF(COUNTIF(D$6:D298,D298)=1,"Nouveau","Fidèle"))</f>
        <v/>
      </c>
    </row>
    <row r="299" spans="1:21" x14ac:dyDescent="0.25">
      <c r="A299" s="41" t="str">
        <f t="shared" si="16"/>
        <v/>
      </c>
      <c r="B299" s="38"/>
      <c r="C299" s="18"/>
      <c r="D299" s="18"/>
      <c r="E299" s="18"/>
      <c r="F299" s="18"/>
      <c r="G299" s="20"/>
      <c r="H299" s="19"/>
      <c r="I299" s="25" t="str">
        <f>IF(F299="","",IF(H299="",IFERROR(INDEX(Catalogue!$I$6:$I$55,MATCH(F299,Catalogue!$B$6:$B$55,0)),0),H299))</f>
        <v/>
      </c>
      <c r="J299" s="19"/>
      <c r="K299" s="25" t="str">
        <f t="shared" si="17"/>
        <v/>
      </c>
      <c r="L299" s="18"/>
      <c r="M299" s="18"/>
      <c r="N299" s="18"/>
      <c r="O299" s="19"/>
      <c r="P299" s="25" t="str">
        <f>IF(F299="","",IF(O299="",IFERROR(INDEX(Catalogue!$G$6:$G$55,MATCH(F299,Catalogue!$B$6:$B$55,0)),0),O299))</f>
        <v/>
      </c>
      <c r="Q299" s="25" t="str">
        <f>IF(F299="","",N(G299)*(IFERROR(INDEX(Catalogue!$E$6:$E$55,MATCH(F299,Catalogue!$B$6:$B$55,0)),0)+IFERROR(INDEX(Catalogue!$F$6:$F$55,MATCH(F299,Catalogue!$B$6:$B$55,0)),0)+IFERROR(INDEX(Catalogue!$H$6:$H$55,MATCH(F299,Catalogue!$B$6:$B$55,0)),0)))</f>
        <v/>
      </c>
      <c r="R299" s="25" t="str">
        <f t="shared" si="18"/>
        <v/>
      </c>
      <c r="S299" s="18"/>
      <c r="T299" s="24" t="str">
        <f t="shared" si="19"/>
        <v/>
      </c>
      <c r="U299" s="28" t="str">
        <f>IF(D299="","",IF(COUNTIF(D$6:D299,D299)=1,"Nouveau","Fidèle"))</f>
        <v/>
      </c>
    </row>
    <row r="300" spans="1:21" x14ac:dyDescent="0.25">
      <c r="A300" s="41" t="str">
        <f t="shared" si="16"/>
        <v/>
      </c>
      <c r="B300" s="38"/>
      <c r="C300" s="18"/>
      <c r="D300" s="18"/>
      <c r="E300" s="18"/>
      <c r="F300" s="18"/>
      <c r="G300" s="20"/>
      <c r="H300" s="19"/>
      <c r="I300" s="25" t="str">
        <f>IF(F300="","",IF(H300="",IFERROR(INDEX(Catalogue!$I$6:$I$55,MATCH(F300,Catalogue!$B$6:$B$55,0)),0),H300))</f>
        <v/>
      </c>
      <c r="J300" s="19"/>
      <c r="K300" s="25" t="str">
        <f t="shared" si="17"/>
        <v/>
      </c>
      <c r="L300" s="18"/>
      <c r="M300" s="18"/>
      <c r="N300" s="18"/>
      <c r="O300" s="19"/>
      <c r="P300" s="25" t="str">
        <f>IF(F300="","",IF(O300="",IFERROR(INDEX(Catalogue!$G$6:$G$55,MATCH(F300,Catalogue!$B$6:$B$55,0)),0),O300))</f>
        <v/>
      </c>
      <c r="Q300" s="25" t="str">
        <f>IF(F300="","",N(G300)*(IFERROR(INDEX(Catalogue!$E$6:$E$55,MATCH(F300,Catalogue!$B$6:$B$55,0)),0)+IFERROR(INDEX(Catalogue!$F$6:$F$55,MATCH(F300,Catalogue!$B$6:$B$55,0)),0)+IFERROR(INDEX(Catalogue!$H$6:$H$55,MATCH(F300,Catalogue!$B$6:$B$55,0)),0)))</f>
        <v/>
      </c>
      <c r="R300" s="25" t="str">
        <f t="shared" si="18"/>
        <v/>
      </c>
      <c r="S300" s="18"/>
      <c r="T300" s="24" t="str">
        <f t="shared" si="19"/>
        <v/>
      </c>
      <c r="U300" s="28" t="str">
        <f>IF(D300="","",IF(COUNTIF(D$6:D300,D300)=1,"Nouveau","Fidèle"))</f>
        <v/>
      </c>
    </row>
    <row r="301" spans="1:21" x14ac:dyDescent="0.25">
      <c r="A301" s="41" t="str">
        <f t="shared" si="16"/>
        <v/>
      </c>
      <c r="B301" s="38"/>
      <c r="C301" s="18"/>
      <c r="D301" s="18"/>
      <c r="E301" s="18"/>
      <c r="F301" s="18"/>
      <c r="G301" s="20"/>
      <c r="H301" s="19"/>
      <c r="I301" s="25" t="str">
        <f>IF(F301="","",IF(H301="",IFERROR(INDEX(Catalogue!$I$6:$I$55,MATCH(F301,Catalogue!$B$6:$B$55,0)),0),H301))</f>
        <v/>
      </c>
      <c r="J301" s="19"/>
      <c r="K301" s="25" t="str">
        <f t="shared" si="17"/>
        <v/>
      </c>
      <c r="L301" s="18"/>
      <c r="M301" s="18"/>
      <c r="N301" s="18"/>
      <c r="O301" s="19"/>
      <c r="P301" s="25" t="str">
        <f>IF(F301="","",IF(O301="",IFERROR(INDEX(Catalogue!$G$6:$G$55,MATCH(F301,Catalogue!$B$6:$B$55,0)),0),O301))</f>
        <v/>
      </c>
      <c r="Q301" s="25" t="str">
        <f>IF(F301="","",N(G301)*(IFERROR(INDEX(Catalogue!$E$6:$E$55,MATCH(F301,Catalogue!$B$6:$B$55,0)),0)+IFERROR(INDEX(Catalogue!$F$6:$F$55,MATCH(F301,Catalogue!$B$6:$B$55,0)),0)+IFERROR(INDEX(Catalogue!$H$6:$H$55,MATCH(F301,Catalogue!$B$6:$B$55,0)),0)))</f>
        <v/>
      </c>
      <c r="R301" s="25" t="str">
        <f t="shared" si="18"/>
        <v/>
      </c>
      <c r="S301" s="18"/>
      <c r="T301" s="24" t="str">
        <f t="shared" si="19"/>
        <v/>
      </c>
      <c r="U301" s="28" t="str">
        <f>IF(D301="","",IF(COUNTIF(D$6:D301,D301)=1,"Nouveau","Fidèle"))</f>
        <v/>
      </c>
    </row>
    <row r="302" spans="1:21" x14ac:dyDescent="0.25">
      <c r="A302" s="41" t="str">
        <f t="shared" si="16"/>
        <v/>
      </c>
      <c r="B302" s="38"/>
      <c r="C302" s="18"/>
      <c r="D302" s="18"/>
      <c r="E302" s="18"/>
      <c r="F302" s="18"/>
      <c r="G302" s="20"/>
      <c r="H302" s="19"/>
      <c r="I302" s="25" t="str">
        <f>IF(F302="","",IF(H302="",IFERROR(INDEX(Catalogue!$I$6:$I$55,MATCH(F302,Catalogue!$B$6:$B$55,0)),0),H302))</f>
        <v/>
      </c>
      <c r="J302" s="19"/>
      <c r="K302" s="25" t="str">
        <f t="shared" si="17"/>
        <v/>
      </c>
      <c r="L302" s="18"/>
      <c r="M302" s="18"/>
      <c r="N302" s="18"/>
      <c r="O302" s="19"/>
      <c r="P302" s="25" t="str">
        <f>IF(F302="","",IF(O302="",IFERROR(INDEX(Catalogue!$G$6:$G$55,MATCH(F302,Catalogue!$B$6:$B$55,0)),0),O302))</f>
        <v/>
      </c>
      <c r="Q302" s="25" t="str">
        <f>IF(F302="","",N(G302)*(IFERROR(INDEX(Catalogue!$E$6:$E$55,MATCH(F302,Catalogue!$B$6:$B$55,0)),0)+IFERROR(INDEX(Catalogue!$F$6:$F$55,MATCH(F302,Catalogue!$B$6:$B$55,0)),0)+IFERROR(INDEX(Catalogue!$H$6:$H$55,MATCH(F302,Catalogue!$B$6:$B$55,0)),0)))</f>
        <v/>
      </c>
      <c r="R302" s="25" t="str">
        <f t="shared" si="18"/>
        <v/>
      </c>
      <c r="S302" s="18"/>
      <c r="T302" s="24" t="str">
        <f t="shared" si="19"/>
        <v/>
      </c>
      <c r="U302" s="28" t="str">
        <f>IF(D302="","",IF(COUNTIF(D$6:D302,D302)=1,"Nouveau","Fidèle"))</f>
        <v/>
      </c>
    </row>
    <row r="303" spans="1:21" x14ac:dyDescent="0.25">
      <c r="A303" s="41" t="str">
        <f t="shared" si="16"/>
        <v/>
      </c>
      <c r="B303" s="38"/>
      <c r="C303" s="18"/>
      <c r="D303" s="18"/>
      <c r="E303" s="18"/>
      <c r="F303" s="18"/>
      <c r="G303" s="20"/>
      <c r="H303" s="19"/>
      <c r="I303" s="25" t="str">
        <f>IF(F303="","",IF(H303="",IFERROR(INDEX(Catalogue!$I$6:$I$55,MATCH(F303,Catalogue!$B$6:$B$55,0)),0),H303))</f>
        <v/>
      </c>
      <c r="J303" s="19"/>
      <c r="K303" s="25" t="str">
        <f t="shared" si="17"/>
        <v/>
      </c>
      <c r="L303" s="18"/>
      <c r="M303" s="18"/>
      <c r="N303" s="18"/>
      <c r="O303" s="19"/>
      <c r="P303" s="25" t="str">
        <f>IF(F303="","",IF(O303="",IFERROR(INDEX(Catalogue!$G$6:$G$55,MATCH(F303,Catalogue!$B$6:$B$55,0)),0),O303))</f>
        <v/>
      </c>
      <c r="Q303" s="25" t="str">
        <f>IF(F303="","",N(G303)*(IFERROR(INDEX(Catalogue!$E$6:$E$55,MATCH(F303,Catalogue!$B$6:$B$55,0)),0)+IFERROR(INDEX(Catalogue!$F$6:$F$55,MATCH(F303,Catalogue!$B$6:$B$55,0)),0)+IFERROR(INDEX(Catalogue!$H$6:$H$55,MATCH(F303,Catalogue!$B$6:$B$55,0)),0)))</f>
        <v/>
      </c>
      <c r="R303" s="25" t="str">
        <f t="shared" si="18"/>
        <v/>
      </c>
      <c r="S303" s="18"/>
      <c r="T303" s="24" t="str">
        <f t="shared" si="19"/>
        <v/>
      </c>
      <c r="U303" s="28" t="str">
        <f>IF(D303="","",IF(COUNTIF(D$6:D303,D303)=1,"Nouveau","Fidèle"))</f>
        <v/>
      </c>
    </row>
    <row r="304" spans="1:21" x14ac:dyDescent="0.25">
      <c r="A304" s="41" t="str">
        <f t="shared" si="16"/>
        <v/>
      </c>
      <c r="B304" s="38"/>
      <c r="C304" s="18"/>
      <c r="D304" s="18"/>
      <c r="E304" s="18"/>
      <c r="F304" s="18"/>
      <c r="G304" s="20"/>
      <c r="H304" s="19"/>
      <c r="I304" s="25" t="str">
        <f>IF(F304="","",IF(H304="",IFERROR(INDEX(Catalogue!$I$6:$I$55,MATCH(F304,Catalogue!$B$6:$B$55,0)),0),H304))</f>
        <v/>
      </c>
      <c r="J304" s="19"/>
      <c r="K304" s="25" t="str">
        <f t="shared" si="17"/>
        <v/>
      </c>
      <c r="L304" s="18"/>
      <c r="M304" s="18"/>
      <c r="N304" s="18"/>
      <c r="O304" s="19"/>
      <c r="P304" s="25" t="str">
        <f>IF(F304="","",IF(O304="",IFERROR(INDEX(Catalogue!$G$6:$G$55,MATCH(F304,Catalogue!$B$6:$B$55,0)),0),O304))</f>
        <v/>
      </c>
      <c r="Q304" s="25" t="str">
        <f>IF(F304="","",N(G304)*(IFERROR(INDEX(Catalogue!$E$6:$E$55,MATCH(F304,Catalogue!$B$6:$B$55,0)),0)+IFERROR(INDEX(Catalogue!$F$6:$F$55,MATCH(F304,Catalogue!$B$6:$B$55,0)),0)+IFERROR(INDEX(Catalogue!$H$6:$H$55,MATCH(F304,Catalogue!$B$6:$B$55,0)),0)))</f>
        <v/>
      </c>
      <c r="R304" s="25" t="str">
        <f t="shared" si="18"/>
        <v/>
      </c>
      <c r="S304" s="18"/>
      <c r="T304" s="24" t="str">
        <f t="shared" si="19"/>
        <v/>
      </c>
      <c r="U304" s="28" t="str">
        <f>IF(D304="","",IF(COUNTIF(D$6:D304,D304)=1,"Nouveau","Fidèle"))</f>
        <v/>
      </c>
    </row>
    <row r="305" spans="1:21" x14ac:dyDescent="0.25">
      <c r="A305" s="41" t="str">
        <f t="shared" si="16"/>
        <v/>
      </c>
      <c r="B305" s="38"/>
      <c r="C305" s="18"/>
      <c r="D305" s="18"/>
      <c r="E305" s="18"/>
      <c r="F305" s="18"/>
      <c r="G305" s="20"/>
      <c r="H305" s="19"/>
      <c r="I305" s="25" t="str">
        <f>IF(F305="","",IF(H305="",IFERROR(INDEX(Catalogue!$I$6:$I$55,MATCH(F305,Catalogue!$B$6:$B$55,0)),0),H305))</f>
        <v/>
      </c>
      <c r="J305" s="19"/>
      <c r="K305" s="25" t="str">
        <f t="shared" si="17"/>
        <v/>
      </c>
      <c r="L305" s="18"/>
      <c r="M305" s="18"/>
      <c r="N305" s="18"/>
      <c r="O305" s="19"/>
      <c r="P305" s="25" t="str">
        <f>IF(F305="","",IF(O305="",IFERROR(INDEX(Catalogue!$G$6:$G$55,MATCH(F305,Catalogue!$B$6:$B$55,0)),0),O305))</f>
        <v/>
      </c>
      <c r="Q305" s="25" t="str">
        <f>IF(F305="","",N(G305)*(IFERROR(INDEX(Catalogue!$E$6:$E$55,MATCH(F305,Catalogue!$B$6:$B$55,0)),0)+IFERROR(INDEX(Catalogue!$F$6:$F$55,MATCH(F305,Catalogue!$B$6:$B$55,0)),0)+IFERROR(INDEX(Catalogue!$H$6:$H$55,MATCH(F305,Catalogue!$B$6:$B$55,0)),0)))</f>
        <v/>
      </c>
      <c r="R305" s="25" t="str">
        <f t="shared" si="18"/>
        <v/>
      </c>
      <c r="S305" s="18"/>
      <c r="T305" s="24" t="str">
        <f t="shared" si="19"/>
        <v/>
      </c>
      <c r="U305" s="28" t="str">
        <f>IF(D305="","",IF(COUNTIF(D$6:D305,D305)=1,"Nouveau","Fidèle"))</f>
        <v/>
      </c>
    </row>
    <row r="306" spans="1:21" x14ac:dyDescent="0.25">
      <c r="A306" s="41" t="str">
        <f t="shared" si="16"/>
        <v/>
      </c>
      <c r="B306" s="38"/>
      <c r="C306" s="18"/>
      <c r="D306" s="18"/>
      <c r="E306" s="18"/>
      <c r="F306" s="18"/>
      <c r="G306" s="20"/>
      <c r="H306" s="19"/>
      <c r="I306" s="25" t="str">
        <f>IF(F306="","",IF(H306="",IFERROR(INDEX(Catalogue!$I$6:$I$55,MATCH(F306,Catalogue!$B$6:$B$55,0)),0),H306))</f>
        <v/>
      </c>
      <c r="J306" s="19"/>
      <c r="K306" s="25" t="str">
        <f t="shared" si="17"/>
        <v/>
      </c>
      <c r="L306" s="18"/>
      <c r="M306" s="18"/>
      <c r="N306" s="18"/>
      <c r="O306" s="19"/>
      <c r="P306" s="25" t="str">
        <f>IF(F306="","",IF(O306="",IFERROR(INDEX(Catalogue!$G$6:$G$55,MATCH(F306,Catalogue!$B$6:$B$55,0)),0),O306))</f>
        <v/>
      </c>
      <c r="Q306" s="25" t="str">
        <f>IF(F306="","",N(G306)*(IFERROR(INDEX(Catalogue!$E$6:$E$55,MATCH(F306,Catalogue!$B$6:$B$55,0)),0)+IFERROR(INDEX(Catalogue!$F$6:$F$55,MATCH(F306,Catalogue!$B$6:$B$55,0)),0)+IFERROR(INDEX(Catalogue!$H$6:$H$55,MATCH(F306,Catalogue!$B$6:$B$55,0)),0)))</f>
        <v/>
      </c>
      <c r="R306" s="25" t="str">
        <f t="shared" si="18"/>
        <v/>
      </c>
      <c r="S306" s="18"/>
      <c r="T306" s="24" t="str">
        <f t="shared" si="19"/>
        <v/>
      </c>
      <c r="U306" s="28" t="str">
        <f>IF(D306="","",IF(COUNTIF(D$6:D306,D306)=1,"Nouveau","Fidèle"))</f>
        <v/>
      </c>
    </row>
    <row r="307" spans="1:21" x14ac:dyDescent="0.25">
      <c r="A307" s="41" t="str">
        <f t="shared" si="16"/>
        <v/>
      </c>
      <c r="B307" s="38"/>
      <c r="C307" s="18"/>
      <c r="D307" s="18"/>
      <c r="E307" s="18"/>
      <c r="F307" s="18"/>
      <c r="G307" s="20"/>
      <c r="H307" s="19"/>
      <c r="I307" s="25" t="str">
        <f>IF(F307="","",IF(H307="",IFERROR(INDEX(Catalogue!$I$6:$I$55,MATCH(F307,Catalogue!$B$6:$B$55,0)),0),H307))</f>
        <v/>
      </c>
      <c r="J307" s="19"/>
      <c r="K307" s="25" t="str">
        <f t="shared" si="17"/>
        <v/>
      </c>
      <c r="L307" s="18"/>
      <c r="M307" s="18"/>
      <c r="N307" s="18"/>
      <c r="O307" s="19"/>
      <c r="P307" s="25" t="str">
        <f>IF(F307="","",IF(O307="",IFERROR(INDEX(Catalogue!$G$6:$G$55,MATCH(F307,Catalogue!$B$6:$B$55,0)),0),O307))</f>
        <v/>
      </c>
      <c r="Q307" s="25" t="str">
        <f>IF(F307="","",N(G307)*(IFERROR(INDEX(Catalogue!$E$6:$E$55,MATCH(F307,Catalogue!$B$6:$B$55,0)),0)+IFERROR(INDEX(Catalogue!$F$6:$F$55,MATCH(F307,Catalogue!$B$6:$B$55,0)),0)+IFERROR(INDEX(Catalogue!$H$6:$H$55,MATCH(F307,Catalogue!$B$6:$B$55,0)),0)))</f>
        <v/>
      </c>
      <c r="R307" s="25" t="str">
        <f t="shared" si="18"/>
        <v/>
      </c>
      <c r="S307" s="18"/>
      <c r="T307" s="24" t="str">
        <f t="shared" si="19"/>
        <v/>
      </c>
      <c r="U307" s="28" t="str">
        <f>IF(D307="","",IF(COUNTIF(D$6:D307,D307)=1,"Nouveau","Fidèle"))</f>
        <v/>
      </c>
    </row>
    <row r="308" spans="1:21" x14ac:dyDescent="0.25">
      <c r="A308" s="41" t="str">
        <f t="shared" si="16"/>
        <v/>
      </c>
      <c r="B308" s="38"/>
      <c r="C308" s="18"/>
      <c r="D308" s="18"/>
      <c r="E308" s="18"/>
      <c r="F308" s="18"/>
      <c r="G308" s="20"/>
      <c r="H308" s="19"/>
      <c r="I308" s="25" t="str">
        <f>IF(F308="","",IF(H308="",IFERROR(INDEX(Catalogue!$I$6:$I$55,MATCH(F308,Catalogue!$B$6:$B$55,0)),0),H308))</f>
        <v/>
      </c>
      <c r="J308" s="19"/>
      <c r="K308" s="25" t="str">
        <f t="shared" si="17"/>
        <v/>
      </c>
      <c r="L308" s="18"/>
      <c r="M308" s="18"/>
      <c r="N308" s="18"/>
      <c r="O308" s="19"/>
      <c r="P308" s="25" t="str">
        <f>IF(F308="","",IF(O308="",IFERROR(INDEX(Catalogue!$G$6:$G$55,MATCH(F308,Catalogue!$B$6:$B$55,0)),0),O308))</f>
        <v/>
      </c>
      <c r="Q308" s="25" t="str">
        <f>IF(F308="","",N(G308)*(IFERROR(INDEX(Catalogue!$E$6:$E$55,MATCH(F308,Catalogue!$B$6:$B$55,0)),0)+IFERROR(INDEX(Catalogue!$F$6:$F$55,MATCH(F308,Catalogue!$B$6:$B$55,0)),0)+IFERROR(INDEX(Catalogue!$H$6:$H$55,MATCH(F308,Catalogue!$B$6:$B$55,0)),0)))</f>
        <v/>
      </c>
      <c r="R308" s="25" t="str">
        <f t="shared" si="18"/>
        <v/>
      </c>
      <c r="S308" s="18"/>
      <c r="T308" s="24" t="str">
        <f t="shared" si="19"/>
        <v/>
      </c>
      <c r="U308" s="28" t="str">
        <f>IF(D308="","",IF(COUNTIF(D$6:D308,D308)=1,"Nouveau","Fidèle"))</f>
        <v/>
      </c>
    </row>
    <row r="309" spans="1:21" x14ac:dyDescent="0.25">
      <c r="A309" s="41" t="str">
        <f t="shared" si="16"/>
        <v/>
      </c>
      <c r="B309" s="38"/>
      <c r="C309" s="18"/>
      <c r="D309" s="18"/>
      <c r="E309" s="18"/>
      <c r="F309" s="18"/>
      <c r="G309" s="20"/>
      <c r="H309" s="19"/>
      <c r="I309" s="25" t="str">
        <f>IF(F309="","",IF(H309="",IFERROR(INDEX(Catalogue!$I$6:$I$55,MATCH(F309,Catalogue!$B$6:$B$55,0)),0),H309))</f>
        <v/>
      </c>
      <c r="J309" s="19"/>
      <c r="K309" s="25" t="str">
        <f t="shared" si="17"/>
        <v/>
      </c>
      <c r="L309" s="18"/>
      <c r="M309" s="18"/>
      <c r="N309" s="18"/>
      <c r="O309" s="19"/>
      <c r="P309" s="25" t="str">
        <f>IF(F309="","",IF(O309="",IFERROR(INDEX(Catalogue!$G$6:$G$55,MATCH(F309,Catalogue!$B$6:$B$55,0)),0),O309))</f>
        <v/>
      </c>
      <c r="Q309" s="25" t="str">
        <f>IF(F309="","",N(G309)*(IFERROR(INDEX(Catalogue!$E$6:$E$55,MATCH(F309,Catalogue!$B$6:$B$55,0)),0)+IFERROR(INDEX(Catalogue!$F$6:$F$55,MATCH(F309,Catalogue!$B$6:$B$55,0)),0)+IFERROR(INDEX(Catalogue!$H$6:$H$55,MATCH(F309,Catalogue!$B$6:$B$55,0)),0)))</f>
        <v/>
      </c>
      <c r="R309" s="25" t="str">
        <f t="shared" si="18"/>
        <v/>
      </c>
      <c r="S309" s="18"/>
      <c r="T309" s="24" t="str">
        <f t="shared" si="19"/>
        <v/>
      </c>
      <c r="U309" s="28" t="str">
        <f>IF(D309="","",IF(COUNTIF(D$6:D309,D309)=1,"Nouveau","Fidèle"))</f>
        <v/>
      </c>
    </row>
    <row r="310" spans="1:21" x14ac:dyDescent="0.25">
      <c r="A310" s="41" t="str">
        <f t="shared" si="16"/>
        <v/>
      </c>
      <c r="B310" s="38"/>
      <c r="C310" s="18"/>
      <c r="D310" s="18"/>
      <c r="E310" s="18"/>
      <c r="F310" s="18"/>
      <c r="G310" s="20"/>
      <c r="H310" s="19"/>
      <c r="I310" s="25" t="str">
        <f>IF(F310="","",IF(H310="",IFERROR(INDEX(Catalogue!$I$6:$I$55,MATCH(F310,Catalogue!$B$6:$B$55,0)),0),H310))</f>
        <v/>
      </c>
      <c r="J310" s="19"/>
      <c r="K310" s="25" t="str">
        <f t="shared" si="17"/>
        <v/>
      </c>
      <c r="L310" s="18"/>
      <c r="M310" s="18"/>
      <c r="N310" s="18"/>
      <c r="O310" s="19"/>
      <c r="P310" s="25" t="str">
        <f>IF(F310="","",IF(O310="",IFERROR(INDEX(Catalogue!$G$6:$G$55,MATCH(F310,Catalogue!$B$6:$B$55,0)),0),O310))</f>
        <v/>
      </c>
      <c r="Q310" s="25" t="str">
        <f>IF(F310="","",N(G310)*(IFERROR(INDEX(Catalogue!$E$6:$E$55,MATCH(F310,Catalogue!$B$6:$B$55,0)),0)+IFERROR(INDEX(Catalogue!$F$6:$F$55,MATCH(F310,Catalogue!$B$6:$B$55,0)),0)+IFERROR(INDEX(Catalogue!$H$6:$H$55,MATCH(F310,Catalogue!$B$6:$B$55,0)),0)))</f>
        <v/>
      </c>
      <c r="R310" s="25" t="str">
        <f t="shared" si="18"/>
        <v/>
      </c>
      <c r="S310" s="18"/>
      <c r="T310" s="24" t="str">
        <f t="shared" si="19"/>
        <v/>
      </c>
      <c r="U310" s="28" t="str">
        <f>IF(D310="","",IF(COUNTIF(D$6:D310,D310)=1,"Nouveau","Fidèle"))</f>
        <v/>
      </c>
    </row>
    <row r="311" spans="1:21" x14ac:dyDescent="0.25">
      <c r="A311" s="41" t="str">
        <f t="shared" si="16"/>
        <v/>
      </c>
      <c r="B311" s="38"/>
      <c r="C311" s="18"/>
      <c r="D311" s="18"/>
      <c r="E311" s="18"/>
      <c r="F311" s="18"/>
      <c r="G311" s="20"/>
      <c r="H311" s="19"/>
      <c r="I311" s="25" t="str">
        <f>IF(F311="","",IF(H311="",IFERROR(INDEX(Catalogue!$I$6:$I$55,MATCH(F311,Catalogue!$B$6:$B$55,0)),0),H311))</f>
        <v/>
      </c>
      <c r="J311" s="19"/>
      <c r="K311" s="25" t="str">
        <f t="shared" si="17"/>
        <v/>
      </c>
      <c r="L311" s="18"/>
      <c r="M311" s="18"/>
      <c r="N311" s="18"/>
      <c r="O311" s="19"/>
      <c r="P311" s="25" t="str">
        <f>IF(F311="","",IF(O311="",IFERROR(INDEX(Catalogue!$G$6:$G$55,MATCH(F311,Catalogue!$B$6:$B$55,0)),0),O311))</f>
        <v/>
      </c>
      <c r="Q311" s="25" t="str">
        <f>IF(F311="","",N(G311)*(IFERROR(INDEX(Catalogue!$E$6:$E$55,MATCH(F311,Catalogue!$B$6:$B$55,0)),0)+IFERROR(INDEX(Catalogue!$F$6:$F$55,MATCH(F311,Catalogue!$B$6:$B$55,0)),0)+IFERROR(INDEX(Catalogue!$H$6:$H$55,MATCH(F311,Catalogue!$B$6:$B$55,0)),0)))</f>
        <v/>
      </c>
      <c r="R311" s="25" t="str">
        <f t="shared" si="18"/>
        <v/>
      </c>
      <c r="S311" s="18"/>
      <c r="T311" s="24" t="str">
        <f t="shared" si="19"/>
        <v/>
      </c>
      <c r="U311" s="28" t="str">
        <f>IF(D311="","",IF(COUNTIF(D$6:D311,D311)=1,"Nouveau","Fidèle"))</f>
        <v/>
      </c>
    </row>
    <row r="312" spans="1:21" x14ac:dyDescent="0.25">
      <c r="A312" s="41" t="str">
        <f t="shared" si="16"/>
        <v/>
      </c>
      <c r="B312" s="38"/>
      <c r="C312" s="18"/>
      <c r="D312" s="18"/>
      <c r="E312" s="18"/>
      <c r="F312" s="18"/>
      <c r="G312" s="20"/>
      <c r="H312" s="19"/>
      <c r="I312" s="25" t="str">
        <f>IF(F312="","",IF(H312="",IFERROR(INDEX(Catalogue!$I$6:$I$55,MATCH(F312,Catalogue!$B$6:$B$55,0)),0),H312))</f>
        <v/>
      </c>
      <c r="J312" s="19"/>
      <c r="K312" s="25" t="str">
        <f t="shared" si="17"/>
        <v/>
      </c>
      <c r="L312" s="18"/>
      <c r="M312" s="18"/>
      <c r="N312" s="18"/>
      <c r="O312" s="19"/>
      <c r="P312" s="25" t="str">
        <f>IF(F312="","",IF(O312="",IFERROR(INDEX(Catalogue!$G$6:$G$55,MATCH(F312,Catalogue!$B$6:$B$55,0)),0),O312))</f>
        <v/>
      </c>
      <c r="Q312" s="25" t="str">
        <f>IF(F312="","",N(G312)*(IFERROR(INDEX(Catalogue!$E$6:$E$55,MATCH(F312,Catalogue!$B$6:$B$55,0)),0)+IFERROR(INDEX(Catalogue!$F$6:$F$55,MATCH(F312,Catalogue!$B$6:$B$55,0)),0)+IFERROR(INDEX(Catalogue!$H$6:$H$55,MATCH(F312,Catalogue!$B$6:$B$55,0)),0)))</f>
        <v/>
      </c>
      <c r="R312" s="25" t="str">
        <f t="shared" si="18"/>
        <v/>
      </c>
      <c r="S312" s="18"/>
      <c r="T312" s="24" t="str">
        <f t="shared" si="19"/>
        <v/>
      </c>
      <c r="U312" s="28" t="str">
        <f>IF(D312="","",IF(COUNTIF(D$6:D312,D312)=1,"Nouveau","Fidèle"))</f>
        <v/>
      </c>
    </row>
    <row r="313" spans="1:21" x14ac:dyDescent="0.25">
      <c r="A313" s="41" t="str">
        <f t="shared" si="16"/>
        <v/>
      </c>
      <c r="B313" s="38"/>
      <c r="C313" s="18"/>
      <c r="D313" s="18"/>
      <c r="E313" s="18"/>
      <c r="F313" s="18"/>
      <c r="G313" s="20"/>
      <c r="H313" s="19"/>
      <c r="I313" s="25" t="str">
        <f>IF(F313="","",IF(H313="",IFERROR(INDEX(Catalogue!$I$6:$I$55,MATCH(F313,Catalogue!$B$6:$B$55,0)),0),H313))</f>
        <v/>
      </c>
      <c r="J313" s="19"/>
      <c r="K313" s="25" t="str">
        <f t="shared" si="17"/>
        <v/>
      </c>
      <c r="L313" s="18"/>
      <c r="M313" s="18"/>
      <c r="N313" s="18"/>
      <c r="O313" s="19"/>
      <c r="P313" s="25" t="str">
        <f>IF(F313="","",IF(O313="",IFERROR(INDEX(Catalogue!$G$6:$G$55,MATCH(F313,Catalogue!$B$6:$B$55,0)),0),O313))</f>
        <v/>
      </c>
      <c r="Q313" s="25" t="str">
        <f>IF(F313="","",N(G313)*(IFERROR(INDEX(Catalogue!$E$6:$E$55,MATCH(F313,Catalogue!$B$6:$B$55,0)),0)+IFERROR(INDEX(Catalogue!$F$6:$F$55,MATCH(F313,Catalogue!$B$6:$B$55,0)),0)+IFERROR(INDEX(Catalogue!$H$6:$H$55,MATCH(F313,Catalogue!$B$6:$B$55,0)),0)))</f>
        <v/>
      </c>
      <c r="R313" s="25" t="str">
        <f t="shared" si="18"/>
        <v/>
      </c>
      <c r="S313" s="18"/>
      <c r="T313" s="24" t="str">
        <f t="shared" si="19"/>
        <v/>
      </c>
      <c r="U313" s="28" t="str">
        <f>IF(D313="","",IF(COUNTIF(D$6:D313,D313)=1,"Nouveau","Fidèle"))</f>
        <v/>
      </c>
    </row>
    <row r="314" spans="1:21" x14ac:dyDescent="0.25">
      <c r="A314" s="41" t="str">
        <f t="shared" si="16"/>
        <v/>
      </c>
      <c r="B314" s="38"/>
      <c r="C314" s="18"/>
      <c r="D314" s="18"/>
      <c r="E314" s="18"/>
      <c r="F314" s="18"/>
      <c r="G314" s="20"/>
      <c r="H314" s="19"/>
      <c r="I314" s="25" t="str">
        <f>IF(F314="","",IF(H314="",IFERROR(INDEX(Catalogue!$I$6:$I$55,MATCH(F314,Catalogue!$B$6:$B$55,0)),0),H314))</f>
        <v/>
      </c>
      <c r="J314" s="19"/>
      <c r="K314" s="25" t="str">
        <f t="shared" si="17"/>
        <v/>
      </c>
      <c r="L314" s="18"/>
      <c r="M314" s="18"/>
      <c r="N314" s="18"/>
      <c r="O314" s="19"/>
      <c r="P314" s="25" t="str">
        <f>IF(F314="","",IF(O314="",IFERROR(INDEX(Catalogue!$G$6:$G$55,MATCH(F314,Catalogue!$B$6:$B$55,0)),0),O314))</f>
        <v/>
      </c>
      <c r="Q314" s="25" t="str">
        <f>IF(F314="","",N(G314)*(IFERROR(INDEX(Catalogue!$E$6:$E$55,MATCH(F314,Catalogue!$B$6:$B$55,0)),0)+IFERROR(INDEX(Catalogue!$F$6:$F$55,MATCH(F314,Catalogue!$B$6:$B$55,0)),0)+IFERROR(INDEX(Catalogue!$H$6:$H$55,MATCH(F314,Catalogue!$B$6:$B$55,0)),0)))</f>
        <v/>
      </c>
      <c r="R314" s="25" t="str">
        <f t="shared" si="18"/>
        <v/>
      </c>
      <c r="S314" s="18"/>
      <c r="T314" s="24" t="str">
        <f t="shared" si="19"/>
        <v/>
      </c>
      <c r="U314" s="28" t="str">
        <f>IF(D314="","",IF(COUNTIF(D$6:D314,D314)=1,"Nouveau","Fidèle"))</f>
        <v/>
      </c>
    </row>
    <row r="315" spans="1:21" x14ac:dyDescent="0.25">
      <c r="A315" s="41" t="str">
        <f t="shared" si="16"/>
        <v/>
      </c>
      <c r="B315" s="38"/>
      <c r="C315" s="18"/>
      <c r="D315" s="18"/>
      <c r="E315" s="18"/>
      <c r="F315" s="18"/>
      <c r="G315" s="20"/>
      <c r="H315" s="19"/>
      <c r="I315" s="25" t="str">
        <f>IF(F315="","",IF(H315="",IFERROR(INDEX(Catalogue!$I$6:$I$55,MATCH(F315,Catalogue!$B$6:$B$55,0)),0),H315))</f>
        <v/>
      </c>
      <c r="J315" s="19"/>
      <c r="K315" s="25" t="str">
        <f t="shared" si="17"/>
        <v/>
      </c>
      <c r="L315" s="18"/>
      <c r="M315" s="18"/>
      <c r="N315" s="18"/>
      <c r="O315" s="19"/>
      <c r="P315" s="25" t="str">
        <f>IF(F315="","",IF(O315="",IFERROR(INDEX(Catalogue!$G$6:$G$55,MATCH(F315,Catalogue!$B$6:$B$55,0)),0),O315))</f>
        <v/>
      </c>
      <c r="Q315" s="25" t="str">
        <f>IF(F315="","",N(G315)*(IFERROR(INDEX(Catalogue!$E$6:$E$55,MATCH(F315,Catalogue!$B$6:$B$55,0)),0)+IFERROR(INDEX(Catalogue!$F$6:$F$55,MATCH(F315,Catalogue!$B$6:$B$55,0)),0)+IFERROR(INDEX(Catalogue!$H$6:$H$55,MATCH(F315,Catalogue!$B$6:$B$55,0)),0)))</f>
        <v/>
      </c>
      <c r="R315" s="25" t="str">
        <f t="shared" si="18"/>
        <v/>
      </c>
      <c r="S315" s="18"/>
      <c r="T315" s="24" t="str">
        <f t="shared" si="19"/>
        <v/>
      </c>
      <c r="U315" s="28" t="str">
        <f>IF(D315="","",IF(COUNTIF(D$6:D315,D315)=1,"Nouveau","Fidèle"))</f>
        <v/>
      </c>
    </row>
    <row r="316" spans="1:21" x14ac:dyDescent="0.25">
      <c r="A316" s="41" t="str">
        <f t="shared" si="16"/>
        <v/>
      </c>
      <c r="B316" s="38"/>
      <c r="C316" s="18"/>
      <c r="D316" s="18"/>
      <c r="E316" s="18"/>
      <c r="F316" s="18"/>
      <c r="G316" s="20"/>
      <c r="H316" s="19"/>
      <c r="I316" s="25" t="str">
        <f>IF(F316="","",IF(H316="",IFERROR(INDEX(Catalogue!$I$6:$I$55,MATCH(F316,Catalogue!$B$6:$B$55,0)),0),H316))</f>
        <v/>
      </c>
      <c r="J316" s="19"/>
      <c r="K316" s="25" t="str">
        <f t="shared" si="17"/>
        <v/>
      </c>
      <c r="L316" s="18"/>
      <c r="M316" s="18"/>
      <c r="N316" s="18"/>
      <c r="O316" s="19"/>
      <c r="P316" s="25" t="str">
        <f>IF(F316="","",IF(O316="",IFERROR(INDEX(Catalogue!$G$6:$G$55,MATCH(F316,Catalogue!$B$6:$B$55,0)),0),O316))</f>
        <v/>
      </c>
      <c r="Q316" s="25" t="str">
        <f>IF(F316="","",N(G316)*(IFERROR(INDEX(Catalogue!$E$6:$E$55,MATCH(F316,Catalogue!$B$6:$B$55,0)),0)+IFERROR(INDEX(Catalogue!$F$6:$F$55,MATCH(F316,Catalogue!$B$6:$B$55,0)),0)+IFERROR(INDEX(Catalogue!$H$6:$H$55,MATCH(F316,Catalogue!$B$6:$B$55,0)),0)))</f>
        <v/>
      </c>
      <c r="R316" s="25" t="str">
        <f t="shared" si="18"/>
        <v/>
      </c>
      <c r="S316" s="18"/>
      <c r="T316" s="24" t="str">
        <f t="shared" si="19"/>
        <v/>
      </c>
      <c r="U316" s="28" t="str">
        <f>IF(D316="","",IF(COUNTIF(D$6:D316,D316)=1,"Nouveau","Fidèle"))</f>
        <v/>
      </c>
    </row>
    <row r="317" spans="1:21" x14ac:dyDescent="0.25">
      <c r="A317" s="41" t="str">
        <f t="shared" si="16"/>
        <v/>
      </c>
      <c r="B317" s="38"/>
      <c r="C317" s="18"/>
      <c r="D317" s="18"/>
      <c r="E317" s="18"/>
      <c r="F317" s="18"/>
      <c r="G317" s="20"/>
      <c r="H317" s="19"/>
      <c r="I317" s="25" t="str">
        <f>IF(F317="","",IF(H317="",IFERROR(INDEX(Catalogue!$I$6:$I$55,MATCH(F317,Catalogue!$B$6:$B$55,0)),0),H317))</f>
        <v/>
      </c>
      <c r="J317" s="19"/>
      <c r="K317" s="25" t="str">
        <f t="shared" si="17"/>
        <v/>
      </c>
      <c r="L317" s="18"/>
      <c r="M317" s="18"/>
      <c r="N317" s="18"/>
      <c r="O317" s="19"/>
      <c r="P317" s="25" t="str">
        <f>IF(F317="","",IF(O317="",IFERROR(INDEX(Catalogue!$G$6:$G$55,MATCH(F317,Catalogue!$B$6:$B$55,0)),0),O317))</f>
        <v/>
      </c>
      <c r="Q317" s="25" t="str">
        <f>IF(F317="","",N(G317)*(IFERROR(INDEX(Catalogue!$E$6:$E$55,MATCH(F317,Catalogue!$B$6:$B$55,0)),0)+IFERROR(INDEX(Catalogue!$F$6:$F$55,MATCH(F317,Catalogue!$B$6:$B$55,0)),0)+IFERROR(INDEX(Catalogue!$H$6:$H$55,MATCH(F317,Catalogue!$B$6:$B$55,0)),0)))</f>
        <v/>
      </c>
      <c r="R317" s="25" t="str">
        <f t="shared" si="18"/>
        <v/>
      </c>
      <c r="S317" s="18"/>
      <c r="T317" s="24" t="str">
        <f t="shared" si="19"/>
        <v/>
      </c>
      <c r="U317" s="28" t="str">
        <f>IF(D317="","",IF(COUNTIF(D$6:D317,D317)=1,"Nouveau","Fidèle"))</f>
        <v/>
      </c>
    </row>
    <row r="318" spans="1:21" x14ac:dyDescent="0.25">
      <c r="A318" s="41" t="str">
        <f t="shared" si="16"/>
        <v/>
      </c>
      <c r="B318" s="38"/>
      <c r="C318" s="18"/>
      <c r="D318" s="18"/>
      <c r="E318" s="18"/>
      <c r="F318" s="18"/>
      <c r="G318" s="20"/>
      <c r="H318" s="19"/>
      <c r="I318" s="25" t="str">
        <f>IF(F318="","",IF(H318="",IFERROR(INDEX(Catalogue!$I$6:$I$55,MATCH(F318,Catalogue!$B$6:$B$55,0)),0),H318))</f>
        <v/>
      </c>
      <c r="J318" s="19"/>
      <c r="K318" s="25" t="str">
        <f t="shared" si="17"/>
        <v/>
      </c>
      <c r="L318" s="18"/>
      <c r="M318" s="18"/>
      <c r="N318" s="18"/>
      <c r="O318" s="19"/>
      <c r="P318" s="25" t="str">
        <f>IF(F318="","",IF(O318="",IFERROR(INDEX(Catalogue!$G$6:$G$55,MATCH(F318,Catalogue!$B$6:$B$55,0)),0),O318))</f>
        <v/>
      </c>
      <c r="Q318" s="25" t="str">
        <f>IF(F318="","",N(G318)*(IFERROR(INDEX(Catalogue!$E$6:$E$55,MATCH(F318,Catalogue!$B$6:$B$55,0)),0)+IFERROR(INDEX(Catalogue!$F$6:$F$55,MATCH(F318,Catalogue!$B$6:$B$55,0)),0)+IFERROR(INDEX(Catalogue!$H$6:$H$55,MATCH(F318,Catalogue!$B$6:$B$55,0)),0)))</f>
        <v/>
      </c>
      <c r="R318" s="25" t="str">
        <f t="shared" si="18"/>
        <v/>
      </c>
      <c r="S318" s="18"/>
      <c r="T318" s="24" t="str">
        <f t="shared" si="19"/>
        <v/>
      </c>
      <c r="U318" s="28" t="str">
        <f>IF(D318="","",IF(COUNTIF(D$6:D318,D318)=1,"Nouveau","Fidèle"))</f>
        <v/>
      </c>
    </row>
    <row r="319" spans="1:21" x14ac:dyDescent="0.25">
      <c r="A319" s="41" t="str">
        <f t="shared" si="16"/>
        <v/>
      </c>
      <c r="B319" s="38"/>
      <c r="C319" s="18"/>
      <c r="D319" s="18"/>
      <c r="E319" s="18"/>
      <c r="F319" s="18"/>
      <c r="G319" s="20"/>
      <c r="H319" s="19"/>
      <c r="I319" s="25" t="str">
        <f>IF(F319="","",IF(H319="",IFERROR(INDEX(Catalogue!$I$6:$I$55,MATCH(F319,Catalogue!$B$6:$B$55,0)),0),H319))</f>
        <v/>
      </c>
      <c r="J319" s="19"/>
      <c r="K319" s="25" t="str">
        <f t="shared" si="17"/>
        <v/>
      </c>
      <c r="L319" s="18"/>
      <c r="M319" s="18"/>
      <c r="N319" s="18"/>
      <c r="O319" s="19"/>
      <c r="P319" s="25" t="str">
        <f>IF(F319="","",IF(O319="",IFERROR(INDEX(Catalogue!$G$6:$G$55,MATCH(F319,Catalogue!$B$6:$B$55,0)),0),O319))</f>
        <v/>
      </c>
      <c r="Q319" s="25" t="str">
        <f>IF(F319="","",N(G319)*(IFERROR(INDEX(Catalogue!$E$6:$E$55,MATCH(F319,Catalogue!$B$6:$B$55,0)),0)+IFERROR(INDEX(Catalogue!$F$6:$F$55,MATCH(F319,Catalogue!$B$6:$B$55,0)),0)+IFERROR(INDEX(Catalogue!$H$6:$H$55,MATCH(F319,Catalogue!$B$6:$B$55,0)),0)))</f>
        <v/>
      </c>
      <c r="R319" s="25" t="str">
        <f t="shared" si="18"/>
        <v/>
      </c>
      <c r="S319" s="18"/>
      <c r="T319" s="24" t="str">
        <f t="shared" si="19"/>
        <v/>
      </c>
      <c r="U319" s="28" t="str">
        <f>IF(D319="","",IF(COUNTIF(D$6:D319,D319)=1,"Nouveau","Fidèle"))</f>
        <v/>
      </c>
    </row>
    <row r="320" spans="1:21" x14ac:dyDescent="0.25">
      <c r="A320" s="41" t="str">
        <f t="shared" si="16"/>
        <v/>
      </c>
      <c r="B320" s="38"/>
      <c r="C320" s="18"/>
      <c r="D320" s="18"/>
      <c r="E320" s="18"/>
      <c r="F320" s="18"/>
      <c r="G320" s="20"/>
      <c r="H320" s="19"/>
      <c r="I320" s="25" t="str">
        <f>IF(F320="","",IF(H320="",IFERROR(INDEX(Catalogue!$I$6:$I$55,MATCH(F320,Catalogue!$B$6:$B$55,0)),0),H320))</f>
        <v/>
      </c>
      <c r="J320" s="19"/>
      <c r="K320" s="25" t="str">
        <f t="shared" si="17"/>
        <v/>
      </c>
      <c r="L320" s="18"/>
      <c r="M320" s="18"/>
      <c r="N320" s="18"/>
      <c r="O320" s="19"/>
      <c r="P320" s="25" t="str">
        <f>IF(F320="","",IF(O320="",IFERROR(INDEX(Catalogue!$G$6:$G$55,MATCH(F320,Catalogue!$B$6:$B$55,0)),0),O320))</f>
        <v/>
      </c>
      <c r="Q320" s="25" t="str">
        <f>IF(F320="","",N(G320)*(IFERROR(INDEX(Catalogue!$E$6:$E$55,MATCH(F320,Catalogue!$B$6:$B$55,0)),0)+IFERROR(INDEX(Catalogue!$F$6:$F$55,MATCH(F320,Catalogue!$B$6:$B$55,0)),0)+IFERROR(INDEX(Catalogue!$H$6:$H$55,MATCH(F320,Catalogue!$B$6:$B$55,0)),0)))</f>
        <v/>
      </c>
      <c r="R320" s="25" t="str">
        <f t="shared" si="18"/>
        <v/>
      </c>
      <c r="S320" s="18"/>
      <c r="T320" s="24" t="str">
        <f t="shared" si="19"/>
        <v/>
      </c>
      <c r="U320" s="28" t="str">
        <f>IF(D320="","",IF(COUNTIF(D$6:D320,D320)=1,"Nouveau","Fidèle"))</f>
        <v/>
      </c>
    </row>
    <row r="321" spans="1:21" x14ac:dyDescent="0.25">
      <c r="A321" s="41" t="str">
        <f t="shared" si="16"/>
        <v/>
      </c>
      <c r="B321" s="38"/>
      <c r="C321" s="18"/>
      <c r="D321" s="18"/>
      <c r="E321" s="18"/>
      <c r="F321" s="18"/>
      <c r="G321" s="20"/>
      <c r="H321" s="19"/>
      <c r="I321" s="25" t="str">
        <f>IF(F321="","",IF(H321="",IFERROR(INDEX(Catalogue!$I$6:$I$55,MATCH(F321,Catalogue!$B$6:$B$55,0)),0),H321))</f>
        <v/>
      </c>
      <c r="J321" s="19"/>
      <c r="K321" s="25" t="str">
        <f t="shared" si="17"/>
        <v/>
      </c>
      <c r="L321" s="18"/>
      <c r="M321" s="18"/>
      <c r="N321" s="18"/>
      <c r="O321" s="19"/>
      <c r="P321" s="25" t="str">
        <f>IF(F321="","",IF(O321="",IFERROR(INDEX(Catalogue!$G$6:$G$55,MATCH(F321,Catalogue!$B$6:$B$55,0)),0),O321))</f>
        <v/>
      </c>
      <c r="Q321" s="25" t="str">
        <f>IF(F321="","",N(G321)*(IFERROR(INDEX(Catalogue!$E$6:$E$55,MATCH(F321,Catalogue!$B$6:$B$55,0)),0)+IFERROR(INDEX(Catalogue!$F$6:$F$55,MATCH(F321,Catalogue!$B$6:$B$55,0)),0)+IFERROR(INDEX(Catalogue!$H$6:$H$55,MATCH(F321,Catalogue!$B$6:$B$55,0)),0)))</f>
        <v/>
      </c>
      <c r="R321" s="25" t="str">
        <f t="shared" si="18"/>
        <v/>
      </c>
      <c r="S321" s="18"/>
      <c r="T321" s="24" t="str">
        <f t="shared" si="19"/>
        <v/>
      </c>
      <c r="U321" s="28" t="str">
        <f>IF(D321="","",IF(COUNTIF(D$6:D321,D321)=1,"Nouveau","Fidèle"))</f>
        <v/>
      </c>
    </row>
    <row r="322" spans="1:21" x14ac:dyDescent="0.25">
      <c r="A322" s="41" t="str">
        <f t="shared" si="16"/>
        <v/>
      </c>
      <c r="B322" s="38"/>
      <c r="C322" s="18"/>
      <c r="D322" s="18"/>
      <c r="E322" s="18"/>
      <c r="F322" s="18"/>
      <c r="G322" s="20"/>
      <c r="H322" s="19"/>
      <c r="I322" s="25" t="str">
        <f>IF(F322="","",IF(H322="",IFERROR(INDEX(Catalogue!$I$6:$I$55,MATCH(F322,Catalogue!$B$6:$B$55,0)),0),H322))</f>
        <v/>
      </c>
      <c r="J322" s="19"/>
      <c r="K322" s="25" t="str">
        <f t="shared" si="17"/>
        <v/>
      </c>
      <c r="L322" s="18"/>
      <c r="M322" s="18"/>
      <c r="N322" s="18"/>
      <c r="O322" s="19"/>
      <c r="P322" s="25" t="str">
        <f>IF(F322="","",IF(O322="",IFERROR(INDEX(Catalogue!$G$6:$G$55,MATCH(F322,Catalogue!$B$6:$B$55,0)),0),O322))</f>
        <v/>
      </c>
      <c r="Q322" s="25" t="str">
        <f>IF(F322="","",N(G322)*(IFERROR(INDEX(Catalogue!$E$6:$E$55,MATCH(F322,Catalogue!$B$6:$B$55,0)),0)+IFERROR(INDEX(Catalogue!$F$6:$F$55,MATCH(F322,Catalogue!$B$6:$B$55,0)),0)+IFERROR(INDEX(Catalogue!$H$6:$H$55,MATCH(F322,Catalogue!$B$6:$B$55,0)),0)))</f>
        <v/>
      </c>
      <c r="R322" s="25" t="str">
        <f t="shared" si="18"/>
        <v/>
      </c>
      <c r="S322" s="18"/>
      <c r="T322" s="24" t="str">
        <f t="shared" si="19"/>
        <v/>
      </c>
      <c r="U322" s="28" t="str">
        <f>IF(D322="","",IF(COUNTIF(D$6:D322,D322)=1,"Nouveau","Fidèle"))</f>
        <v/>
      </c>
    </row>
    <row r="323" spans="1:21" x14ac:dyDescent="0.25">
      <c r="A323" s="41" t="str">
        <f t="shared" si="16"/>
        <v/>
      </c>
      <c r="B323" s="38"/>
      <c r="C323" s="18"/>
      <c r="D323" s="18"/>
      <c r="E323" s="18"/>
      <c r="F323" s="18"/>
      <c r="G323" s="20"/>
      <c r="H323" s="19"/>
      <c r="I323" s="25" t="str">
        <f>IF(F323="","",IF(H323="",IFERROR(INDEX(Catalogue!$I$6:$I$55,MATCH(F323,Catalogue!$B$6:$B$55,0)),0),H323))</f>
        <v/>
      </c>
      <c r="J323" s="19"/>
      <c r="K323" s="25" t="str">
        <f t="shared" si="17"/>
        <v/>
      </c>
      <c r="L323" s="18"/>
      <c r="M323" s="18"/>
      <c r="N323" s="18"/>
      <c r="O323" s="19"/>
      <c r="P323" s="25" t="str">
        <f>IF(F323="","",IF(O323="",IFERROR(INDEX(Catalogue!$G$6:$G$55,MATCH(F323,Catalogue!$B$6:$B$55,0)),0),O323))</f>
        <v/>
      </c>
      <c r="Q323" s="25" t="str">
        <f>IF(F323="","",N(G323)*(IFERROR(INDEX(Catalogue!$E$6:$E$55,MATCH(F323,Catalogue!$B$6:$B$55,0)),0)+IFERROR(INDEX(Catalogue!$F$6:$F$55,MATCH(F323,Catalogue!$B$6:$B$55,0)),0)+IFERROR(INDEX(Catalogue!$H$6:$H$55,MATCH(F323,Catalogue!$B$6:$B$55,0)),0)))</f>
        <v/>
      </c>
      <c r="R323" s="25" t="str">
        <f t="shared" si="18"/>
        <v/>
      </c>
      <c r="S323" s="18"/>
      <c r="T323" s="24" t="str">
        <f t="shared" si="19"/>
        <v/>
      </c>
      <c r="U323" s="28" t="str">
        <f>IF(D323="","",IF(COUNTIF(D$6:D323,D323)=1,"Nouveau","Fidèle"))</f>
        <v/>
      </c>
    </row>
    <row r="324" spans="1:21" x14ac:dyDescent="0.25">
      <c r="A324" s="41" t="str">
        <f t="shared" si="16"/>
        <v/>
      </c>
      <c r="B324" s="38"/>
      <c r="C324" s="18"/>
      <c r="D324" s="18"/>
      <c r="E324" s="18"/>
      <c r="F324" s="18"/>
      <c r="G324" s="20"/>
      <c r="H324" s="19"/>
      <c r="I324" s="25" t="str">
        <f>IF(F324="","",IF(H324="",IFERROR(INDEX(Catalogue!$I$6:$I$55,MATCH(F324,Catalogue!$B$6:$B$55,0)),0),H324))</f>
        <v/>
      </c>
      <c r="J324" s="19"/>
      <c r="K324" s="25" t="str">
        <f t="shared" si="17"/>
        <v/>
      </c>
      <c r="L324" s="18"/>
      <c r="M324" s="18"/>
      <c r="N324" s="18"/>
      <c r="O324" s="19"/>
      <c r="P324" s="25" t="str">
        <f>IF(F324="","",IF(O324="",IFERROR(INDEX(Catalogue!$G$6:$G$55,MATCH(F324,Catalogue!$B$6:$B$55,0)),0),O324))</f>
        <v/>
      </c>
      <c r="Q324" s="25" t="str">
        <f>IF(F324="","",N(G324)*(IFERROR(INDEX(Catalogue!$E$6:$E$55,MATCH(F324,Catalogue!$B$6:$B$55,0)),0)+IFERROR(INDEX(Catalogue!$F$6:$F$55,MATCH(F324,Catalogue!$B$6:$B$55,0)),0)+IFERROR(INDEX(Catalogue!$H$6:$H$55,MATCH(F324,Catalogue!$B$6:$B$55,0)),0)))</f>
        <v/>
      </c>
      <c r="R324" s="25" t="str">
        <f t="shared" si="18"/>
        <v/>
      </c>
      <c r="S324" s="18"/>
      <c r="T324" s="24" t="str">
        <f t="shared" si="19"/>
        <v/>
      </c>
      <c r="U324" s="28" t="str">
        <f>IF(D324="","",IF(COUNTIF(D$6:D324,D324)=1,"Nouveau","Fidèle"))</f>
        <v/>
      </c>
    </row>
    <row r="325" spans="1:21" x14ac:dyDescent="0.25">
      <c r="A325" s="41" t="str">
        <f t="shared" si="16"/>
        <v/>
      </c>
      <c r="B325" s="38"/>
      <c r="C325" s="18"/>
      <c r="D325" s="18"/>
      <c r="E325" s="18"/>
      <c r="F325" s="18"/>
      <c r="G325" s="20"/>
      <c r="H325" s="19"/>
      <c r="I325" s="25" t="str">
        <f>IF(F325="","",IF(H325="",IFERROR(INDEX(Catalogue!$I$6:$I$55,MATCH(F325,Catalogue!$B$6:$B$55,0)),0),H325))</f>
        <v/>
      </c>
      <c r="J325" s="19"/>
      <c r="K325" s="25" t="str">
        <f t="shared" si="17"/>
        <v/>
      </c>
      <c r="L325" s="18"/>
      <c r="M325" s="18"/>
      <c r="N325" s="18"/>
      <c r="O325" s="19"/>
      <c r="P325" s="25" t="str">
        <f>IF(F325="","",IF(O325="",IFERROR(INDEX(Catalogue!$G$6:$G$55,MATCH(F325,Catalogue!$B$6:$B$55,0)),0),O325))</f>
        <v/>
      </c>
      <c r="Q325" s="25" t="str">
        <f>IF(F325="","",N(G325)*(IFERROR(INDEX(Catalogue!$E$6:$E$55,MATCH(F325,Catalogue!$B$6:$B$55,0)),0)+IFERROR(INDEX(Catalogue!$F$6:$F$55,MATCH(F325,Catalogue!$B$6:$B$55,0)),0)+IFERROR(INDEX(Catalogue!$H$6:$H$55,MATCH(F325,Catalogue!$B$6:$B$55,0)),0)))</f>
        <v/>
      </c>
      <c r="R325" s="25" t="str">
        <f t="shared" si="18"/>
        <v/>
      </c>
      <c r="S325" s="18"/>
      <c r="T325" s="24" t="str">
        <f t="shared" si="19"/>
        <v/>
      </c>
      <c r="U325" s="28" t="str">
        <f>IF(D325="","",IF(COUNTIF(D$6:D325,D325)=1,"Nouveau","Fidèle"))</f>
        <v/>
      </c>
    </row>
    <row r="326" spans="1:21" x14ac:dyDescent="0.25">
      <c r="A326" s="41" t="str">
        <f t="shared" ref="A326:A389" si="20">IF(B326="","",ROW()-5)</f>
        <v/>
      </c>
      <c r="B326" s="38"/>
      <c r="C326" s="18"/>
      <c r="D326" s="18"/>
      <c r="E326" s="18"/>
      <c r="F326" s="18"/>
      <c r="G326" s="20"/>
      <c r="H326" s="19"/>
      <c r="I326" s="25" t="str">
        <f>IF(F326="","",IF(H326="",IFERROR(INDEX(Catalogue!$I$6:$I$55,MATCH(F326,Catalogue!$B$6:$B$55,0)),0),H326))</f>
        <v/>
      </c>
      <c r="J326" s="19"/>
      <c r="K326" s="25" t="str">
        <f t="shared" ref="K326:K389" si="21">IF(F326="","",N(G326)*I326-N(J326))</f>
        <v/>
      </c>
      <c r="L326" s="18"/>
      <c r="M326" s="18"/>
      <c r="N326" s="18"/>
      <c r="O326" s="19"/>
      <c r="P326" s="25" t="str">
        <f>IF(F326="","",IF(O326="",IFERROR(INDEX(Catalogue!$G$6:$G$55,MATCH(F326,Catalogue!$B$6:$B$55,0)),0),O326))</f>
        <v/>
      </c>
      <c r="Q326" s="25" t="str">
        <f>IF(F326="","",N(G326)*(IFERROR(INDEX(Catalogue!$E$6:$E$55,MATCH(F326,Catalogue!$B$6:$B$55,0)),0)+IFERROR(INDEX(Catalogue!$F$6:$F$55,MATCH(F326,Catalogue!$B$6:$B$55,0)),0)+IFERROR(INDEX(Catalogue!$H$6:$H$55,MATCH(F326,Catalogue!$B$6:$B$55,0)),0)))</f>
        <v/>
      </c>
      <c r="R326" s="25" t="str">
        <f t="shared" ref="R326:R389" si="22">IF(F326="","",IF(M326="Livrée et payée",K326-Q326-P326,IF(M326="Annulée",-N(P326),0)))</f>
        <v/>
      </c>
      <c r="S326" s="18"/>
      <c r="T326" s="24" t="str">
        <f t="shared" ref="T326:T389" si="23">IF(B326="","",DATE(YEAR(B326),MONTH(B326),1))</f>
        <v/>
      </c>
      <c r="U326" s="28" t="str">
        <f>IF(D326="","",IF(COUNTIF(D$6:D326,D326)=1,"Nouveau","Fidèle"))</f>
        <v/>
      </c>
    </row>
    <row r="327" spans="1:21" x14ac:dyDescent="0.25">
      <c r="A327" s="41" t="str">
        <f t="shared" si="20"/>
        <v/>
      </c>
      <c r="B327" s="38"/>
      <c r="C327" s="18"/>
      <c r="D327" s="18"/>
      <c r="E327" s="18"/>
      <c r="F327" s="18"/>
      <c r="G327" s="20"/>
      <c r="H327" s="19"/>
      <c r="I327" s="25" t="str">
        <f>IF(F327="","",IF(H327="",IFERROR(INDEX(Catalogue!$I$6:$I$55,MATCH(F327,Catalogue!$B$6:$B$55,0)),0),H327))</f>
        <v/>
      </c>
      <c r="J327" s="19"/>
      <c r="K327" s="25" t="str">
        <f t="shared" si="21"/>
        <v/>
      </c>
      <c r="L327" s="18"/>
      <c r="M327" s="18"/>
      <c r="N327" s="18"/>
      <c r="O327" s="19"/>
      <c r="P327" s="25" t="str">
        <f>IF(F327="","",IF(O327="",IFERROR(INDEX(Catalogue!$G$6:$G$55,MATCH(F327,Catalogue!$B$6:$B$55,0)),0),O327))</f>
        <v/>
      </c>
      <c r="Q327" s="25" t="str">
        <f>IF(F327="","",N(G327)*(IFERROR(INDEX(Catalogue!$E$6:$E$55,MATCH(F327,Catalogue!$B$6:$B$55,0)),0)+IFERROR(INDEX(Catalogue!$F$6:$F$55,MATCH(F327,Catalogue!$B$6:$B$55,0)),0)+IFERROR(INDEX(Catalogue!$H$6:$H$55,MATCH(F327,Catalogue!$B$6:$B$55,0)),0)))</f>
        <v/>
      </c>
      <c r="R327" s="25" t="str">
        <f t="shared" si="22"/>
        <v/>
      </c>
      <c r="S327" s="18"/>
      <c r="T327" s="24" t="str">
        <f t="shared" si="23"/>
        <v/>
      </c>
      <c r="U327" s="28" t="str">
        <f>IF(D327="","",IF(COUNTIF(D$6:D327,D327)=1,"Nouveau","Fidèle"))</f>
        <v/>
      </c>
    </row>
    <row r="328" spans="1:21" x14ac:dyDescent="0.25">
      <c r="A328" s="41" t="str">
        <f t="shared" si="20"/>
        <v/>
      </c>
      <c r="B328" s="38"/>
      <c r="C328" s="18"/>
      <c r="D328" s="18"/>
      <c r="E328" s="18"/>
      <c r="F328" s="18"/>
      <c r="G328" s="20"/>
      <c r="H328" s="19"/>
      <c r="I328" s="25" t="str">
        <f>IF(F328="","",IF(H328="",IFERROR(INDEX(Catalogue!$I$6:$I$55,MATCH(F328,Catalogue!$B$6:$B$55,0)),0),H328))</f>
        <v/>
      </c>
      <c r="J328" s="19"/>
      <c r="K328" s="25" t="str">
        <f t="shared" si="21"/>
        <v/>
      </c>
      <c r="L328" s="18"/>
      <c r="M328" s="18"/>
      <c r="N328" s="18"/>
      <c r="O328" s="19"/>
      <c r="P328" s="25" t="str">
        <f>IF(F328="","",IF(O328="",IFERROR(INDEX(Catalogue!$G$6:$G$55,MATCH(F328,Catalogue!$B$6:$B$55,0)),0),O328))</f>
        <v/>
      </c>
      <c r="Q328" s="25" t="str">
        <f>IF(F328="","",N(G328)*(IFERROR(INDEX(Catalogue!$E$6:$E$55,MATCH(F328,Catalogue!$B$6:$B$55,0)),0)+IFERROR(INDEX(Catalogue!$F$6:$F$55,MATCH(F328,Catalogue!$B$6:$B$55,0)),0)+IFERROR(INDEX(Catalogue!$H$6:$H$55,MATCH(F328,Catalogue!$B$6:$B$55,0)),0)))</f>
        <v/>
      </c>
      <c r="R328" s="25" t="str">
        <f t="shared" si="22"/>
        <v/>
      </c>
      <c r="S328" s="18"/>
      <c r="T328" s="24" t="str">
        <f t="shared" si="23"/>
        <v/>
      </c>
      <c r="U328" s="28" t="str">
        <f>IF(D328="","",IF(COUNTIF(D$6:D328,D328)=1,"Nouveau","Fidèle"))</f>
        <v/>
      </c>
    </row>
    <row r="329" spans="1:21" x14ac:dyDescent="0.25">
      <c r="A329" s="41" t="str">
        <f t="shared" si="20"/>
        <v/>
      </c>
      <c r="B329" s="38"/>
      <c r="C329" s="18"/>
      <c r="D329" s="18"/>
      <c r="E329" s="18"/>
      <c r="F329" s="18"/>
      <c r="G329" s="20"/>
      <c r="H329" s="19"/>
      <c r="I329" s="25" t="str">
        <f>IF(F329="","",IF(H329="",IFERROR(INDEX(Catalogue!$I$6:$I$55,MATCH(F329,Catalogue!$B$6:$B$55,0)),0),H329))</f>
        <v/>
      </c>
      <c r="J329" s="19"/>
      <c r="K329" s="25" t="str">
        <f t="shared" si="21"/>
        <v/>
      </c>
      <c r="L329" s="18"/>
      <c r="M329" s="18"/>
      <c r="N329" s="18"/>
      <c r="O329" s="19"/>
      <c r="P329" s="25" t="str">
        <f>IF(F329="","",IF(O329="",IFERROR(INDEX(Catalogue!$G$6:$G$55,MATCH(F329,Catalogue!$B$6:$B$55,0)),0),O329))</f>
        <v/>
      </c>
      <c r="Q329" s="25" t="str">
        <f>IF(F329="","",N(G329)*(IFERROR(INDEX(Catalogue!$E$6:$E$55,MATCH(F329,Catalogue!$B$6:$B$55,0)),0)+IFERROR(INDEX(Catalogue!$F$6:$F$55,MATCH(F329,Catalogue!$B$6:$B$55,0)),0)+IFERROR(INDEX(Catalogue!$H$6:$H$55,MATCH(F329,Catalogue!$B$6:$B$55,0)),0)))</f>
        <v/>
      </c>
      <c r="R329" s="25" t="str">
        <f t="shared" si="22"/>
        <v/>
      </c>
      <c r="S329" s="18"/>
      <c r="T329" s="24" t="str">
        <f t="shared" si="23"/>
        <v/>
      </c>
      <c r="U329" s="28" t="str">
        <f>IF(D329="","",IF(COUNTIF(D$6:D329,D329)=1,"Nouveau","Fidèle"))</f>
        <v/>
      </c>
    </row>
    <row r="330" spans="1:21" x14ac:dyDescent="0.25">
      <c r="A330" s="41" t="str">
        <f t="shared" si="20"/>
        <v/>
      </c>
      <c r="B330" s="38"/>
      <c r="C330" s="18"/>
      <c r="D330" s="18"/>
      <c r="E330" s="18"/>
      <c r="F330" s="18"/>
      <c r="G330" s="20"/>
      <c r="H330" s="19"/>
      <c r="I330" s="25" t="str">
        <f>IF(F330="","",IF(H330="",IFERROR(INDEX(Catalogue!$I$6:$I$55,MATCH(F330,Catalogue!$B$6:$B$55,0)),0),H330))</f>
        <v/>
      </c>
      <c r="J330" s="19"/>
      <c r="K330" s="25" t="str">
        <f t="shared" si="21"/>
        <v/>
      </c>
      <c r="L330" s="18"/>
      <c r="M330" s="18"/>
      <c r="N330" s="18"/>
      <c r="O330" s="19"/>
      <c r="P330" s="25" t="str">
        <f>IF(F330="","",IF(O330="",IFERROR(INDEX(Catalogue!$G$6:$G$55,MATCH(F330,Catalogue!$B$6:$B$55,0)),0),O330))</f>
        <v/>
      </c>
      <c r="Q330" s="25" t="str">
        <f>IF(F330="","",N(G330)*(IFERROR(INDEX(Catalogue!$E$6:$E$55,MATCH(F330,Catalogue!$B$6:$B$55,0)),0)+IFERROR(INDEX(Catalogue!$F$6:$F$55,MATCH(F330,Catalogue!$B$6:$B$55,0)),0)+IFERROR(INDEX(Catalogue!$H$6:$H$55,MATCH(F330,Catalogue!$B$6:$B$55,0)),0)))</f>
        <v/>
      </c>
      <c r="R330" s="25" t="str">
        <f t="shared" si="22"/>
        <v/>
      </c>
      <c r="S330" s="18"/>
      <c r="T330" s="24" t="str">
        <f t="shared" si="23"/>
        <v/>
      </c>
      <c r="U330" s="28" t="str">
        <f>IF(D330="","",IF(COUNTIF(D$6:D330,D330)=1,"Nouveau","Fidèle"))</f>
        <v/>
      </c>
    </row>
    <row r="331" spans="1:21" x14ac:dyDescent="0.25">
      <c r="A331" s="41" t="str">
        <f t="shared" si="20"/>
        <v/>
      </c>
      <c r="B331" s="38"/>
      <c r="C331" s="18"/>
      <c r="D331" s="18"/>
      <c r="E331" s="18"/>
      <c r="F331" s="18"/>
      <c r="G331" s="20"/>
      <c r="H331" s="19"/>
      <c r="I331" s="25" t="str">
        <f>IF(F331="","",IF(H331="",IFERROR(INDEX(Catalogue!$I$6:$I$55,MATCH(F331,Catalogue!$B$6:$B$55,0)),0),H331))</f>
        <v/>
      </c>
      <c r="J331" s="19"/>
      <c r="K331" s="25" t="str">
        <f t="shared" si="21"/>
        <v/>
      </c>
      <c r="L331" s="18"/>
      <c r="M331" s="18"/>
      <c r="N331" s="18"/>
      <c r="O331" s="19"/>
      <c r="P331" s="25" t="str">
        <f>IF(F331="","",IF(O331="",IFERROR(INDEX(Catalogue!$G$6:$G$55,MATCH(F331,Catalogue!$B$6:$B$55,0)),0),O331))</f>
        <v/>
      </c>
      <c r="Q331" s="25" t="str">
        <f>IF(F331="","",N(G331)*(IFERROR(INDEX(Catalogue!$E$6:$E$55,MATCH(F331,Catalogue!$B$6:$B$55,0)),0)+IFERROR(INDEX(Catalogue!$F$6:$F$55,MATCH(F331,Catalogue!$B$6:$B$55,0)),0)+IFERROR(INDEX(Catalogue!$H$6:$H$55,MATCH(F331,Catalogue!$B$6:$B$55,0)),0)))</f>
        <v/>
      </c>
      <c r="R331" s="25" t="str">
        <f t="shared" si="22"/>
        <v/>
      </c>
      <c r="S331" s="18"/>
      <c r="T331" s="24" t="str">
        <f t="shared" si="23"/>
        <v/>
      </c>
      <c r="U331" s="28" t="str">
        <f>IF(D331="","",IF(COUNTIF(D$6:D331,D331)=1,"Nouveau","Fidèle"))</f>
        <v/>
      </c>
    </row>
    <row r="332" spans="1:21" x14ac:dyDescent="0.25">
      <c r="A332" s="41" t="str">
        <f t="shared" si="20"/>
        <v/>
      </c>
      <c r="B332" s="38"/>
      <c r="C332" s="18"/>
      <c r="D332" s="18"/>
      <c r="E332" s="18"/>
      <c r="F332" s="18"/>
      <c r="G332" s="20"/>
      <c r="H332" s="19"/>
      <c r="I332" s="25" t="str">
        <f>IF(F332="","",IF(H332="",IFERROR(INDEX(Catalogue!$I$6:$I$55,MATCH(F332,Catalogue!$B$6:$B$55,0)),0),H332))</f>
        <v/>
      </c>
      <c r="J332" s="19"/>
      <c r="K332" s="25" t="str">
        <f t="shared" si="21"/>
        <v/>
      </c>
      <c r="L332" s="18"/>
      <c r="M332" s="18"/>
      <c r="N332" s="18"/>
      <c r="O332" s="19"/>
      <c r="P332" s="25" t="str">
        <f>IF(F332="","",IF(O332="",IFERROR(INDEX(Catalogue!$G$6:$G$55,MATCH(F332,Catalogue!$B$6:$B$55,0)),0),O332))</f>
        <v/>
      </c>
      <c r="Q332" s="25" t="str">
        <f>IF(F332="","",N(G332)*(IFERROR(INDEX(Catalogue!$E$6:$E$55,MATCH(F332,Catalogue!$B$6:$B$55,0)),0)+IFERROR(INDEX(Catalogue!$F$6:$F$55,MATCH(F332,Catalogue!$B$6:$B$55,0)),0)+IFERROR(INDEX(Catalogue!$H$6:$H$55,MATCH(F332,Catalogue!$B$6:$B$55,0)),0)))</f>
        <v/>
      </c>
      <c r="R332" s="25" t="str">
        <f t="shared" si="22"/>
        <v/>
      </c>
      <c r="S332" s="18"/>
      <c r="T332" s="24" t="str">
        <f t="shared" si="23"/>
        <v/>
      </c>
      <c r="U332" s="28" t="str">
        <f>IF(D332="","",IF(COUNTIF(D$6:D332,D332)=1,"Nouveau","Fidèle"))</f>
        <v/>
      </c>
    </row>
    <row r="333" spans="1:21" x14ac:dyDescent="0.25">
      <c r="A333" s="41" t="str">
        <f t="shared" si="20"/>
        <v/>
      </c>
      <c r="B333" s="38"/>
      <c r="C333" s="18"/>
      <c r="D333" s="18"/>
      <c r="E333" s="18"/>
      <c r="F333" s="18"/>
      <c r="G333" s="20"/>
      <c r="H333" s="19"/>
      <c r="I333" s="25" t="str">
        <f>IF(F333="","",IF(H333="",IFERROR(INDEX(Catalogue!$I$6:$I$55,MATCH(F333,Catalogue!$B$6:$B$55,0)),0),H333))</f>
        <v/>
      </c>
      <c r="J333" s="19"/>
      <c r="K333" s="25" t="str">
        <f t="shared" si="21"/>
        <v/>
      </c>
      <c r="L333" s="18"/>
      <c r="M333" s="18"/>
      <c r="N333" s="18"/>
      <c r="O333" s="19"/>
      <c r="P333" s="25" t="str">
        <f>IF(F333="","",IF(O333="",IFERROR(INDEX(Catalogue!$G$6:$G$55,MATCH(F333,Catalogue!$B$6:$B$55,0)),0),O333))</f>
        <v/>
      </c>
      <c r="Q333" s="25" t="str">
        <f>IF(F333="","",N(G333)*(IFERROR(INDEX(Catalogue!$E$6:$E$55,MATCH(F333,Catalogue!$B$6:$B$55,0)),0)+IFERROR(INDEX(Catalogue!$F$6:$F$55,MATCH(F333,Catalogue!$B$6:$B$55,0)),0)+IFERROR(INDEX(Catalogue!$H$6:$H$55,MATCH(F333,Catalogue!$B$6:$B$55,0)),0)))</f>
        <v/>
      </c>
      <c r="R333" s="25" t="str">
        <f t="shared" si="22"/>
        <v/>
      </c>
      <c r="S333" s="18"/>
      <c r="T333" s="24" t="str">
        <f t="shared" si="23"/>
        <v/>
      </c>
      <c r="U333" s="28" t="str">
        <f>IF(D333="","",IF(COUNTIF(D$6:D333,D333)=1,"Nouveau","Fidèle"))</f>
        <v/>
      </c>
    </row>
    <row r="334" spans="1:21" x14ac:dyDescent="0.25">
      <c r="A334" s="41" t="str">
        <f t="shared" si="20"/>
        <v/>
      </c>
      <c r="B334" s="38"/>
      <c r="C334" s="18"/>
      <c r="D334" s="18"/>
      <c r="E334" s="18"/>
      <c r="F334" s="18"/>
      <c r="G334" s="20"/>
      <c r="H334" s="19"/>
      <c r="I334" s="25" t="str">
        <f>IF(F334="","",IF(H334="",IFERROR(INDEX(Catalogue!$I$6:$I$55,MATCH(F334,Catalogue!$B$6:$B$55,0)),0),H334))</f>
        <v/>
      </c>
      <c r="J334" s="19"/>
      <c r="K334" s="25" t="str">
        <f t="shared" si="21"/>
        <v/>
      </c>
      <c r="L334" s="18"/>
      <c r="M334" s="18"/>
      <c r="N334" s="18"/>
      <c r="O334" s="19"/>
      <c r="P334" s="25" t="str">
        <f>IF(F334="","",IF(O334="",IFERROR(INDEX(Catalogue!$G$6:$G$55,MATCH(F334,Catalogue!$B$6:$B$55,0)),0),O334))</f>
        <v/>
      </c>
      <c r="Q334" s="25" t="str">
        <f>IF(F334="","",N(G334)*(IFERROR(INDEX(Catalogue!$E$6:$E$55,MATCH(F334,Catalogue!$B$6:$B$55,0)),0)+IFERROR(INDEX(Catalogue!$F$6:$F$55,MATCH(F334,Catalogue!$B$6:$B$55,0)),0)+IFERROR(INDEX(Catalogue!$H$6:$H$55,MATCH(F334,Catalogue!$B$6:$B$55,0)),0)))</f>
        <v/>
      </c>
      <c r="R334" s="25" t="str">
        <f t="shared" si="22"/>
        <v/>
      </c>
      <c r="S334" s="18"/>
      <c r="T334" s="24" t="str">
        <f t="shared" si="23"/>
        <v/>
      </c>
      <c r="U334" s="28" t="str">
        <f>IF(D334="","",IF(COUNTIF(D$6:D334,D334)=1,"Nouveau","Fidèle"))</f>
        <v/>
      </c>
    </row>
    <row r="335" spans="1:21" x14ac:dyDescent="0.25">
      <c r="A335" s="41" t="str">
        <f t="shared" si="20"/>
        <v/>
      </c>
      <c r="B335" s="38"/>
      <c r="C335" s="18"/>
      <c r="D335" s="18"/>
      <c r="E335" s="18"/>
      <c r="F335" s="18"/>
      <c r="G335" s="20"/>
      <c r="H335" s="19"/>
      <c r="I335" s="25" t="str">
        <f>IF(F335="","",IF(H335="",IFERROR(INDEX(Catalogue!$I$6:$I$55,MATCH(F335,Catalogue!$B$6:$B$55,0)),0),H335))</f>
        <v/>
      </c>
      <c r="J335" s="19"/>
      <c r="K335" s="25" t="str">
        <f t="shared" si="21"/>
        <v/>
      </c>
      <c r="L335" s="18"/>
      <c r="M335" s="18"/>
      <c r="N335" s="18"/>
      <c r="O335" s="19"/>
      <c r="P335" s="25" t="str">
        <f>IF(F335="","",IF(O335="",IFERROR(INDEX(Catalogue!$G$6:$G$55,MATCH(F335,Catalogue!$B$6:$B$55,0)),0),O335))</f>
        <v/>
      </c>
      <c r="Q335" s="25" t="str">
        <f>IF(F335="","",N(G335)*(IFERROR(INDEX(Catalogue!$E$6:$E$55,MATCH(F335,Catalogue!$B$6:$B$55,0)),0)+IFERROR(INDEX(Catalogue!$F$6:$F$55,MATCH(F335,Catalogue!$B$6:$B$55,0)),0)+IFERROR(INDEX(Catalogue!$H$6:$H$55,MATCH(F335,Catalogue!$B$6:$B$55,0)),0)))</f>
        <v/>
      </c>
      <c r="R335" s="25" t="str">
        <f t="shared" si="22"/>
        <v/>
      </c>
      <c r="S335" s="18"/>
      <c r="T335" s="24" t="str">
        <f t="shared" si="23"/>
        <v/>
      </c>
      <c r="U335" s="28" t="str">
        <f>IF(D335="","",IF(COUNTIF(D$6:D335,D335)=1,"Nouveau","Fidèle"))</f>
        <v/>
      </c>
    </row>
    <row r="336" spans="1:21" x14ac:dyDescent="0.25">
      <c r="A336" s="41" t="str">
        <f t="shared" si="20"/>
        <v/>
      </c>
      <c r="B336" s="38"/>
      <c r="C336" s="18"/>
      <c r="D336" s="18"/>
      <c r="E336" s="18"/>
      <c r="F336" s="18"/>
      <c r="G336" s="20"/>
      <c r="H336" s="19"/>
      <c r="I336" s="25" t="str">
        <f>IF(F336="","",IF(H336="",IFERROR(INDEX(Catalogue!$I$6:$I$55,MATCH(F336,Catalogue!$B$6:$B$55,0)),0),H336))</f>
        <v/>
      </c>
      <c r="J336" s="19"/>
      <c r="K336" s="25" t="str">
        <f t="shared" si="21"/>
        <v/>
      </c>
      <c r="L336" s="18"/>
      <c r="M336" s="18"/>
      <c r="N336" s="18"/>
      <c r="O336" s="19"/>
      <c r="P336" s="25" t="str">
        <f>IF(F336="","",IF(O336="",IFERROR(INDEX(Catalogue!$G$6:$G$55,MATCH(F336,Catalogue!$B$6:$B$55,0)),0),O336))</f>
        <v/>
      </c>
      <c r="Q336" s="25" t="str">
        <f>IF(F336="","",N(G336)*(IFERROR(INDEX(Catalogue!$E$6:$E$55,MATCH(F336,Catalogue!$B$6:$B$55,0)),0)+IFERROR(INDEX(Catalogue!$F$6:$F$55,MATCH(F336,Catalogue!$B$6:$B$55,0)),0)+IFERROR(INDEX(Catalogue!$H$6:$H$55,MATCH(F336,Catalogue!$B$6:$B$55,0)),0)))</f>
        <v/>
      </c>
      <c r="R336" s="25" t="str">
        <f t="shared" si="22"/>
        <v/>
      </c>
      <c r="S336" s="18"/>
      <c r="T336" s="24" t="str">
        <f t="shared" si="23"/>
        <v/>
      </c>
      <c r="U336" s="28" t="str">
        <f>IF(D336="","",IF(COUNTIF(D$6:D336,D336)=1,"Nouveau","Fidèle"))</f>
        <v/>
      </c>
    </row>
    <row r="337" spans="1:21" x14ac:dyDescent="0.25">
      <c r="A337" s="41" t="str">
        <f t="shared" si="20"/>
        <v/>
      </c>
      <c r="B337" s="38"/>
      <c r="C337" s="18"/>
      <c r="D337" s="18"/>
      <c r="E337" s="18"/>
      <c r="F337" s="18"/>
      <c r="G337" s="20"/>
      <c r="H337" s="19"/>
      <c r="I337" s="25" t="str">
        <f>IF(F337="","",IF(H337="",IFERROR(INDEX(Catalogue!$I$6:$I$55,MATCH(F337,Catalogue!$B$6:$B$55,0)),0),H337))</f>
        <v/>
      </c>
      <c r="J337" s="19"/>
      <c r="K337" s="25" t="str">
        <f t="shared" si="21"/>
        <v/>
      </c>
      <c r="L337" s="18"/>
      <c r="M337" s="18"/>
      <c r="N337" s="18"/>
      <c r="O337" s="19"/>
      <c r="P337" s="25" t="str">
        <f>IF(F337="","",IF(O337="",IFERROR(INDEX(Catalogue!$G$6:$G$55,MATCH(F337,Catalogue!$B$6:$B$55,0)),0),O337))</f>
        <v/>
      </c>
      <c r="Q337" s="25" t="str">
        <f>IF(F337="","",N(G337)*(IFERROR(INDEX(Catalogue!$E$6:$E$55,MATCH(F337,Catalogue!$B$6:$B$55,0)),0)+IFERROR(INDEX(Catalogue!$F$6:$F$55,MATCH(F337,Catalogue!$B$6:$B$55,0)),0)+IFERROR(INDEX(Catalogue!$H$6:$H$55,MATCH(F337,Catalogue!$B$6:$B$55,0)),0)))</f>
        <v/>
      </c>
      <c r="R337" s="25" t="str">
        <f t="shared" si="22"/>
        <v/>
      </c>
      <c r="S337" s="18"/>
      <c r="T337" s="24" t="str">
        <f t="shared" si="23"/>
        <v/>
      </c>
      <c r="U337" s="28" t="str">
        <f>IF(D337="","",IF(COUNTIF(D$6:D337,D337)=1,"Nouveau","Fidèle"))</f>
        <v/>
      </c>
    </row>
    <row r="338" spans="1:21" x14ac:dyDescent="0.25">
      <c r="A338" s="41" t="str">
        <f t="shared" si="20"/>
        <v/>
      </c>
      <c r="B338" s="38"/>
      <c r="C338" s="18"/>
      <c r="D338" s="18"/>
      <c r="E338" s="18"/>
      <c r="F338" s="18"/>
      <c r="G338" s="20"/>
      <c r="H338" s="19"/>
      <c r="I338" s="25" t="str">
        <f>IF(F338="","",IF(H338="",IFERROR(INDEX(Catalogue!$I$6:$I$55,MATCH(F338,Catalogue!$B$6:$B$55,0)),0),H338))</f>
        <v/>
      </c>
      <c r="J338" s="19"/>
      <c r="K338" s="25" t="str">
        <f t="shared" si="21"/>
        <v/>
      </c>
      <c r="L338" s="18"/>
      <c r="M338" s="18"/>
      <c r="N338" s="18"/>
      <c r="O338" s="19"/>
      <c r="P338" s="25" t="str">
        <f>IF(F338="","",IF(O338="",IFERROR(INDEX(Catalogue!$G$6:$G$55,MATCH(F338,Catalogue!$B$6:$B$55,0)),0),O338))</f>
        <v/>
      </c>
      <c r="Q338" s="25" t="str">
        <f>IF(F338="","",N(G338)*(IFERROR(INDEX(Catalogue!$E$6:$E$55,MATCH(F338,Catalogue!$B$6:$B$55,0)),0)+IFERROR(INDEX(Catalogue!$F$6:$F$55,MATCH(F338,Catalogue!$B$6:$B$55,0)),0)+IFERROR(INDEX(Catalogue!$H$6:$H$55,MATCH(F338,Catalogue!$B$6:$B$55,0)),0)))</f>
        <v/>
      </c>
      <c r="R338" s="25" t="str">
        <f t="shared" si="22"/>
        <v/>
      </c>
      <c r="S338" s="18"/>
      <c r="T338" s="24" t="str">
        <f t="shared" si="23"/>
        <v/>
      </c>
      <c r="U338" s="28" t="str">
        <f>IF(D338="","",IF(COUNTIF(D$6:D338,D338)=1,"Nouveau","Fidèle"))</f>
        <v/>
      </c>
    </row>
    <row r="339" spans="1:21" x14ac:dyDescent="0.25">
      <c r="A339" s="41" t="str">
        <f t="shared" si="20"/>
        <v/>
      </c>
      <c r="B339" s="38"/>
      <c r="C339" s="18"/>
      <c r="D339" s="18"/>
      <c r="E339" s="18"/>
      <c r="F339" s="18"/>
      <c r="G339" s="20"/>
      <c r="H339" s="19"/>
      <c r="I339" s="25" t="str">
        <f>IF(F339="","",IF(H339="",IFERROR(INDEX(Catalogue!$I$6:$I$55,MATCH(F339,Catalogue!$B$6:$B$55,0)),0),H339))</f>
        <v/>
      </c>
      <c r="J339" s="19"/>
      <c r="K339" s="25" t="str">
        <f t="shared" si="21"/>
        <v/>
      </c>
      <c r="L339" s="18"/>
      <c r="M339" s="18"/>
      <c r="N339" s="18"/>
      <c r="O339" s="19"/>
      <c r="P339" s="25" t="str">
        <f>IF(F339="","",IF(O339="",IFERROR(INDEX(Catalogue!$G$6:$G$55,MATCH(F339,Catalogue!$B$6:$B$55,0)),0),O339))</f>
        <v/>
      </c>
      <c r="Q339" s="25" t="str">
        <f>IF(F339="","",N(G339)*(IFERROR(INDEX(Catalogue!$E$6:$E$55,MATCH(F339,Catalogue!$B$6:$B$55,0)),0)+IFERROR(INDEX(Catalogue!$F$6:$F$55,MATCH(F339,Catalogue!$B$6:$B$55,0)),0)+IFERROR(INDEX(Catalogue!$H$6:$H$55,MATCH(F339,Catalogue!$B$6:$B$55,0)),0)))</f>
        <v/>
      </c>
      <c r="R339" s="25" t="str">
        <f t="shared" si="22"/>
        <v/>
      </c>
      <c r="S339" s="18"/>
      <c r="T339" s="24" t="str">
        <f t="shared" si="23"/>
        <v/>
      </c>
      <c r="U339" s="28" t="str">
        <f>IF(D339="","",IF(COUNTIF(D$6:D339,D339)=1,"Nouveau","Fidèle"))</f>
        <v/>
      </c>
    </row>
    <row r="340" spans="1:21" x14ac:dyDescent="0.25">
      <c r="A340" s="41" t="str">
        <f t="shared" si="20"/>
        <v/>
      </c>
      <c r="B340" s="38"/>
      <c r="C340" s="18"/>
      <c r="D340" s="18"/>
      <c r="E340" s="18"/>
      <c r="F340" s="18"/>
      <c r="G340" s="20"/>
      <c r="H340" s="19"/>
      <c r="I340" s="25" t="str">
        <f>IF(F340="","",IF(H340="",IFERROR(INDEX(Catalogue!$I$6:$I$55,MATCH(F340,Catalogue!$B$6:$B$55,0)),0),H340))</f>
        <v/>
      </c>
      <c r="J340" s="19"/>
      <c r="K340" s="25" t="str">
        <f t="shared" si="21"/>
        <v/>
      </c>
      <c r="L340" s="18"/>
      <c r="M340" s="18"/>
      <c r="N340" s="18"/>
      <c r="O340" s="19"/>
      <c r="P340" s="25" t="str">
        <f>IF(F340="","",IF(O340="",IFERROR(INDEX(Catalogue!$G$6:$G$55,MATCH(F340,Catalogue!$B$6:$B$55,0)),0),O340))</f>
        <v/>
      </c>
      <c r="Q340" s="25" t="str">
        <f>IF(F340="","",N(G340)*(IFERROR(INDEX(Catalogue!$E$6:$E$55,MATCH(F340,Catalogue!$B$6:$B$55,0)),0)+IFERROR(INDEX(Catalogue!$F$6:$F$55,MATCH(F340,Catalogue!$B$6:$B$55,0)),0)+IFERROR(INDEX(Catalogue!$H$6:$H$55,MATCH(F340,Catalogue!$B$6:$B$55,0)),0)))</f>
        <v/>
      </c>
      <c r="R340" s="25" t="str">
        <f t="shared" si="22"/>
        <v/>
      </c>
      <c r="S340" s="18"/>
      <c r="T340" s="24" t="str">
        <f t="shared" si="23"/>
        <v/>
      </c>
      <c r="U340" s="28" t="str">
        <f>IF(D340="","",IF(COUNTIF(D$6:D340,D340)=1,"Nouveau","Fidèle"))</f>
        <v/>
      </c>
    </row>
    <row r="341" spans="1:21" x14ac:dyDescent="0.25">
      <c r="A341" s="41" t="str">
        <f t="shared" si="20"/>
        <v/>
      </c>
      <c r="B341" s="38"/>
      <c r="C341" s="18"/>
      <c r="D341" s="18"/>
      <c r="E341" s="18"/>
      <c r="F341" s="18"/>
      <c r="G341" s="20"/>
      <c r="H341" s="19"/>
      <c r="I341" s="25" t="str">
        <f>IF(F341="","",IF(H341="",IFERROR(INDEX(Catalogue!$I$6:$I$55,MATCH(F341,Catalogue!$B$6:$B$55,0)),0),H341))</f>
        <v/>
      </c>
      <c r="J341" s="19"/>
      <c r="K341" s="25" t="str">
        <f t="shared" si="21"/>
        <v/>
      </c>
      <c r="L341" s="18"/>
      <c r="M341" s="18"/>
      <c r="N341" s="18"/>
      <c r="O341" s="19"/>
      <c r="P341" s="25" t="str">
        <f>IF(F341="","",IF(O341="",IFERROR(INDEX(Catalogue!$G$6:$G$55,MATCH(F341,Catalogue!$B$6:$B$55,0)),0),O341))</f>
        <v/>
      </c>
      <c r="Q341" s="25" t="str">
        <f>IF(F341="","",N(G341)*(IFERROR(INDEX(Catalogue!$E$6:$E$55,MATCH(F341,Catalogue!$B$6:$B$55,0)),0)+IFERROR(INDEX(Catalogue!$F$6:$F$55,MATCH(F341,Catalogue!$B$6:$B$55,0)),0)+IFERROR(INDEX(Catalogue!$H$6:$H$55,MATCH(F341,Catalogue!$B$6:$B$55,0)),0)))</f>
        <v/>
      </c>
      <c r="R341" s="25" t="str">
        <f t="shared" si="22"/>
        <v/>
      </c>
      <c r="S341" s="18"/>
      <c r="T341" s="24" t="str">
        <f t="shared" si="23"/>
        <v/>
      </c>
      <c r="U341" s="28" t="str">
        <f>IF(D341="","",IF(COUNTIF(D$6:D341,D341)=1,"Nouveau","Fidèle"))</f>
        <v/>
      </c>
    </row>
    <row r="342" spans="1:21" x14ac:dyDescent="0.25">
      <c r="A342" s="41" t="str">
        <f t="shared" si="20"/>
        <v/>
      </c>
      <c r="B342" s="38"/>
      <c r="C342" s="18"/>
      <c r="D342" s="18"/>
      <c r="E342" s="18"/>
      <c r="F342" s="18"/>
      <c r="G342" s="20"/>
      <c r="H342" s="19"/>
      <c r="I342" s="25" t="str">
        <f>IF(F342="","",IF(H342="",IFERROR(INDEX(Catalogue!$I$6:$I$55,MATCH(F342,Catalogue!$B$6:$B$55,0)),0),H342))</f>
        <v/>
      </c>
      <c r="J342" s="19"/>
      <c r="K342" s="25" t="str">
        <f t="shared" si="21"/>
        <v/>
      </c>
      <c r="L342" s="18"/>
      <c r="M342" s="18"/>
      <c r="N342" s="18"/>
      <c r="O342" s="19"/>
      <c r="P342" s="25" t="str">
        <f>IF(F342="","",IF(O342="",IFERROR(INDEX(Catalogue!$G$6:$G$55,MATCH(F342,Catalogue!$B$6:$B$55,0)),0),O342))</f>
        <v/>
      </c>
      <c r="Q342" s="25" t="str">
        <f>IF(F342="","",N(G342)*(IFERROR(INDEX(Catalogue!$E$6:$E$55,MATCH(F342,Catalogue!$B$6:$B$55,0)),0)+IFERROR(INDEX(Catalogue!$F$6:$F$55,MATCH(F342,Catalogue!$B$6:$B$55,0)),0)+IFERROR(INDEX(Catalogue!$H$6:$H$55,MATCH(F342,Catalogue!$B$6:$B$55,0)),0)))</f>
        <v/>
      </c>
      <c r="R342" s="25" t="str">
        <f t="shared" si="22"/>
        <v/>
      </c>
      <c r="S342" s="18"/>
      <c r="T342" s="24" t="str">
        <f t="shared" si="23"/>
        <v/>
      </c>
      <c r="U342" s="28" t="str">
        <f>IF(D342="","",IF(COUNTIF(D$6:D342,D342)=1,"Nouveau","Fidèle"))</f>
        <v/>
      </c>
    </row>
    <row r="343" spans="1:21" x14ac:dyDescent="0.25">
      <c r="A343" s="41" t="str">
        <f t="shared" si="20"/>
        <v/>
      </c>
      <c r="B343" s="38"/>
      <c r="C343" s="18"/>
      <c r="D343" s="18"/>
      <c r="E343" s="18"/>
      <c r="F343" s="18"/>
      <c r="G343" s="20"/>
      <c r="H343" s="19"/>
      <c r="I343" s="25" t="str">
        <f>IF(F343="","",IF(H343="",IFERROR(INDEX(Catalogue!$I$6:$I$55,MATCH(F343,Catalogue!$B$6:$B$55,0)),0),H343))</f>
        <v/>
      </c>
      <c r="J343" s="19"/>
      <c r="K343" s="25" t="str">
        <f t="shared" si="21"/>
        <v/>
      </c>
      <c r="L343" s="18"/>
      <c r="M343" s="18"/>
      <c r="N343" s="18"/>
      <c r="O343" s="19"/>
      <c r="P343" s="25" t="str">
        <f>IF(F343="","",IF(O343="",IFERROR(INDEX(Catalogue!$G$6:$G$55,MATCH(F343,Catalogue!$B$6:$B$55,0)),0),O343))</f>
        <v/>
      </c>
      <c r="Q343" s="25" t="str">
        <f>IF(F343="","",N(G343)*(IFERROR(INDEX(Catalogue!$E$6:$E$55,MATCH(F343,Catalogue!$B$6:$B$55,0)),0)+IFERROR(INDEX(Catalogue!$F$6:$F$55,MATCH(F343,Catalogue!$B$6:$B$55,0)),0)+IFERROR(INDEX(Catalogue!$H$6:$H$55,MATCH(F343,Catalogue!$B$6:$B$55,0)),0)))</f>
        <v/>
      </c>
      <c r="R343" s="25" t="str">
        <f t="shared" si="22"/>
        <v/>
      </c>
      <c r="S343" s="18"/>
      <c r="T343" s="24" t="str">
        <f t="shared" si="23"/>
        <v/>
      </c>
      <c r="U343" s="28" t="str">
        <f>IF(D343="","",IF(COUNTIF(D$6:D343,D343)=1,"Nouveau","Fidèle"))</f>
        <v/>
      </c>
    </row>
    <row r="344" spans="1:21" x14ac:dyDescent="0.25">
      <c r="A344" s="41" t="str">
        <f t="shared" si="20"/>
        <v/>
      </c>
      <c r="B344" s="38"/>
      <c r="C344" s="18"/>
      <c r="D344" s="18"/>
      <c r="E344" s="18"/>
      <c r="F344" s="18"/>
      <c r="G344" s="20"/>
      <c r="H344" s="19"/>
      <c r="I344" s="25" t="str">
        <f>IF(F344="","",IF(H344="",IFERROR(INDEX(Catalogue!$I$6:$I$55,MATCH(F344,Catalogue!$B$6:$B$55,0)),0),H344))</f>
        <v/>
      </c>
      <c r="J344" s="19"/>
      <c r="K344" s="25" t="str">
        <f t="shared" si="21"/>
        <v/>
      </c>
      <c r="L344" s="18"/>
      <c r="M344" s="18"/>
      <c r="N344" s="18"/>
      <c r="O344" s="19"/>
      <c r="P344" s="25" t="str">
        <f>IF(F344="","",IF(O344="",IFERROR(INDEX(Catalogue!$G$6:$G$55,MATCH(F344,Catalogue!$B$6:$B$55,0)),0),O344))</f>
        <v/>
      </c>
      <c r="Q344" s="25" t="str">
        <f>IF(F344="","",N(G344)*(IFERROR(INDEX(Catalogue!$E$6:$E$55,MATCH(F344,Catalogue!$B$6:$B$55,0)),0)+IFERROR(INDEX(Catalogue!$F$6:$F$55,MATCH(F344,Catalogue!$B$6:$B$55,0)),0)+IFERROR(INDEX(Catalogue!$H$6:$H$55,MATCH(F344,Catalogue!$B$6:$B$55,0)),0)))</f>
        <v/>
      </c>
      <c r="R344" s="25" t="str">
        <f t="shared" si="22"/>
        <v/>
      </c>
      <c r="S344" s="18"/>
      <c r="T344" s="24" t="str">
        <f t="shared" si="23"/>
        <v/>
      </c>
      <c r="U344" s="28" t="str">
        <f>IF(D344="","",IF(COUNTIF(D$6:D344,D344)=1,"Nouveau","Fidèle"))</f>
        <v/>
      </c>
    </row>
    <row r="345" spans="1:21" x14ac:dyDescent="0.25">
      <c r="A345" s="41" t="str">
        <f t="shared" si="20"/>
        <v/>
      </c>
      <c r="B345" s="38"/>
      <c r="C345" s="18"/>
      <c r="D345" s="18"/>
      <c r="E345" s="18"/>
      <c r="F345" s="18"/>
      <c r="G345" s="20"/>
      <c r="H345" s="19"/>
      <c r="I345" s="25" t="str">
        <f>IF(F345="","",IF(H345="",IFERROR(INDEX(Catalogue!$I$6:$I$55,MATCH(F345,Catalogue!$B$6:$B$55,0)),0),H345))</f>
        <v/>
      </c>
      <c r="J345" s="19"/>
      <c r="K345" s="25" t="str">
        <f t="shared" si="21"/>
        <v/>
      </c>
      <c r="L345" s="18"/>
      <c r="M345" s="18"/>
      <c r="N345" s="18"/>
      <c r="O345" s="19"/>
      <c r="P345" s="25" t="str">
        <f>IF(F345="","",IF(O345="",IFERROR(INDEX(Catalogue!$G$6:$G$55,MATCH(F345,Catalogue!$B$6:$B$55,0)),0),O345))</f>
        <v/>
      </c>
      <c r="Q345" s="25" t="str">
        <f>IF(F345="","",N(G345)*(IFERROR(INDEX(Catalogue!$E$6:$E$55,MATCH(F345,Catalogue!$B$6:$B$55,0)),0)+IFERROR(INDEX(Catalogue!$F$6:$F$55,MATCH(F345,Catalogue!$B$6:$B$55,0)),0)+IFERROR(INDEX(Catalogue!$H$6:$H$55,MATCH(F345,Catalogue!$B$6:$B$55,0)),0)))</f>
        <v/>
      </c>
      <c r="R345" s="25" t="str">
        <f t="shared" si="22"/>
        <v/>
      </c>
      <c r="S345" s="18"/>
      <c r="T345" s="24" t="str">
        <f t="shared" si="23"/>
        <v/>
      </c>
      <c r="U345" s="28" t="str">
        <f>IF(D345="","",IF(COUNTIF(D$6:D345,D345)=1,"Nouveau","Fidèle"))</f>
        <v/>
      </c>
    </row>
    <row r="346" spans="1:21" x14ac:dyDescent="0.25">
      <c r="A346" s="41" t="str">
        <f t="shared" si="20"/>
        <v/>
      </c>
      <c r="B346" s="38"/>
      <c r="C346" s="18"/>
      <c r="D346" s="18"/>
      <c r="E346" s="18"/>
      <c r="F346" s="18"/>
      <c r="G346" s="20"/>
      <c r="H346" s="19"/>
      <c r="I346" s="25" t="str">
        <f>IF(F346="","",IF(H346="",IFERROR(INDEX(Catalogue!$I$6:$I$55,MATCH(F346,Catalogue!$B$6:$B$55,0)),0),H346))</f>
        <v/>
      </c>
      <c r="J346" s="19"/>
      <c r="K346" s="25" t="str">
        <f t="shared" si="21"/>
        <v/>
      </c>
      <c r="L346" s="18"/>
      <c r="M346" s="18"/>
      <c r="N346" s="18"/>
      <c r="O346" s="19"/>
      <c r="P346" s="25" t="str">
        <f>IF(F346="","",IF(O346="",IFERROR(INDEX(Catalogue!$G$6:$G$55,MATCH(F346,Catalogue!$B$6:$B$55,0)),0),O346))</f>
        <v/>
      </c>
      <c r="Q346" s="25" t="str">
        <f>IF(F346="","",N(G346)*(IFERROR(INDEX(Catalogue!$E$6:$E$55,MATCH(F346,Catalogue!$B$6:$B$55,0)),0)+IFERROR(INDEX(Catalogue!$F$6:$F$55,MATCH(F346,Catalogue!$B$6:$B$55,0)),0)+IFERROR(INDEX(Catalogue!$H$6:$H$55,MATCH(F346,Catalogue!$B$6:$B$55,0)),0)))</f>
        <v/>
      </c>
      <c r="R346" s="25" t="str">
        <f t="shared" si="22"/>
        <v/>
      </c>
      <c r="S346" s="18"/>
      <c r="T346" s="24" t="str">
        <f t="shared" si="23"/>
        <v/>
      </c>
      <c r="U346" s="28" t="str">
        <f>IF(D346="","",IF(COUNTIF(D$6:D346,D346)=1,"Nouveau","Fidèle"))</f>
        <v/>
      </c>
    </row>
    <row r="347" spans="1:21" x14ac:dyDescent="0.25">
      <c r="A347" s="41" t="str">
        <f t="shared" si="20"/>
        <v/>
      </c>
      <c r="B347" s="38"/>
      <c r="C347" s="18"/>
      <c r="D347" s="18"/>
      <c r="E347" s="18"/>
      <c r="F347" s="18"/>
      <c r="G347" s="20"/>
      <c r="H347" s="19"/>
      <c r="I347" s="25" t="str">
        <f>IF(F347="","",IF(H347="",IFERROR(INDEX(Catalogue!$I$6:$I$55,MATCH(F347,Catalogue!$B$6:$B$55,0)),0),H347))</f>
        <v/>
      </c>
      <c r="J347" s="19"/>
      <c r="K347" s="25" t="str">
        <f t="shared" si="21"/>
        <v/>
      </c>
      <c r="L347" s="18"/>
      <c r="M347" s="18"/>
      <c r="N347" s="18"/>
      <c r="O347" s="19"/>
      <c r="P347" s="25" t="str">
        <f>IF(F347="","",IF(O347="",IFERROR(INDEX(Catalogue!$G$6:$G$55,MATCH(F347,Catalogue!$B$6:$B$55,0)),0),O347))</f>
        <v/>
      </c>
      <c r="Q347" s="25" t="str">
        <f>IF(F347="","",N(G347)*(IFERROR(INDEX(Catalogue!$E$6:$E$55,MATCH(F347,Catalogue!$B$6:$B$55,0)),0)+IFERROR(INDEX(Catalogue!$F$6:$F$55,MATCH(F347,Catalogue!$B$6:$B$55,0)),0)+IFERROR(INDEX(Catalogue!$H$6:$H$55,MATCH(F347,Catalogue!$B$6:$B$55,0)),0)))</f>
        <v/>
      </c>
      <c r="R347" s="25" t="str">
        <f t="shared" si="22"/>
        <v/>
      </c>
      <c r="S347" s="18"/>
      <c r="T347" s="24" t="str">
        <f t="shared" si="23"/>
        <v/>
      </c>
      <c r="U347" s="28" t="str">
        <f>IF(D347="","",IF(COUNTIF(D$6:D347,D347)=1,"Nouveau","Fidèle"))</f>
        <v/>
      </c>
    </row>
    <row r="348" spans="1:21" x14ac:dyDescent="0.25">
      <c r="A348" s="41" t="str">
        <f t="shared" si="20"/>
        <v/>
      </c>
      <c r="B348" s="38"/>
      <c r="C348" s="18"/>
      <c r="D348" s="18"/>
      <c r="E348" s="18"/>
      <c r="F348" s="18"/>
      <c r="G348" s="20"/>
      <c r="H348" s="19"/>
      <c r="I348" s="25" t="str">
        <f>IF(F348="","",IF(H348="",IFERROR(INDEX(Catalogue!$I$6:$I$55,MATCH(F348,Catalogue!$B$6:$B$55,0)),0),H348))</f>
        <v/>
      </c>
      <c r="J348" s="19"/>
      <c r="K348" s="25" t="str">
        <f t="shared" si="21"/>
        <v/>
      </c>
      <c r="L348" s="18"/>
      <c r="M348" s="18"/>
      <c r="N348" s="18"/>
      <c r="O348" s="19"/>
      <c r="P348" s="25" t="str">
        <f>IF(F348="","",IF(O348="",IFERROR(INDEX(Catalogue!$G$6:$G$55,MATCH(F348,Catalogue!$B$6:$B$55,0)),0),O348))</f>
        <v/>
      </c>
      <c r="Q348" s="25" t="str">
        <f>IF(F348="","",N(G348)*(IFERROR(INDEX(Catalogue!$E$6:$E$55,MATCH(F348,Catalogue!$B$6:$B$55,0)),0)+IFERROR(INDEX(Catalogue!$F$6:$F$55,MATCH(F348,Catalogue!$B$6:$B$55,0)),0)+IFERROR(INDEX(Catalogue!$H$6:$H$55,MATCH(F348,Catalogue!$B$6:$B$55,0)),0)))</f>
        <v/>
      </c>
      <c r="R348" s="25" t="str">
        <f t="shared" si="22"/>
        <v/>
      </c>
      <c r="S348" s="18"/>
      <c r="T348" s="24" t="str">
        <f t="shared" si="23"/>
        <v/>
      </c>
      <c r="U348" s="28" t="str">
        <f>IF(D348="","",IF(COUNTIF(D$6:D348,D348)=1,"Nouveau","Fidèle"))</f>
        <v/>
      </c>
    </row>
    <row r="349" spans="1:21" x14ac:dyDescent="0.25">
      <c r="A349" s="41" t="str">
        <f t="shared" si="20"/>
        <v/>
      </c>
      <c r="B349" s="38"/>
      <c r="C349" s="18"/>
      <c r="D349" s="18"/>
      <c r="E349" s="18"/>
      <c r="F349" s="18"/>
      <c r="G349" s="20"/>
      <c r="H349" s="19"/>
      <c r="I349" s="25" t="str">
        <f>IF(F349="","",IF(H349="",IFERROR(INDEX(Catalogue!$I$6:$I$55,MATCH(F349,Catalogue!$B$6:$B$55,0)),0),H349))</f>
        <v/>
      </c>
      <c r="J349" s="19"/>
      <c r="K349" s="25" t="str">
        <f t="shared" si="21"/>
        <v/>
      </c>
      <c r="L349" s="18"/>
      <c r="M349" s="18"/>
      <c r="N349" s="18"/>
      <c r="O349" s="19"/>
      <c r="P349" s="25" t="str">
        <f>IF(F349="","",IF(O349="",IFERROR(INDEX(Catalogue!$G$6:$G$55,MATCH(F349,Catalogue!$B$6:$B$55,0)),0),O349))</f>
        <v/>
      </c>
      <c r="Q349" s="25" t="str">
        <f>IF(F349="","",N(G349)*(IFERROR(INDEX(Catalogue!$E$6:$E$55,MATCH(F349,Catalogue!$B$6:$B$55,0)),0)+IFERROR(INDEX(Catalogue!$F$6:$F$55,MATCH(F349,Catalogue!$B$6:$B$55,0)),0)+IFERROR(INDEX(Catalogue!$H$6:$H$55,MATCH(F349,Catalogue!$B$6:$B$55,0)),0)))</f>
        <v/>
      </c>
      <c r="R349" s="25" t="str">
        <f t="shared" si="22"/>
        <v/>
      </c>
      <c r="S349" s="18"/>
      <c r="T349" s="24" t="str">
        <f t="shared" si="23"/>
        <v/>
      </c>
      <c r="U349" s="28" t="str">
        <f>IF(D349="","",IF(COUNTIF(D$6:D349,D349)=1,"Nouveau","Fidèle"))</f>
        <v/>
      </c>
    </row>
    <row r="350" spans="1:21" x14ac:dyDescent="0.25">
      <c r="A350" s="41" t="str">
        <f t="shared" si="20"/>
        <v/>
      </c>
      <c r="B350" s="38"/>
      <c r="C350" s="18"/>
      <c r="D350" s="18"/>
      <c r="E350" s="18"/>
      <c r="F350" s="18"/>
      <c r="G350" s="20"/>
      <c r="H350" s="19"/>
      <c r="I350" s="25" t="str">
        <f>IF(F350="","",IF(H350="",IFERROR(INDEX(Catalogue!$I$6:$I$55,MATCH(F350,Catalogue!$B$6:$B$55,0)),0),H350))</f>
        <v/>
      </c>
      <c r="J350" s="19"/>
      <c r="K350" s="25" t="str">
        <f t="shared" si="21"/>
        <v/>
      </c>
      <c r="L350" s="18"/>
      <c r="M350" s="18"/>
      <c r="N350" s="18"/>
      <c r="O350" s="19"/>
      <c r="P350" s="25" t="str">
        <f>IF(F350="","",IF(O350="",IFERROR(INDEX(Catalogue!$G$6:$G$55,MATCH(F350,Catalogue!$B$6:$B$55,0)),0),O350))</f>
        <v/>
      </c>
      <c r="Q350" s="25" t="str">
        <f>IF(F350="","",N(G350)*(IFERROR(INDEX(Catalogue!$E$6:$E$55,MATCH(F350,Catalogue!$B$6:$B$55,0)),0)+IFERROR(INDEX(Catalogue!$F$6:$F$55,MATCH(F350,Catalogue!$B$6:$B$55,0)),0)+IFERROR(INDEX(Catalogue!$H$6:$H$55,MATCH(F350,Catalogue!$B$6:$B$55,0)),0)))</f>
        <v/>
      </c>
      <c r="R350" s="25" t="str">
        <f t="shared" si="22"/>
        <v/>
      </c>
      <c r="S350" s="18"/>
      <c r="T350" s="24" t="str">
        <f t="shared" si="23"/>
        <v/>
      </c>
      <c r="U350" s="28" t="str">
        <f>IF(D350="","",IF(COUNTIF(D$6:D350,D350)=1,"Nouveau","Fidèle"))</f>
        <v/>
      </c>
    </row>
    <row r="351" spans="1:21" x14ac:dyDescent="0.25">
      <c r="A351" s="41" t="str">
        <f t="shared" si="20"/>
        <v/>
      </c>
      <c r="B351" s="38"/>
      <c r="C351" s="18"/>
      <c r="D351" s="18"/>
      <c r="E351" s="18"/>
      <c r="F351" s="18"/>
      <c r="G351" s="20"/>
      <c r="H351" s="19"/>
      <c r="I351" s="25" t="str">
        <f>IF(F351="","",IF(H351="",IFERROR(INDEX(Catalogue!$I$6:$I$55,MATCH(F351,Catalogue!$B$6:$B$55,0)),0),H351))</f>
        <v/>
      </c>
      <c r="J351" s="19"/>
      <c r="K351" s="25" t="str">
        <f t="shared" si="21"/>
        <v/>
      </c>
      <c r="L351" s="18"/>
      <c r="M351" s="18"/>
      <c r="N351" s="18"/>
      <c r="O351" s="19"/>
      <c r="P351" s="25" t="str">
        <f>IF(F351="","",IF(O351="",IFERROR(INDEX(Catalogue!$G$6:$G$55,MATCH(F351,Catalogue!$B$6:$B$55,0)),0),O351))</f>
        <v/>
      </c>
      <c r="Q351" s="25" t="str">
        <f>IF(F351="","",N(G351)*(IFERROR(INDEX(Catalogue!$E$6:$E$55,MATCH(F351,Catalogue!$B$6:$B$55,0)),0)+IFERROR(INDEX(Catalogue!$F$6:$F$55,MATCH(F351,Catalogue!$B$6:$B$55,0)),0)+IFERROR(INDEX(Catalogue!$H$6:$H$55,MATCH(F351,Catalogue!$B$6:$B$55,0)),0)))</f>
        <v/>
      </c>
      <c r="R351" s="25" t="str">
        <f t="shared" si="22"/>
        <v/>
      </c>
      <c r="S351" s="18"/>
      <c r="T351" s="24" t="str">
        <f t="shared" si="23"/>
        <v/>
      </c>
      <c r="U351" s="28" t="str">
        <f>IF(D351="","",IF(COUNTIF(D$6:D351,D351)=1,"Nouveau","Fidèle"))</f>
        <v/>
      </c>
    </row>
    <row r="352" spans="1:21" x14ac:dyDescent="0.25">
      <c r="A352" s="41" t="str">
        <f t="shared" si="20"/>
        <v/>
      </c>
      <c r="B352" s="38"/>
      <c r="C352" s="18"/>
      <c r="D352" s="18"/>
      <c r="E352" s="18"/>
      <c r="F352" s="18"/>
      <c r="G352" s="20"/>
      <c r="H352" s="19"/>
      <c r="I352" s="25" t="str">
        <f>IF(F352="","",IF(H352="",IFERROR(INDEX(Catalogue!$I$6:$I$55,MATCH(F352,Catalogue!$B$6:$B$55,0)),0),H352))</f>
        <v/>
      </c>
      <c r="J352" s="19"/>
      <c r="K352" s="25" t="str">
        <f t="shared" si="21"/>
        <v/>
      </c>
      <c r="L352" s="18"/>
      <c r="M352" s="18"/>
      <c r="N352" s="18"/>
      <c r="O352" s="19"/>
      <c r="P352" s="25" t="str">
        <f>IF(F352="","",IF(O352="",IFERROR(INDEX(Catalogue!$G$6:$G$55,MATCH(F352,Catalogue!$B$6:$B$55,0)),0),O352))</f>
        <v/>
      </c>
      <c r="Q352" s="25" t="str">
        <f>IF(F352="","",N(G352)*(IFERROR(INDEX(Catalogue!$E$6:$E$55,MATCH(F352,Catalogue!$B$6:$B$55,0)),0)+IFERROR(INDEX(Catalogue!$F$6:$F$55,MATCH(F352,Catalogue!$B$6:$B$55,0)),0)+IFERROR(INDEX(Catalogue!$H$6:$H$55,MATCH(F352,Catalogue!$B$6:$B$55,0)),0)))</f>
        <v/>
      </c>
      <c r="R352" s="25" t="str">
        <f t="shared" si="22"/>
        <v/>
      </c>
      <c r="S352" s="18"/>
      <c r="T352" s="24" t="str">
        <f t="shared" si="23"/>
        <v/>
      </c>
      <c r="U352" s="28" t="str">
        <f>IF(D352="","",IF(COUNTIF(D$6:D352,D352)=1,"Nouveau","Fidèle"))</f>
        <v/>
      </c>
    </row>
    <row r="353" spans="1:21" x14ac:dyDescent="0.25">
      <c r="A353" s="41" t="str">
        <f t="shared" si="20"/>
        <v/>
      </c>
      <c r="B353" s="38"/>
      <c r="C353" s="18"/>
      <c r="D353" s="18"/>
      <c r="E353" s="18"/>
      <c r="F353" s="18"/>
      <c r="G353" s="20"/>
      <c r="H353" s="19"/>
      <c r="I353" s="25" t="str">
        <f>IF(F353="","",IF(H353="",IFERROR(INDEX(Catalogue!$I$6:$I$55,MATCH(F353,Catalogue!$B$6:$B$55,0)),0),H353))</f>
        <v/>
      </c>
      <c r="J353" s="19"/>
      <c r="K353" s="25" t="str">
        <f t="shared" si="21"/>
        <v/>
      </c>
      <c r="L353" s="18"/>
      <c r="M353" s="18"/>
      <c r="N353" s="18"/>
      <c r="O353" s="19"/>
      <c r="P353" s="25" t="str">
        <f>IF(F353="","",IF(O353="",IFERROR(INDEX(Catalogue!$G$6:$G$55,MATCH(F353,Catalogue!$B$6:$B$55,0)),0),O353))</f>
        <v/>
      </c>
      <c r="Q353" s="25" t="str">
        <f>IF(F353="","",N(G353)*(IFERROR(INDEX(Catalogue!$E$6:$E$55,MATCH(F353,Catalogue!$B$6:$B$55,0)),0)+IFERROR(INDEX(Catalogue!$F$6:$F$55,MATCH(F353,Catalogue!$B$6:$B$55,0)),0)+IFERROR(INDEX(Catalogue!$H$6:$H$55,MATCH(F353,Catalogue!$B$6:$B$55,0)),0)))</f>
        <v/>
      </c>
      <c r="R353" s="25" t="str">
        <f t="shared" si="22"/>
        <v/>
      </c>
      <c r="S353" s="18"/>
      <c r="T353" s="24" t="str">
        <f t="shared" si="23"/>
        <v/>
      </c>
      <c r="U353" s="28" t="str">
        <f>IF(D353="","",IF(COUNTIF(D$6:D353,D353)=1,"Nouveau","Fidèle"))</f>
        <v/>
      </c>
    </row>
    <row r="354" spans="1:21" x14ac:dyDescent="0.25">
      <c r="A354" s="41" t="str">
        <f t="shared" si="20"/>
        <v/>
      </c>
      <c r="B354" s="38"/>
      <c r="C354" s="18"/>
      <c r="D354" s="18"/>
      <c r="E354" s="18"/>
      <c r="F354" s="18"/>
      <c r="G354" s="20"/>
      <c r="H354" s="19"/>
      <c r="I354" s="25" t="str">
        <f>IF(F354="","",IF(H354="",IFERROR(INDEX(Catalogue!$I$6:$I$55,MATCH(F354,Catalogue!$B$6:$B$55,0)),0),H354))</f>
        <v/>
      </c>
      <c r="J354" s="19"/>
      <c r="K354" s="25" t="str">
        <f t="shared" si="21"/>
        <v/>
      </c>
      <c r="L354" s="18"/>
      <c r="M354" s="18"/>
      <c r="N354" s="18"/>
      <c r="O354" s="19"/>
      <c r="P354" s="25" t="str">
        <f>IF(F354="","",IF(O354="",IFERROR(INDEX(Catalogue!$G$6:$G$55,MATCH(F354,Catalogue!$B$6:$B$55,0)),0),O354))</f>
        <v/>
      </c>
      <c r="Q354" s="25" t="str">
        <f>IF(F354="","",N(G354)*(IFERROR(INDEX(Catalogue!$E$6:$E$55,MATCH(F354,Catalogue!$B$6:$B$55,0)),0)+IFERROR(INDEX(Catalogue!$F$6:$F$55,MATCH(F354,Catalogue!$B$6:$B$55,0)),0)+IFERROR(INDEX(Catalogue!$H$6:$H$55,MATCH(F354,Catalogue!$B$6:$B$55,0)),0)))</f>
        <v/>
      </c>
      <c r="R354" s="25" t="str">
        <f t="shared" si="22"/>
        <v/>
      </c>
      <c r="S354" s="18"/>
      <c r="T354" s="24" t="str">
        <f t="shared" si="23"/>
        <v/>
      </c>
      <c r="U354" s="28" t="str">
        <f>IF(D354="","",IF(COUNTIF(D$6:D354,D354)=1,"Nouveau","Fidèle"))</f>
        <v/>
      </c>
    </row>
    <row r="355" spans="1:21" x14ac:dyDescent="0.25">
      <c r="A355" s="41" t="str">
        <f t="shared" si="20"/>
        <v/>
      </c>
      <c r="B355" s="38"/>
      <c r="C355" s="18"/>
      <c r="D355" s="18"/>
      <c r="E355" s="18"/>
      <c r="F355" s="18"/>
      <c r="G355" s="20"/>
      <c r="H355" s="19"/>
      <c r="I355" s="25" t="str">
        <f>IF(F355="","",IF(H355="",IFERROR(INDEX(Catalogue!$I$6:$I$55,MATCH(F355,Catalogue!$B$6:$B$55,0)),0),H355))</f>
        <v/>
      </c>
      <c r="J355" s="19"/>
      <c r="K355" s="25" t="str">
        <f t="shared" si="21"/>
        <v/>
      </c>
      <c r="L355" s="18"/>
      <c r="M355" s="18"/>
      <c r="N355" s="18"/>
      <c r="O355" s="19"/>
      <c r="P355" s="25" t="str">
        <f>IF(F355="","",IF(O355="",IFERROR(INDEX(Catalogue!$G$6:$G$55,MATCH(F355,Catalogue!$B$6:$B$55,0)),0),O355))</f>
        <v/>
      </c>
      <c r="Q355" s="25" t="str">
        <f>IF(F355="","",N(G355)*(IFERROR(INDEX(Catalogue!$E$6:$E$55,MATCH(F355,Catalogue!$B$6:$B$55,0)),0)+IFERROR(INDEX(Catalogue!$F$6:$F$55,MATCH(F355,Catalogue!$B$6:$B$55,0)),0)+IFERROR(INDEX(Catalogue!$H$6:$H$55,MATCH(F355,Catalogue!$B$6:$B$55,0)),0)))</f>
        <v/>
      </c>
      <c r="R355" s="25" t="str">
        <f t="shared" si="22"/>
        <v/>
      </c>
      <c r="S355" s="18"/>
      <c r="T355" s="24" t="str">
        <f t="shared" si="23"/>
        <v/>
      </c>
      <c r="U355" s="28" t="str">
        <f>IF(D355="","",IF(COUNTIF(D$6:D355,D355)=1,"Nouveau","Fidèle"))</f>
        <v/>
      </c>
    </row>
    <row r="356" spans="1:21" x14ac:dyDescent="0.25">
      <c r="A356" s="41" t="str">
        <f t="shared" si="20"/>
        <v/>
      </c>
      <c r="B356" s="38"/>
      <c r="C356" s="18"/>
      <c r="D356" s="18"/>
      <c r="E356" s="18"/>
      <c r="F356" s="18"/>
      <c r="G356" s="20"/>
      <c r="H356" s="19"/>
      <c r="I356" s="25" t="str">
        <f>IF(F356="","",IF(H356="",IFERROR(INDEX(Catalogue!$I$6:$I$55,MATCH(F356,Catalogue!$B$6:$B$55,0)),0),H356))</f>
        <v/>
      </c>
      <c r="J356" s="19"/>
      <c r="K356" s="25" t="str">
        <f t="shared" si="21"/>
        <v/>
      </c>
      <c r="L356" s="18"/>
      <c r="M356" s="18"/>
      <c r="N356" s="18"/>
      <c r="O356" s="19"/>
      <c r="P356" s="25" t="str">
        <f>IF(F356="","",IF(O356="",IFERROR(INDEX(Catalogue!$G$6:$G$55,MATCH(F356,Catalogue!$B$6:$B$55,0)),0),O356))</f>
        <v/>
      </c>
      <c r="Q356" s="25" t="str">
        <f>IF(F356="","",N(G356)*(IFERROR(INDEX(Catalogue!$E$6:$E$55,MATCH(F356,Catalogue!$B$6:$B$55,0)),0)+IFERROR(INDEX(Catalogue!$F$6:$F$55,MATCH(F356,Catalogue!$B$6:$B$55,0)),0)+IFERROR(INDEX(Catalogue!$H$6:$H$55,MATCH(F356,Catalogue!$B$6:$B$55,0)),0)))</f>
        <v/>
      </c>
      <c r="R356" s="25" t="str">
        <f t="shared" si="22"/>
        <v/>
      </c>
      <c r="S356" s="18"/>
      <c r="T356" s="24" t="str">
        <f t="shared" si="23"/>
        <v/>
      </c>
      <c r="U356" s="28" t="str">
        <f>IF(D356="","",IF(COUNTIF(D$6:D356,D356)=1,"Nouveau","Fidèle"))</f>
        <v/>
      </c>
    </row>
    <row r="357" spans="1:21" x14ac:dyDescent="0.25">
      <c r="A357" s="41" t="str">
        <f t="shared" si="20"/>
        <v/>
      </c>
      <c r="B357" s="38"/>
      <c r="C357" s="18"/>
      <c r="D357" s="18"/>
      <c r="E357" s="18"/>
      <c r="F357" s="18"/>
      <c r="G357" s="20"/>
      <c r="H357" s="19"/>
      <c r="I357" s="25" t="str">
        <f>IF(F357="","",IF(H357="",IFERROR(INDEX(Catalogue!$I$6:$I$55,MATCH(F357,Catalogue!$B$6:$B$55,0)),0),H357))</f>
        <v/>
      </c>
      <c r="J357" s="19"/>
      <c r="K357" s="25" t="str">
        <f t="shared" si="21"/>
        <v/>
      </c>
      <c r="L357" s="18"/>
      <c r="M357" s="18"/>
      <c r="N357" s="18"/>
      <c r="O357" s="19"/>
      <c r="P357" s="25" t="str">
        <f>IF(F357="","",IF(O357="",IFERROR(INDEX(Catalogue!$G$6:$G$55,MATCH(F357,Catalogue!$B$6:$B$55,0)),0),O357))</f>
        <v/>
      </c>
      <c r="Q357" s="25" t="str">
        <f>IF(F357="","",N(G357)*(IFERROR(INDEX(Catalogue!$E$6:$E$55,MATCH(F357,Catalogue!$B$6:$B$55,0)),0)+IFERROR(INDEX(Catalogue!$F$6:$F$55,MATCH(F357,Catalogue!$B$6:$B$55,0)),0)+IFERROR(INDEX(Catalogue!$H$6:$H$55,MATCH(F357,Catalogue!$B$6:$B$55,0)),0)))</f>
        <v/>
      </c>
      <c r="R357" s="25" t="str">
        <f t="shared" si="22"/>
        <v/>
      </c>
      <c r="S357" s="18"/>
      <c r="T357" s="24" t="str">
        <f t="shared" si="23"/>
        <v/>
      </c>
      <c r="U357" s="28" t="str">
        <f>IF(D357="","",IF(COUNTIF(D$6:D357,D357)=1,"Nouveau","Fidèle"))</f>
        <v/>
      </c>
    </row>
    <row r="358" spans="1:21" x14ac:dyDescent="0.25">
      <c r="A358" s="41" t="str">
        <f t="shared" si="20"/>
        <v/>
      </c>
      <c r="B358" s="38"/>
      <c r="C358" s="18"/>
      <c r="D358" s="18"/>
      <c r="E358" s="18"/>
      <c r="F358" s="18"/>
      <c r="G358" s="20"/>
      <c r="H358" s="19"/>
      <c r="I358" s="25" t="str">
        <f>IF(F358="","",IF(H358="",IFERROR(INDEX(Catalogue!$I$6:$I$55,MATCH(F358,Catalogue!$B$6:$B$55,0)),0),H358))</f>
        <v/>
      </c>
      <c r="J358" s="19"/>
      <c r="K358" s="25" t="str">
        <f t="shared" si="21"/>
        <v/>
      </c>
      <c r="L358" s="18"/>
      <c r="M358" s="18"/>
      <c r="N358" s="18"/>
      <c r="O358" s="19"/>
      <c r="P358" s="25" t="str">
        <f>IF(F358="","",IF(O358="",IFERROR(INDEX(Catalogue!$G$6:$G$55,MATCH(F358,Catalogue!$B$6:$B$55,0)),0),O358))</f>
        <v/>
      </c>
      <c r="Q358" s="25" t="str">
        <f>IF(F358="","",N(G358)*(IFERROR(INDEX(Catalogue!$E$6:$E$55,MATCH(F358,Catalogue!$B$6:$B$55,0)),0)+IFERROR(INDEX(Catalogue!$F$6:$F$55,MATCH(F358,Catalogue!$B$6:$B$55,0)),0)+IFERROR(INDEX(Catalogue!$H$6:$H$55,MATCH(F358,Catalogue!$B$6:$B$55,0)),0)))</f>
        <v/>
      </c>
      <c r="R358" s="25" t="str">
        <f t="shared" si="22"/>
        <v/>
      </c>
      <c r="S358" s="18"/>
      <c r="T358" s="24" t="str">
        <f t="shared" si="23"/>
        <v/>
      </c>
      <c r="U358" s="28" t="str">
        <f>IF(D358="","",IF(COUNTIF(D$6:D358,D358)=1,"Nouveau","Fidèle"))</f>
        <v/>
      </c>
    </row>
    <row r="359" spans="1:21" x14ac:dyDescent="0.25">
      <c r="A359" s="41" t="str">
        <f t="shared" si="20"/>
        <v/>
      </c>
      <c r="B359" s="38"/>
      <c r="C359" s="18"/>
      <c r="D359" s="18"/>
      <c r="E359" s="18"/>
      <c r="F359" s="18"/>
      <c r="G359" s="20"/>
      <c r="H359" s="19"/>
      <c r="I359" s="25" t="str">
        <f>IF(F359="","",IF(H359="",IFERROR(INDEX(Catalogue!$I$6:$I$55,MATCH(F359,Catalogue!$B$6:$B$55,0)),0),H359))</f>
        <v/>
      </c>
      <c r="J359" s="19"/>
      <c r="K359" s="25" t="str">
        <f t="shared" si="21"/>
        <v/>
      </c>
      <c r="L359" s="18"/>
      <c r="M359" s="18"/>
      <c r="N359" s="18"/>
      <c r="O359" s="19"/>
      <c r="P359" s="25" t="str">
        <f>IF(F359="","",IF(O359="",IFERROR(INDEX(Catalogue!$G$6:$G$55,MATCH(F359,Catalogue!$B$6:$B$55,0)),0),O359))</f>
        <v/>
      </c>
      <c r="Q359" s="25" t="str">
        <f>IF(F359="","",N(G359)*(IFERROR(INDEX(Catalogue!$E$6:$E$55,MATCH(F359,Catalogue!$B$6:$B$55,0)),0)+IFERROR(INDEX(Catalogue!$F$6:$F$55,MATCH(F359,Catalogue!$B$6:$B$55,0)),0)+IFERROR(INDEX(Catalogue!$H$6:$H$55,MATCH(F359,Catalogue!$B$6:$B$55,0)),0)))</f>
        <v/>
      </c>
      <c r="R359" s="25" t="str">
        <f t="shared" si="22"/>
        <v/>
      </c>
      <c r="S359" s="18"/>
      <c r="T359" s="24" t="str">
        <f t="shared" si="23"/>
        <v/>
      </c>
      <c r="U359" s="28" t="str">
        <f>IF(D359="","",IF(COUNTIF(D$6:D359,D359)=1,"Nouveau","Fidèle"))</f>
        <v/>
      </c>
    </row>
    <row r="360" spans="1:21" x14ac:dyDescent="0.25">
      <c r="A360" s="41" t="str">
        <f t="shared" si="20"/>
        <v/>
      </c>
      <c r="B360" s="38"/>
      <c r="C360" s="18"/>
      <c r="D360" s="18"/>
      <c r="E360" s="18"/>
      <c r="F360" s="18"/>
      <c r="G360" s="20"/>
      <c r="H360" s="19"/>
      <c r="I360" s="25" t="str">
        <f>IF(F360="","",IF(H360="",IFERROR(INDEX(Catalogue!$I$6:$I$55,MATCH(F360,Catalogue!$B$6:$B$55,0)),0),H360))</f>
        <v/>
      </c>
      <c r="J360" s="19"/>
      <c r="K360" s="25" t="str">
        <f t="shared" si="21"/>
        <v/>
      </c>
      <c r="L360" s="18"/>
      <c r="M360" s="18"/>
      <c r="N360" s="18"/>
      <c r="O360" s="19"/>
      <c r="P360" s="25" t="str">
        <f>IF(F360="","",IF(O360="",IFERROR(INDEX(Catalogue!$G$6:$G$55,MATCH(F360,Catalogue!$B$6:$B$55,0)),0),O360))</f>
        <v/>
      </c>
      <c r="Q360" s="25" t="str">
        <f>IF(F360="","",N(G360)*(IFERROR(INDEX(Catalogue!$E$6:$E$55,MATCH(F360,Catalogue!$B$6:$B$55,0)),0)+IFERROR(INDEX(Catalogue!$F$6:$F$55,MATCH(F360,Catalogue!$B$6:$B$55,0)),0)+IFERROR(INDEX(Catalogue!$H$6:$H$55,MATCH(F360,Catalogue!$B$6:$B$55,0)),0)))</f>
        <v/>
      </c>
      <c r="R360" s="25" t="str">
        <f t="shared" si="22"/>
        <v/>
      </c>
      <c r="S360" s="18"/>
      <c r="T360" s="24" t="str">
        <f t="shared" si="23"/>
        <v/>
      </c>
      <c r="U360" s="28" t="str">
        <f>IF(D360="","",IF(COUNTIF(D$6:D360,D360)=1,"Nouveau","Fidèle"))</f>
        <v/>
      </c>
    </row>
    <row r="361" spans="1:21" x14ac:dyDescent="0.25">
      <c r="A361" s="41" t="str">
        <f t="shared" si="20"/>
        <v/>
      </c>
      <c r="B361" s="38"/>
      <c r="C361" s="18"/>
      <c r="D361" s="18"/>
      <c r="E361" s="18"/>
      <c r="F361" s="18"/>
      <c r="G361" s="20"/>
      <c r="H361" s="19"/>
      <c r="I361" s="25" t="str">
        <f>IF(F361="","",IF(H361="",IFERROR(INDEX(Catalogue!$I$6:$I$55,MATCH(F361,Catalogue!$B$6:$B$55,0)),0),H361))</f>
        <v/>
      </c>
      <c r="J361" s="19"/>
      <c r="K361" s="25" t="str">
        <f t="shared" si="21"/>
        <v/>
      </c>
      <c r="L361" s="18"/>
      <c r="M361" s="18"/>
      <c r="N361" s="18"/>
      <c r="O361" s="19"/>
      <c r="P361" s="25" t="str">
        <f>IF(F361="","",IF(O361="",IFERROR(INDEX(Catalogue!$G$6:$G$55,MATCH(F361,Catalogue!$B$6:$B$55,0)),0),O361))</f>
        <v/>
      </c>
      <c r="Q361" s="25" t="str">
        <f>IF(F361="","",N(G361)*(IFERROR(INDEX(Catalogue!$E$6:$E$55,MATCH(F361,Catalogue!$B$6:$B$55,0)),0)+IFERROR(INDEX(Catalogue!$F$6:$F$55,MATCH(F361,Catalogue!$B$6:$B$55,0)),0)+IFERROR(INDEX(Catalogue!$H$6:$H$55,MATCH(F361,Catalogue!$B$6:$B$55,0)),0)))</f>
        <v/>
      </c>
      <c r="R361" s="25" t="str">
        <f t="shared" si="22"/>
        <v/>
      </c>
      <c r="S361" s="18"/>
      <c r="T361" s="24" t="str">
        <f t="shared" si="23"/>
        <v/>
      </c>
      <c r="U361" s="28" t="str">
        <f>IF(D361="","",IF(COUNTIF(D$6:D361,D361)=1,"Nouveau","Fidèle"))</f>
        <v/>
      </c>
    </row>
    <row r="362" spans="1:21" x14ac:dyDescent="0.25">
      <c r="A362" s="41" t="str">
        <f t="shared" si="20"/>
        <v/>
      </c>
      <c r="B362" s="38"/>
      <c r="C362" s="18"/>
      <c r="D362" s="18"/>
      <c r="E362" s="18"/>
      <c r="F362" s="18"/>
      <c r="G362" s="20"/>
      <c r="H362" s="19"/>
      <c r="I362" s="25" t="str">
        <f>IF(F362="","",IF(H362="",IFERROR(INDEX(Catalogue!$I$6:$I$55,MATCH(F362,Catalogue!$B$6:$B$55,0)),0),H362))</f>
        <v/>
      </c>
      <c r="J362" s="19"/>
      <c r="K362" s="25" t="str">
        <f t="shared" si="21"/>
        <v/>
      </c>
      <c r="L362" s="18"/>
      <c r="M362" s="18"/>
      <c r="N362" s="18"/>
      <c r="O362" s="19"/>
      <c r="P362" s="25" t="str">
        <f>IF(F362="","",IF(O362="",IFERROR(INDEX(Catalogue!$G$6:$G$55,MATCH(F362,Catalogue!$B$6:$B$55,0)),0),O362))</f>
        <v/>
      </c>
      <c r="Q362" s="25" t="str">
        <f>IF(F362="","",N(G362)*(IFERROR(INDEX(Catalogue!$E$6:$E$55,MATCH(F362,Catalogue!$B$6:$B$55,0)),0)+IFERROR(INDEX(Catalogue!$F$6:$F$55,MATCH(F362,Catalogue!$B$6:$B$55,0)),0)+IFERROR(INDEX(Catalogue!$H$6:$H$55,MATCH(F362,Catalogue!$B$6:$B$55,0)),0)))</f>
        <v/>
      </c>
      <c r="R362" s="25" t="str">
        <f t="shared" si="22"/>
        <v/>
      </c>
      <c r="S362" s="18"/>
      <c r="T362" s="24" t="str">
        <f t="shared" si="23"/>
        <v/>
      </c>
      <c r="U362" s="28" t="str">
        <f>IF(D362="","",IF(COUNTIF(D$6:D362,D362)=1,"Nouveau","Fidèle"))</f>
        <v/>
      </c>
    </row>
    <row r="363" spans="1:21" x14ac:dyDescent="0.25">
      <c r="A363" s="41" t="str">
        <f t="shared" si="20"/>
        <v/>
      </c>
      <c r="B363" s="38"/>
      <c r="C363" s="18"/>
      <c r="D363" s="18"/>
      <c r="E363" s="18"/>
      <c r="F363" s="18"/>
      <c r="G363" s="20"/>
      <c r="H363" s="19"/>
      <c r="I363" s="25" t="str">
        <f>IF(F363="","",IF(H363="",IFERROR(INDEX(Catalogue!$I$6:$I$55,MATCH(F363,Catalogue!$B$6:$B$55,0)),0),H363))</f>
        <v/>
      </c>
      <c r="J363" s="19"/>
      <c r="K363" s="25" t="str">
        <f t="shared" si="21"/>
        <v/>
      </c>
      <c r="L363" s="18"/>
      <c r="M363" s="18"/>
      <c r="N363" s="18"/>
      <c r="O363" s="19"/>
      <c r="P363" s="25" t="str">
        <f>IF(F363="","",IF(O363="",IFERROR(INDEX(Catalogue!$G$6:$G$55,MATCH(F363,Catalogue!$B$6:$B$55,0)),0),O363))</f>
        <v/>
      </c>
      <c r="Q363" s="25" t="str">
        <f>IF(F363="","",N(G363)*(IFERROR(INDEX(Catalogue!$E$6:$E$55,MATCH(F363,Catalogue!$B$6:$B$55,0)),0)+IFERROR(INDEX(Catalogue!$F$6:$F$55,MATCH(F363,Catalogue!$B$6:$B$55,0)),0)+IFERROR(INDEX(Catalogue!$H$6:$H$55,MATCH(F363,Catalogue!$B$6:$B$55,0)),0)))</f>
        <v/>
      </c>
      <c r="R363" s="25" t="str">
        <f t="shared" si="22"/>
        <v/>
      </c>
      <c r="S363" s="18"/>
      <c r="T363" s="24" t="str">
        <f t="shared" si="23"/>
        <v/>
      </c>
      <c r="U363" s="28" t="str">
        <f>IF(D363="","",IF(COUNTIF(D$6:D363,D363)=1,"Nouveau","Fidèle"))</f>
        <v/>
      </c>
    </row>
    <row r="364" spans="1:21" x14ac:dyDescent="0.25">
      <c r="A364" s="41" t="str">
        <f t="shared" si="20"/>
        <v/>
      </c>
      <c r="B364" s="38"/>
      <c r="C364" s="18"/>
      <c r="D364" s="18"/>
      <c r="E364" s="18"/>
      <c r="F364" s="18"/>
      <c r="G364" s="20"/>
      <c r="H364" s="19"/>
      <c r="I364" s="25" t="str">
        <f>IF(F364="","",IF(H364="",IFERROR(INDEX(Catalogue!$I$6:$I$55,MATCH(F364,Catalogue!$B$6:$B$55,0)),0),H364))</f>
        <v/>
      </c>
      <c r="J364" s="19"/>
      <c r="K364" s="25" t="str">
        <f t="shared" si="21"/>
        <v/>
      </c>
      <c r="L364" s="18"/>
      <c r="M364" s="18"/>
      <c r="N364" s="18"/>
      <c r="O364" s="19"/>
      <c r="P364" s="25" t="str">
        <f>IF(F364="","",IF(O364="",IFERROR(INDEX(Catalogue!$G$6:$G$55,MATCH(F364,Catalogue!$B$6:$B$55,0)),0),O364))</f>
        <v/>
      </c>
      <c r="Q364" s="25" t="str">
        <f>IF(F364="","",N(G364)*(IFERROR(INDEX(Catalogue!$E$6:$E$55,MATCH(F364,Catalogue!$B$6:$B$55,0)),0)+IFERROR(INDEX(Catalogue!$F$6:$F$55,MATCH(F364,Catalogue!$B$6:$B$55,0)),0)+IFERROR(INDEX(Catalogue!$H$6:$H$55,MATCH(F364,Catalogue!$B$6:$B$55,0)),0)))</f>
        <v/>
      </c>
      <c r="R364" s="25" t="str">
        <f t="shared" si="22"/>
        <v/>
      </c>
      <c r="S364" s="18"/>
      <c r="T364" s="24" t="str">
        <f t="shared" si="23"/>
        <v/>
      </c>
      <c r="U364" s="28" t="str">
        <f>IF(D364="","",IF(COUNTIF(D$6:D364,D364)=1,"Nouveau","Fidèle"))</f>
        <v/>
      </c>
    </row>
    <row r="365" spans="1:21" x14ac:dyDescent="0.25">
      <c r="A365" s="41" t="str">
        <f t="shared" si="20"/>
        <v/>
      </c>
      <c r="B365" s="38"/>
      <c r="C365" s="18"/>
      <c r="D365" s="18"/>
      <c r="E365" s="18"/>
      <c r="F365" s="18"/>
      <c r="G365" s="20"/>
      <c r="H365" s="19"/>
      <c r="I365" s="25" t="str">
        <f>IF(F365="","",IF(H365="",IFERROR(INDEX(Catalogue!$I$6:$I$55,MATCH(F365,Catalogue!$B$6:$B$55,0)),0),H365))</f>
        <v/>
      </c>
      <c r="J365" s="19"/>
      <c r="K365" s="25" t="str">
        <f t="shared" si="21"/>
        <v/>
      </c>
      <c r="L365" s="18"/>
      <c r="M365" s="18"/>
      <c r="N365" s="18"/>
      <c r="O365" s="19"/>
      <c r="P365" s="25" t="str">
        <f>IF(F365="","",IF(O365="",IFERROR(INDEX(Catalogue!$G$6:$G$55,MATCH(F365,Catalogue!$B$6:$B$55,0)),0),O365))</f>
        <v/>
      </c>
      <c r="Q365" s="25" t="str">
        <f>IF(F365="","",N(G365)*(IFERROR(INDEX(Catalogue!$E$6:$E$55,MATCH(F365,Catalogue!$B$6:$B$55,0)),0)+IFERROR(INDEX(Catalogue!$F$6:$F$55,MATCH(F365,Catalogue!$B$6:$B$55,0)),0)+IFERROR(INDEX(Catalogue!$H$6:$H$55,MATCH(F365,Catalogue!$B$6:$B$55,0)),0)))</f>
        <v/>
      </c>
      <c r="R365" s="25" t="str">
        <f t="shared" si="22"/>
        <v/>
      </c>
      <c r="S365" s="18"/>
      <c r="T365" s="24" t="str">
        <f t="shared" si="23"/>
        <v/>
      </c>
      <c r="U365" s="28" t="str">
        <f>IF(D365="","",IF(COUNTIF(D$6:D365,D365)=1,"Nouveau","Fidèle"))</f>
        <v/>
      </c>
    </row>
    <row r="366" spans="1:21" x14ac:dyDescent="0.25">
      <c r="A366" s="41" t="str">
        <f t="shared" si="20"/>
        <v/>
      </c>
      <c r="B366" s="38"/>
      <c r="C366" s="18"/>
      <c r="D366" s="18"/>
      <c r="E366" s="18"/>
      <c r="F366" s="18"/>
      <c r="G366" s="20"/>
      <c r="H366" s="19"/>
      <c r="I366" s="25" t="str">
        <f>IF(F366="","",IF(H366="",IFERROR(INDEX(Catalogue!$I$6:$I$55,MATCH(F366,Catalogue!$B$6:$B$55,0)),0),H366))</f>
        <v/>
      </c>
      <c r="J366" s="19"/>
      <c r="K366" s="25" t="str">
        <f t="shared" si="21"/>
        <v/>
      </c>
      <c r="L366" s="18"/>
      <c r="M366" s="18"/>
      <c r="N366" s="18"/>
      <c r="O366" s="19"/>
      <c r="P366" s="25" t="str">
        <f>IF(F366="","",IF(O366="",IFERROR(INDEX(Catalogue!$G$6:$G$55,MATCH(F366,Catalogue!$B$6:$B$55,0)),0),O366))</f>
        <v/>
      </c>
      <c r="Q366" s="25" t="str">
        <f>IF(F366="","",N(G366)*(IFERROR(INDEX(Catalogue!$E$6:$E$55,MATCH(F366,Catalogue!$B$6:$B$55,0)),0)+IFERROR(INDEX(Catalogue!$F$6:$F$55,MATCH(F366,Catalogue!$B$6:$B$55,0)),0)+IFERROR(INDEX(Catalogue!$H$6:$H$55,MATCH(F366,Catalogue!$B$6:$B$55,0)),0)))</f>
        <v/>
      </c>
      <c r="R366" s="25" t="str">
        <f t="shared" si="22"/>
        <v/>
      </c>
      <c r="S366" s="18"/>
      <c r="T366" s="24" t="str">
        <f t="shared" si="23"/>
        <v/>
      </c>
      <c r="U366" s="28" t="str">
        <f>IF(D366="","",IF(COUNTIF(D$6:D366,D366)=1,"Nouveau","Fidèle"))</f>
        <v/>
      </c>
    </row>
    <row r="367" spans="1:21" x14ac:dyDescent="0.25">
      <c r="A367" s="41" t="str">
        <f t="shared" si="20"/>
        <v/>
      </c>
      <c r="B367" s="38"/>
      <c r="C367" s="18"/>
      <c r="D367" s="18"/>
      <c r="E367" s="18"/>
      <c r="F367" s="18"/>
      <c r="G367" s="20"/>
      <c r="H367" s="19"/>
      <c r="I367" s="25" t="str">
        <f>IF(F367="","",IF(H367="",IFERROR(INDEX(Catalogue!$I$6:$I$55,MATCH(F367,Catalogue!$B$6:$B$55,0)),0),H367))</f>
        <v/>
      </c>
      <c r="J367" s="19"/>
      <c r="K367" s="25" t="str">
        <f t="shared" si="21"/>
        <v/>
      </c>
      <c r="L367" s="18"/>
      <c r="M367" s="18"/>
      <c r="N367" s="18"/>
      <c r="O367" s="19"/>
      <c r="P367" s="25" t="str">
        <f>IF(F367="","",IF(O367="",IFERROR(INDEX(Catalogue!$G$6:$G$55,MATCH(F367,Catalogue!$B$6:$B$55,0)),0),O367))</f>
        <v/>
      </c>
      <c r="Q367" s="25" t="str">
        <f>IF(F367="","",N(G367)*(IFERROR(INDEX(Catalogue!$E$6:$E$55,MATCH(F367,Catalogue!$B$6:$B$55,0)),0)+IFERROR(INDEX(Catalogue!$F$6:$F$55,MATCH(F367,Catalogue!$B$6:$B$55,0)),0)+IFERROR(INDEX(Catalogue!$H$6:$H$55,MATCH(F367,Catalogue!$B$6:$B$55,0)),0)))</f>
        <v/>
      </c>
      <c r="R367" s="25" t="str">
        <f t="shared" si="22"/>
        <v/>
      </c>
      <c r="S367" s="18"/>
      <c r="T367" s="24" t="str">
        <f t="shared" si="23"/>
        <v/>
      </c>
      <c r="U367" s="28" t="str">
        <f>IF(D367="","",IF(COUNTIF(D$6:D367,D367)=1,"Nouveau","Fidèle"))</f>
        <v/>
      </c>
    </row>
    <row r="368" spans="1:21" x14ac:dyDescent="0.25">
      <c r="A368" s="41" t="str">
        <f t="shared" si="20"/>
        <v/>
      </c>
      <c r="B368" s="38"/>
      <c r="C368" s="18"/>
      <c r="D368" s="18"/>
      <c r="E368" s="18"/>
      <c r="F368" s="18"/>
      <c r="G368" s="20"/>
      <c r="H368" s="19"/>
      <c r="I368" s="25" t="str">
        <f>IF(F368="","",IF(H368="",IFERROR(INDEX(Catalogue!$I$6:$I$55,MATCH(F368,Catalogue!$B$6:$B$55,0)),0),H368))</f>
        <v/>
      </c>
      <c r="J368" s="19"/>
      <c r="K368" s="25" t="str">
        <f t="shared" si="21"/>
        <v/>
      </c>
      <c r="L368" s="18"/>
      <c r="M368" s="18"/>
      <c r="N368" s="18"/>
      <c r="O368" s="19"/>
      <c r="P368" s="25" t="str">
        <f>IF(F368="","",IF(O368="",IFERROR(INDEX(Catalogue!$G$6:$G$55,MATCH(F368,Catalogue!$B$6:$B$55,0)),0),O368))</f>
        <v/>
      </c>
      <c r="Q368" s="25" t="str">
        <f>IF(F368="","",N(G368)*(IFERROR(INDEX(Catalogue!$E$6:$E$55,MATCH(F368,Catalogue!$B$6:$B$55,0)),0)+IFERROR(INDEX(Catalogue!$F$6:$F$55,MATCH(F368,Catalogue!$B$6:$B$55,0)),0)+IFERROR(INDEX(Catalogue!$H$6:$H$55,MATCH(F368,Catalogue!$B$6:$B$55,0)),0)))</f>
        <v/>
      </c>
      <c r="R368" s="25" t="str">
        <f t="shared" si="22"/>
        <v/>
      </c>
      <c r="S368" s="18"/>
      <c r="T368" s="24" t="str">
        <f t="shared" si="23"/>
        <v/>
      </c>
      <c r="U368" s="28" t="str">
        <f>IF(D368="","",IF(COUNTIF(D$6:D368,D368)=1,"Nouveau","Fidèle"))</f>
        <v/>
      </c>
    </row>
    <row r="369" spans="1:21" x14ac:dyDescent="0.25">
      <c r="A369" s="41" t="str">
        <f t="shared" si="20"/>
        <v/>
      </c>
      <c r="B369" s="38"/>
      <c r="C369" s="18"/>
      <c r="D369" s="18"/>
      <c r="E369" s="18"/>
      <c r="F369" s="18"/>
      <c r="G369" s="20"/>
      <c r="H369" s="19"/>
      <c r="I369" s="25" t="str">
        <f>IF(F369="","",IF(H369="",IFERROR(INDEX(Catalogue!$I$6:$I$55,MATCH(F369,Catalogue!$B$6:$B$55,0)),0),H369))</f>
        <v/>
      </c>
      <c r="J369" s="19"/>
      <c r="K369" s="25" t="str">
        <f t="shared" si="21"/>
        <v/>
      </c>
      <c r="L369" s="18"/>
      <c r="M369" s="18"/>
      <c r="N369" s="18"/>
      <c r="O369" s="19"/>
      <c r="P369" s="25" t="str">
        <f>IF(F369="","",IF(O369="",IFERROR(INDEX(Catalogue!$G$6:$G$55,MATCH(F369,Catalogue!$B$6:$B$55,0)),0),O369))</f>
        <v/>
      </c>
      <c r="Q369" s="25" t="str">
        <f>IF(F369="","",N(G369)*(IFERROR(INDEX(Catalogue!$E$6:$E$55,MATCH(F369,Catalogue!$B$6:$B$55,0)),0)+IFERROR(INDEX(Catalogue!$F$6:$F$55,MATCH(F369,Catalogue!$B$6:$B$55,0)),0)+IFERROR(INDEX(Catalogue!$H$6:$H$55,MATCH(F369,Catalogue!$B$6:$B$55,0)),0)))</f>
        <v/>
      </c>
      <c r="R369" s="25" t="str">
        <f t="shared" si="22"/>
        <v/>
      </c>
      <c r="S369" s="18"/>
      <c r="T369" s="24" t="str">
        <f t="shared" si="23"/>
        <v/>
      </c>
      <c r="U369" s="28" t="str">
        <f>IF(D369="","",IF(COUNTIF(D$6:D369,D369)=1,"Nouveau","Fidèle"))</f>
        <v/>
      </c>
    </row>
    <row r="370" spans="1:21" x14ac:dyDescent="0.25">
      <c r="A370" s="41" t="str">
        <f t="shared" si="20"/>
        <v/>
      </c>
      <c r="B370" s="38"/>
      <c r="C370" s="18"/>
      <c r="D370" s="18"/>
      <c r="E370" s="18"/>
      <c r="F370" s="18"/>
      <c r="G370" s="20"/>
      <c r="H370" s="19"/>
      <c r="I370" s="25" t="str">
        <f>IF(F370="","",IF(H370="",IFERROR(INDEX(Catalogue!$I$6:$I$55,MATCH(F370,Catalogue!$B$6:$B$55,0)),0),H370))</f>
        <v/>
      </c>
      <c r="J370" s="19"/>
      <c r="K370" s="25" t="str">
        <f t="shared" si="21"/>
        <v/>
      </c>
      <c r="L370" s="18"/>
      <c r="M370" s="18"/>
      <c r="N370" s="18"/>
      <c r="O370" s="19"/>
      <c r="P370" s="25" t="str">
        <f>IF(F370="","",IF(O370="",IFERROR(INDEX(Catalogue!$G$6:$G$55,MATCH(F370,Catalogue!$B$6:$B$55,0)),0),O370))</f>
        <v/>
      </c>
      <c r="Q370" s="25" t="str">
        <f>IF(F370="","",N(G370)*(IFERROR(INDEX(Catalogue!$E$6:$E$55,MATCH(F370,Catalogue!$B$6:$B$55,0)),0)+IFERROR(INDEX(Catalogue!$F$6:$F$55,MATCH(F370,Catalogue!$B$6:$B$55,0)),0)+IFERROR(INDEX(Catalogue!$H$6:$H$55,MATCH(F370,Catalogue!$B$6:$B$55,0)),0)))</f>
        <v/>
      </c>
      <c r="R370" s="25" t="str">
        <f t="shared" si="22"/>
        <v/>
      </c>
      <c r="S370" s="18"/>
      <c r="T370" s="24" t="str">
        <f t="shared" si="23"/>
        <v/>
      </c>
      <c r="U370" s="28" t="str">
        <f>IF(D370="","",IF(COUNTIF(D$6:D370,D370)=1,"Nouveau","Fidèle"))</f>
        <v/>
      </c>
    </row>
    <row r="371" spans="1:21" x14ac:dyDescent="0.25">
      <c r="A371" s="41" t="str">
        <f t="shared" si="20"/>
        <v/>
      </c>
      <c r="B371" s="38"/>
      <c r="C371" s="18"/>
      <c r="D371" s="18"/>
      <c r="E371" s="18"/>
      <c r="F371" s="18"/>
      <c r="G371" s="20"/>
      <c r="H371" s="19"/>
      <c r="I371" s="25" t="str">
        <f>IF(F371="","",IF(H371="",IFERROR(INDEX(Catalogue!$I$6:$I$55,MATCH(F371,Catalogue!$B$6:$B$55,0)),0),H371))</f>
        <v/>
      </c>
      <c r="J371" s="19"/>
      <c r="K371" s="25" t="str">
        <f t="shared" si="21"/>
        <v/>
      </c>
      <c r="L371" s="18"/>
      <c r="M371" s="18"/>
      <c r="N371" s="18"/>
      <c r="O371" s="19"/>
      <c r="P371" s="25" t="str">
        <f>IF(F371="","",IF(O371="",IFERROR(INDEX(Catalogue!$G$6:$G$55,MATCH(F371,Catalogue!$B$6:$B$55,0)),0),O371))</f>
        <v/>
      </c>
      <c r="Q371" s="25" t="str">
        <f>IF(F371="","",N(G371)*(IFERROR(INDEX(Catalogue!$E$6:$E$55,MATCH(F371,Catalogue!$B$6:$B$55,0)),0)+IFERROR(INDEX(Catalogue!$F$6:$F$55,MATCH(F371,Catalogue!$B$6:$B$55,0)),0)+IFERROR(INDEX(Catalogue!$H$6:$H$55,MATCH(F371,Catalogue!$B$6:$B$55,0)),0)))</f>
        <v/>
      </c>
      <c r="R371" s="25" t="str">
        <f t="shared" si="22"/>
        <v/>
      </c>
      <c r="S371" s="18"/>
      <c r="T371" s="24" t="str">
        <f t="shared" si="23"/>
        <v/>
      </c>
      <c r="U371" s="28" t="str">
        <f>IF(D371="","",IF(COUNTIF(D$6:D371,D371)=1,"Nouveau","Fidèle"))</f>
        <v/>
      </c>
    </row>
    <row r="372" spans="1:21" x14ac:dyDescent="0.25">
      <c r="A372" s="41" t="str">
        <f t="shared" si="20"/>
        <v/>
      </c>
      <c r="B372" s="38"/>
      <c r="C372" s="18"/>
      <c r="D372" s="18"/>
      <c r="E372" s="18"/>
      <c r="F372" s="18"/>
      <c r="G372" s="20"/>
      <c r="H372" s="19"/>
      <c r="I372" s="25" t="str">
        <f>IF(F372="","",IF(H372="",IFERROR(INDEX(Catalogue!$I$6:$I$55,MATCH(F372,Catalogue!$B$6:$B$55,0)),0),H372))</f>
        <v/>
      </c>
      <c r="J372" s="19"/>
      <c r="K372" s="25" t="str">
        <f t="shared" si="21"/>
        <v/>
      </c>
      <c r="L372" s="18"/>
      <c r="M372" s="18"/>
      <c r="N372" s="18"/>
      <c r="O372" s="19"/>
      <c r="P372" s="25" t="str">
        <f>IF(F372="","",IF(O372="",IFERROR(INDEX(Catalogue!$G$6:$G$55,MATCH(F372,Catalogue!$B$6:$B$55,0)),0),O372))</f>
        <v/>
      </c>
      <c r="Q372" s="25" t="str">
        <f>IF(F372="","",N(G372)*(IFERROR(INDEX(Catalogue!$E$6:$E$55,MATCH(F372,Catalogue!$B$6:$B$55,0)),0)+IFERROR(INDEX(Catalogue!$F$6:$F$55,MATCH(F372,Catalogue!$B$6:$B$55,0)),0)+IFERROR(INDEX(Catalogue!$H$6:$H$55,MATCH(F372,Catalogue!$B$6:$B$55,0)),0)))</f>
        <v/>
      </c>
      <c r="R372" s="25" t="str">
        <f t="shared" si="22"/>
        <v/>
      </c>
      <c r="S372" s="18"/>
      <c r="T372" s="24" t="str">
        <f t="shared" si="23"/>
        <v/>
      </c>
      <c r="U372" s="28" t="str">
        <f>IF(D372="","",IF(COUNTIF(D$6:D372,D372)=1,"Nouveau","Fidèle"))</f>
        <v/>
      </c>
    </row>
    <row r="373" spans="1:21" x14ac:dyDescent="0.25">
      <c r="A373" s="41" t="str">
        <f t="shared" si="20"/>
        <v/>
      </c>
      <c r="B373" s="38"/>
      <c r="C373" s="18"/>
      <c r="D373" s="18"/>
      <c r="E373" s="18"/>
      <c r="F373" s="18"/>
      <c r="G373" s="20"/>
      <c r="H373" s="19"/>
      <c r="I373" s="25" t="str">
        <f>IF(F373="","",IF(H373="",IFERROR(INDEX(Catalogue!$I$6:$I$55,MATCH(F373,Catalogue!$B$6:$B$55,0)),0),H373))</f>
        <v/>
      </c>
      <c r="J373" s="19"/>
      <c r="K373" s="25" t="str">
        <f t="shared" si="21"/>
        <v/>
      </c>
      <c r="L373" s="18"/>
      <c r="M373" s="18"/>
      <c r="N373" s="18"/>
      <c r="O373" s="19"/>
      <c r="P373" s="25" t="str">
        <f>IF(F373="","",IF(O373="",IFERROR(INDEX(Catalogue!$G$6:$G$55,MATCH(F373,Catalogue!$B$6:$B$55,0)),0),O373))</f>
        <v/>
      </c>
      <c r="Q373" s="25" t="str">
        <f>IF(F373="","",N(G373)*(IFERROR(INDEX(Catalogue!$E$6:$E$55,MATCH(F373,Catalogue!$B$6:$B$55,0)),0)+IFERROR(INDEX(Catalogue!$F$6:$F$55,MATCH(F373,Catalogue!$B$6:$B$55,0)),0)+IFERROR(INDEX(Catalogue!$H$6:$H$55,MATCH(F373,Catalogue!$B$6:$B$55,0)),0)))</f>
        <v/>
      </c>
      <c r="R373" s="25" t="str">
        <f t="shared" si="22"/>
        <v/>
      </c>
      <c r="S373" s="18"/>
      <c r="T373" s="24" t="str">
        <f t="shared" si="23"/>
        <v/>
      </c>
      <c r="U373" s="28" t="str">
        <f>IF(D373="","",IF(COUNTIF(D$6:D373,D373)=1,"Nouveau","Fidèle"))</f>
        <v/>
      </c>
    </row>
    <row r="374" spans="1:21" x14ac:dyDescent="0.25">
      <c r="A374" s="41" t="str">
        <f t="shared" si="20"/>
        <v/>
      </c>
      <c r="B374" s="38"/>
      <c r="C374" s="18"/>
      <c r="D374" s="18"/>
      <c r="E374" s="18"/>
      <c r="F374" s="18"/>
      <c r="G374" s="20"/>
      <c r="H374" s="19"/>
      <c r="I374" s="25" t="str">
        <f>IF(F374="","",IF(H374="",IFERROR(INDEX(Catalogue!$I$6:$I$55,MATCH(F374,Catalogue!$B$6:$B$55,0)),0),H374))</f>
        <v/>
      </c>
      <c r="J374" s="19"/>
      <c r="K374" s="25" t="str">
        <f t="shared" si="21"/>
        <v/>
      </c>
      <c r="L374" s="18"/>
      <c r="M374" s="18"/>
      <c r="N374" s="18"/>
      <c r="O374" s="19"/>
      <c r="P374" s="25" t="str">
        <f>IF(F374="","",IF(O374="",IFERROR(INDEX(Catalogue!$G$6:$G$55,MATCH(F374,Catalogue!$B$6:$B$55,0)),0),O374))</f>
        <v/>
      </c>
      <c r="Q374" s="25" t="str">
        <f>IF(F374="","",N(G374)*(IFERROR(INDEX(Catalogue!$E$6:$E$55,MATCH(F374,Catalogue!$B$6:$B$55,0)),0)+IFERROR(INDEX(Catalogue!$F$6:$F$55,MATCH(F374,Catalogue!$B$6:$B$55,0)),0)+IFERROR(INDEX(Catalogue!$H$6:$H$55,MATCH(F374,Catalogue!$B$6:$B$55,0)),0)))</f>
        <v/>
      </c>
      <c r="R374" s="25" t="str">
        <f t="shared" si="22"/>
        <v/>
      </c>
      <c r="S374" s="18"/>
      <c r="T374" s="24" t="str">
        <f t="shared" si="23"/>
        <v/>
      </c>
      <c r="U374" s="28" t="str">
        <f>IF(D374="","",IF(COUNTIF(D$6:D374,D374)=1,"Nouveau","Fidèle"))</f>
        <v/>
      </c>
    </row>
    <row r="375" spans="1:21" x14ac:dyDescent="0.25">
      <c r="A375" s="41" t="str">
        <f t="shared" si="20"/>
        <v/>
      </c>
      <c r="B375" s="38"/>
      <c r="C375" s="18"/>
      <c r="D375" s="18"/>
      <c r="E375" s="18"/>
      <c r="F375" s="18"/>
      <c r="G375" s="20"/>
      <c r="H375" s="19"/>
      <c r="I375" s="25" t="str">
        <f>IF(F375="","",IF(H375="",IFERROR(INDEX(Catalogue!$I$6:$I$55,MATCH(F375,Catalogue!$B$6:$B$55,0)),0),H375))</f>
        <v/>
      </c>
      <c r="J375" s="19"/>
      <c r="K375" s="25" t="str">
        <f t="shared" si="21"/>
        <v/>
      </c>
      <c r="L375" s="18"/>
      <c r="M375" s="18"/>
      <c r="N375" s="18"/>
      <c r="O375" s="19"/>
      <c r="P375" s="25" t="str">
        <f>IF(F375="","",IF(O375="",IFERROR(INDEX(Catalogue!$G$6:$G$55,MATCH(F375,Catalogue!$B$6:$B$55,0)),0),O375))</f>
        <v/>
      </c>
      <c r="Q375" s="25" t="str">
        <f>IF(F375="","",N(G375)*(IFERROR(INDEX(Catalogue!$E$6:$E$55,MATCH(F375,Catalogue!$B$6:$B$55,0)),0)+IFERROR(INDEX(Catalogue!$F$6:$F$55,MATCH(F375,Catalogue!$B$6:$B$55,0)),0)+IFERROR(INDEX(Catalogue!$H$6:$H$55,MATCH(F375,Catalogue!$B$6:$B$55,0)),0)))</f>
        <v/>
      </c>
      <c r="R375" s="25" t="str">
        <f t="shared" si="22"/>
        <v/>
      </c>
      <c r="S375" s="18"/>
      <c r="T375" s="24" t="str">
        <f t="shared" si="23"/>
        <v/>
      </c>
      <c r="U375" s="28" t="str">
        <f>IF(D375="","",IF(COUNTIF(D$6:D375,D375)=1,"Nouveau","Fidèle"))</f>
        <v/>
      </c>
    </row>
    <row r="376" spans="1:21" x14ac:dyDescent="0.25">
      <c r="A376" s="41" t="str">
        <f t="shared" si="20"/>
        <v/>
      </c>
      <c r="B376" s="38"/>
      <c r="C376" s="18"/>
      <c r="D376" s="18"/>
      <c r="E376" s="18"/>
      <c r="F376" s="18"/>
      <c r="G376" s="20"/>
      <c r="H376" s="19"/>
      <c r="I376" s="25" t="str">
        <f>IF(F376="","",IF(H376="",IFERROR(INDEX(Catalogue!$I$6:$I$55,MATCH(F376,Catalogue!$B$6:$B$55,0)),0),H376))</f>
        <v/>
      </c>
      <c r="J376" s="19"/>
      <c r="K376" s="25" t="str">
        <f t="shared" si="21"/>
        <v/>
      </c>
      <c r="L376" s="18"/>
      <c r="M376" s="18"/>
      <c r="N376" s="18"/>
      <c r="O376" s="19"/>
      <c r="P376" s="25" t="str">
        <f>IF(F376="","",IF(O376="",IFERROR(INDEX(Catalogue!$G$6:$G$55,MATCH(F376,Catalogue!$B$6:$B$55,0)),0),O376))</f>
        <v/>
      </c>
      <c r="Q376" s="25" t="str">
        <f>IF(F376="","",N(G376)*(IFERROR(INDEX(Catalogue!$E$6:$E$55,MATCH(F376,Catalogue!$B$6:$B$55,0)),0)+IFERROR(INDEX(Catalogue!$F$6:$F$55,MATCH(F376,Catalogue!$B$6:$B$55,0)),0)+IFERROR(INDEX(Catalogue!$H$6:$H$55,MATCH(F376,Catalogue!$B$6:$B$55,0)),0)))</f>
        <v/>
      </c>
      <c r="R376" s="25" t="str">
        <f t="shared" si="22"/>
        <v/>
      </c>
      <c r="S376" s="18"/>
      <c r="T376" s="24" t="str">
        <f t="shared" si="23"/>
        <v/>
      </c>
      <c r="U376" s="28" t="str">
        <f>IF(D376="","",IF(COUNTIF(D$6:D376,D376)=1,"Nouveau","Fidèle"))</f>
        <v/>
      </c>
    </row>
    <row r="377" spans="1:21" x14ac:dyDescent="0.25">
      <c r="A377" s="41" t="str">
        <f t="shared" si="20"/>
        <v/>
      </c>
      <c r="B377" s="38"/>
      <c r="C377" s="18"/>
      <c r="D377" s="18"/>
      <c r="E377" s="18"/>
      <c r="F377" s="18"/>
      <c r="G377" s="20"/>
      <c r="H377" s="19"/>
      <c r="I377" s="25" t="str">
        <f>IF(F377="","",IF(H377="",IFERROR(INDEX(Catalogue!$I$6:$I$55,MATCH(F377,Catalogue!$B$6:$B$55,0)),0),H377))</f>
        <v/>
      </c>
      <c r="J377" s="19"/>
      <c r="K377" s="25" t="str">
        <f t="shared" si="21"/>
        <v/>
      </c>
      <c r="L377" s="18"/>
      <c r="M377" s="18"/>
      <c r="N377" s="18"/>
      <c r="O377" s="19"/>
      <c r="P377" s="25" t="str">
        <f>IF(F377="","",IF(O377="",IFERROR(INDEX(Catalogue!$G$6:$G$55,MATCH(F377,Catalogue!$B$6:$B$55,0)),0),O377))</f>
        <v/>
      </c>
      <c r="Q377" s="25" t="str">
        <f>IF(F377="","",N(G377)*(IFERROR(INDEX(Catalogue!$E$6:$E$55,MATCH(F377,Catalogue!$B$6:$B$55,0)),0)+IFERROR(INDEX(Catalogue!$F$6:$F$55,MATCH(F377,Catalogue!$B$6:$B$55,0)),0)+IFERROR(INDEX(Catalogue!$H$6:$H$55,MATCH(F377,Catalogue!$B$6:$B$55,0)),0)))</f>
        <v/>
      </c>
      <c r="R377" s="25" t="str">
        <f t="shared" si="22"/>
        <v/>
      </c>
      <c r="S377" s="18"/>
      <c r="T377" s="24" t="str">
        <f t="shared" si="23"/>
        <v/>
      </c>
      <c r="U377" s="28" t="str">
        <f>IF(D377="","",IF(COUNTIF(D$6:D377,D377)=1,"Nouveau","Fidèle"))</f>
        <v/>
      </c>
    </row>
    <row r="378" spans="1:21" x14ac:dyDescent="0.25">
      <c r="A378" s="41" t="str">
        <f t="shared" si="20"/>
        <v/>
      </c>
      <c r="B378" s="38"/>
      <c r="C378" s="18"/>
      <c r="D378" s="18"/>
      <c r="E378" s="18"/>
      <c r="F378" s="18"/>
      <c r="G378" s="20"/>
      <c r="H378" s="19"/>
      <c r="I378" s="25" t="str">
        <f>IF(F378="","",IF(H378="",IFERROR(INDEX(Catalogue!$I$6:$I$55,MATCH(F378,Catalogue!$B$6:$B$55,0)),0),H378))</f>
        <v/>
      </c>
      <c r="J378" s="19"/>
      <c r="K378" s="25" t="str">
        <f t="shared" si="21"/>
        <v/>
      </c>
      <c r="L378" s="18"/>
      <c r="M378" s="18"/>
      <c r="N378" s="18"/>
      <c r="O378" s="19"/>
      <c r="P378" s="25" t="str">
        <f>IF(F378="","",IF(O378="",IFERROR(INDEX(Catalogue!$G$6:$G$55,MATCH(F378,Catalogue!$B$6:$B$55,0)),0),O378))</f>
        <v/>
      </c>
      <c r="Q378" s="25" t="str">
        <f>IF(F378="","",N(G378)*(IFERROR(INDEX(Catalogue!$E$6:$E$55,MATCH(F378,Catalogue!$B$6:$B$55,0)),0)+IFERROR(INDEX(Catalogue!$F$6:$F$55,MATCH(F378,Catalogue!$B$6:$B$55,0)),0)+IFERROR(INDEX(Catalogue!$H$6:$H$55,MATCH(F378,Catalogue!$B$6:$B$55,0)),0)))</f>
        <v/>
      </c>
      <c r="R378" s="25" t="str">
        <f t="shared" si="22"/>
        <v/>
      </c>
      <c r="S378" s="18"/>
      <c r="T378" s="24" t="str">
        <f t="shared" si="23"/>
        <v/>
      </c>
      <c r="U378" s="28" t="str">
        <f>IF(D378="","",IF(COUNTIF(D$6:D378,D378)=1,"Nouveau","Fidèle"))</f>
        <v/>
      </c>
    </row>
    <row r="379" spans="1:21" x14ac:dyDescent="0.25">
      <c r="A379" s="41" t="str">
        <f t="shared" si="20"/>
        <v/>
      </c>
      <c r="B379" s="38"/>
      <c r="C379" s="18"/>
      <c r="D379" s="18"/>
      <c r="E379" s="18"/>
      <c r="F379" s="18"/>
      <c r="G379" s="20"/>
      <c r="H379" s="19"/>
      <c r="I379" s="25" t="str">
        <f>IF(F379="","",IF(H379="",IFERROR(INDEX(Catalogue!$I$6:$I$55,MATCH(F379,Catalogue!$B$6:$B$55,0)),0),H379))</f>
        <v/>
      </c>
      <c r="J379" s="19"/>
      <c r="K379" s="25" t="str">
        <f t="shared" si="21"/>
        <v/>
      </c>
      <c r="L379" s="18"/>
      <c r="M379" s="18"/>
      <c r="N379" s="18"/>
      <c r="O379" s="19"/>
      <c r="P379" s="25" t="str">
        <f>IF(F379="","",IF(O379="",IFERROR(INDEX(Catalogue!$G$6:$G$55,MATCH(F379,Catalogue!$B$6:$B$55,0)),0),O379))</f>
        <v/>
      </c>
      <c r="Q379" s="25" t="str">
        <f>IF(F379="","",N(G379)*(IFERROR(INDEX(Catalogue!$E$6:$E$55,MATCH(F379,Catalogue!$B$6:$B$55,0)),0)+IFERROR(INDEX(Catalogue!$F$6:$F$55,MATCH(F379,Catalogue!$B$6:$B$55,0)),0)+IFERROR(INDEX(Catalogue!$H$6:$H$55,MATCH(F379,Catalogue!$B$6:$B$55,0)),0)))</f>
        <v/>
      </c>
      <c r="R379" s="25" t="str">
        <f t="shared" si="22"/>
        <v/>
      </c>
      <c r="S379" s="18"/>
      <c r="T379" s="24" t="str">
        <f t="shared" si="23"/>
        <v/>
      </c>
      <c r="U379" s="28" t="str">
        <f>IF(D379="","",IF(COUNTIF(D$6:D379,D379)=1,"Nouveau","Fidèle"))</f>
        <v/>
      </c>
    </row>
    <row r="380" spans="1:21" x14ac:dyDescent="0.25">
      <c r="A380" s="41" t="str">
        <f t="shared" si="20"/>
        <v/>
      </c>
      <c r="B380" s="38"/>
      <c r="C380" s="18"/>
      <c r="D380" s="18"/>
      <c r="E380" s="18"/>
      <c r="F380" s="18"/>
      <c r="G380" s="20"/>
      <c r="H380" s="19"/>
      <c r="I380" s="25" t="str">
        <f>IF(F380="","",IF(H380="",IFERROR(INDEX(Catalogue!$I$6:$I$55,MATCH(F380,Catalogue!$B$6:$B$55,0)),0),H380))</f>
        <v/>
      </c>
      <c r="J380" s="19"/>
      <c r="K380" s="25" t="str">
        <f t="shared" si="21"/>
        <v/>
      </c>
      <c r="L380" s="18"/>
      <c r="M380" s="18"/>
      <c r="N380" s="18"/>
      <c r="O380" s="19"/>
      <c r="P380" s="25" t="str">
        <f>IF(F380="","",IF(O380="",IFERROR(INDEX(Catalogue!$G$6:$G$55,MATCH(F380,Catalogue!$B$6:$B$55,0)),0),O380))</f>
        <v/>
      </c>
      <c r="Q380" s="25" t="str">
        <f>IF(F380="","",N(G380)*(IFERROR(INDEX(Catalogue!$E$6:$E$55,MATCH(F380,Catalogue!$B$6:$B$55,0)),0)+IFERROR(INDEX(Catalogue!$F$6:$F$55,MATCH(F380,Catalogue!$B$6:$B$55,0)),0)+IFERROR(INDEX(Catalogue!$H$6:$H$55,MATCH(F380,Catalogue!$B$6:$B$55,0)),0)))</f>
        <v/>
      </c>
      <c r="R380" s="25" t="str">
        <f t="shared" si="22"/>
        <v/>
      </c>
      <c r="S380" s="18"/>
      <c r="T380" s="24" t="str">
        <f t="shared" si="23"/>
        <v/>
      </c>
      <c r="U380" s="28" t="str">
        <f>IF(D380="","",IF(COUNTIF(D$6:D380,D380)=1,"Nouveau","Fidèle"))</f>
        <v/>
      </c>
    </row>
    <row r="381" spans="1:21" x14ac:dyDescent="0.25">
      <c r="A381" s="41" t="str">
        <f t="shared" si="20"/>
        <v/>
      </c>
      <c r="B381" s="38"/>
      <c r="C381" s="18"/>
      <c r="D381" s="18"/>
      <c r="E381" s="18"/>
      <c r="F381" s="18"/>
      <c r="G381" s="20"/>
      <c r="H381" s="19"/>
      <c r="I381" s="25" t="str">
        <f>IF(F381="","",IF(H381="",IFERROR(INDEX(Catalogue!$I$6:$I$55,MATCH(F381,Catalogue!$B$6:$B$55,0)),0),H381))</f>
        <v/>
      </c>
      <c r="J381" s="19"/>
      <c r="K381" s="25" t="str">
        <f t="shared" si="21"/>
        <v/>
      </c>
      <c r="L381" s="18"/>
      <c r="M381" s="18"/>
      <c r="N381" s="18"/>
      <c r="O381" s="19"/>
      <c r="P381" s="25" t="str">
        <f>IF(F381="","",IF(O381="",IFERROR(INDEX(Catalogue!$G$6:$G$55,MATCH(F381,Catalogue!$B$6:$B$55,0)),0),O381))</f>
        <v/>
      </c>
      <c r="Q381" s="25" t="str">
        <f>IF(F381="","",N(G381)*(IFERROR(INDEX(Catalogue!$E$6:$E$55,MATCH(F381,Catalogue!$B$6:$B$55,0)),0)+IFERROR(INDEX(Catalogue!$F$6:$F$55,MATCH(F381,Catalogue!$B$6:$B$55,0)),0)+IFERROR(INDEX(Catalogue!$H$6:$H$55,MATCH(F381,Catalogue!$B$6:$B$55,0)),0)))</f>
        <v/>
      </c>
      <c r="R381" s="25" t="str">
        <f t="shared" si="22"/>
        <v/>
      </c>
      <c r="S381" s="18"/>
      <c r="T381" s="24" t="str">
        <f t="shared" si="23"/>
        <v/>
      </c>
      <c r="U381" s="28" t="str">
        <f>IF(D381="","",IF(COUNTIF(D$6:D381,D381)=1,"Nouveau","Fidèle"))</f>
        <v/>
      </c>
    </row>
    <row r="382" spans="1:21" x14ac:dyDescent="0.25">
      <c r="A382" s="41" t="str">
        <f t="shared" si="20"/>
        <v/>
      </c>
      <c r="B382" s="38"/>
      <c r="C382" s="18"/>
      <c r="D382" s="18"/>
      <c r="E382" s="18"/>
      <c r="F382" s="18"/>
      <c r="G382" s="20"/>
      <c r="H382" s="19"/>
      <c r="I382" s="25" t="str">
        <f>IF(F382="","",IF(H382="",IFERROR(INDEX(Catalogue!$I$6:$I$55,MATCH(F382,Catalogue!$B$6:$B$55,0)),0),H382))</f>
        <v/>
      </c>
      <c r="J382" s="19"/>
      <c r="K382" s="25" t="str">
        <f t="shared" si="21"/>
        <v/>
      </c>
      <c r="L382" s="18"/>
      <c r="M382" s="18"/>
      <c r="N382" s="18"/>
      <c r="O382" s="19"/>
      <c r="P382" s="25" t="str">
        <f>IF(F382="","",IF(O382="",IFERROR(INDEX(Catalogue!$G$6:$G$55,MATCH(F382,Catalogue!$B$6:$B$55,0)),0),O382))</f>
        <v/>
      </c>
      <c r="Q382" s="25" t="str">
        <f>IF(F382="","",N(G382)*(IFERROR(INDEX(Catalogue!$E$6:$E$55,MATCH(F382,Catalogue!$B$6:$B$55,0)),0)+IFERROR(INDEX(Catalogue!$F$6:$F$55,MATCH(F382,Catalogue!$B$6:$B$55,0)),0)+IFERROR(INDEX(Catalogue!$H$6:$H$55,MATCH(F382,Catalogue!$B$6:$B$55,0)),0)))</f>
        <v/>
      </c>
      <c r="R382" s="25" t="str">
        <f t="shared" si="22"/>
        <v/>
      </c>
      <c r="S382" s="18"/>
      <c r="T382" s="24" t="str">
        <f t="shared" si="23"/>
        <v/>
      </c>
      <c r="U382" s="28" t="str">
        <f>IF(D382="","",IF(COUNTIF(D$6:D382,D382)=1,"Nouveau","Fidèle"))</f>
        <v/>
      </c>
    </row>
    <row r="383" spans="1:21" x14ac:dyDescent="0.25">
      <c r="A383" s="41" t="str">
        <f t="shared" si="20"/>
        <v/>
      </c>
      <c r="B383" s="38"/>
      <c r="C383" s="18"/>
      <c r="D383" s="18"/>
      <c r="E383" s="18"/>
      <c r="F383" s="18"/>
      <c r="G383" s="20"/>
      <c r="H383" s="19"/>
      <c r="I383" s="25" t="str">
        <f>IF(F383="","",IF(H383="",IFERROR(INDEX(Catalogue!$I$6:$I$55,MATCH(F383,Catalogue!$B$6:$B$55,0)),0),H383))</f>
        <v/>
      </c>
      <c r="J383" s="19"/>
      <c r="K383" s="25" t="str">
        <f t="shared" si="21"/>
        <v/>
      </c>
      <c r="L383" s="18"/>
      <c r="M383" s="18"/>
      <c r="N383" s="18"/>
      <c r="O383" s="19"/>
      <c r="P383" s="25" t="str">
        <f>IF(F383="","",IF(O383="",IFERROR(INDEX(Catalogue!$G$6:$G$55,MATCH(F383,Catalogue!$B$6:$B$55,0)),0),O383))</f>
        <v/>
      </c>
      <c r="Q383" s="25" t="str">
        <f>IF(F383="","",N(G383)*(IFERROR(INDEX(Catalogue!$E$6:$E$55,MATCH(F383,Catalogue!$B$6:$B$55,0)),0)+IFERROR(INDEX(Catalogue!$F$6:$F$55,MATCH(F383,Catalogue!$B$6:$B$55,0)),0)+IFERROR(INDEX(Catalogue!$H$6:$H$55,MATCH(F383,Catalogue!$B$6:$B$55,0)),0)))</f>
        <v/>
      </c>
      <c r="R383" s="25" t="str">
        <f t="shared" si="22"/>
        <v/>
      </c>
      <c r="S383" s="18"/>
      <c r="T383" s="24" t="str">
        <f t="shared" si="23"/>
        <v/>
      </c>
      <c r="U383" s="28" t="str">
        <f>IF(D383="","",IF(COUNTIF(D$6:D383,D383)=1,"Nouveau","Fidèle"))</f>
        <v/>
      </c>
    </row>
    <row r="384" spans="1:21" x14ac:dyDescent="0.25">
      <c r="A384" s="41" t="str">
        <f t="shared" si="20"/>
        <v/>
      </c>
      <c r="B384" s="38"/>
      <c r="C384" s="18"/>
      <c r="D384" s="18"/>
      <c r="E384" s="18"/>
      <c r="F384" s="18"/>
      <c r="G384" s="20"/>
      <c r="H384" s="19"/>
      <c r="I384" s="25" t="str">
        <f>IF(F384="","",IF(H384="",IFERROR(INDEX(Catalogue!$I$6:$I$55,MATCH(F384,Catalogue!$B$6:$B$55,0)),0),H384))</f>
        <v/>
      </c>
      <c r="J384" s="19"/>
      <c r="K384" s="25" t="str">
        <f t="shared" si="21"/>
        <v/>
      </c>
      <c r="L384" s="18"/>
      <c r="M384" s="18"/>
      <c r="N384" s="18"/>
      <c r="O384" s="19"/>
      <c r="P384" s="25" t="str">
        <f>IF(F384="","",IF(O384="",IFERROR(INDEX(Catalogue!$G$6:$G$55,MATCH(F384,Catalogue!$B$6:$B$55,0)),0),O384))</f>
        <v/>
      </c>
      <c r="Q384" s="25" t="str">
        <f>IF(F384="","",N(G384)*(IFERROR(INDEX(Catalogue!$E$6:$E$55,MATCH(F384,Catalogue!$B$6:$B$55,0)),0)+IFERROR(INDEX(Catalogue!$F$6:$F$55,MATCH(F384,Catalogue!$B$6:$B$55,0)),0)+IFERROR(INDEX(Catalogue!$H$6:$H$55,MATCH(F384,Catalogue!$B$6:$B$55,0)),0)))</f>
        <v/>
      </c>
      <c r="R384" s="25" t="str">
        <f t="shared" si="22"/>
        <v/>
      </c>
      <c r="S384" s="18"/>
      <c r="T384" s="24" t="str">
        <f t="shared" si="23"/>
        <v/>
      </c>
      <c r="U384" s="28" t="str">
        <f>IF(D384="","",IF(COUNTIF(D$6:D384,D384)=1,"Nouveau","Fidèle"))</f>
        <v/>
      </c>
    </row>
    <row r="385" spans="1:21" x14ac:dyDescent="0.25">
      <c r="A385" s="41" t="str">
        <f t="shared" si="20"/>
        <v/>
      </c>
      <c r="B385" s="38"/>
      <c r="C385" s="18"/>
      <c r="D385" s="18"/>
      <c r="E385" s="18"/>
      <c r="F385" s="18"/>
      <c r="G385" s="20"/>
      <c r="H385" s="19"/>
      <c r="I385" s="25" t="str">
        <f>IF(F385="","",IF(H385="",IFERROR(INDEX(Catalogue!$I$6:$I$55,MATCH(F385,Catalogue!$B$6:$B$55,0)),0),H385))</f>
        <v/>
      </c>
      <c r="J385" s="19"/>
      <c r="K385" s="25" t="str">
        <f t="shared" si="21"/>
        <v/>
      </c>
      <c r="L385" s="18"/>
      <c r="M385" s="18"/>
      <c r="N385" s="18"/>
      <c r="O385" s="19"/>
      <c r="P385" s="25" t="str">
        <f>IF(F385="","",IF(O385="",IFERROR(INDEX(Catalogue!$G$6:$G$55,MATCH(F385,Catalogue!$B$6:$B$55,0)),0),O385))</f>
        <v/>
      </c>
      <c r="Q385" s="25" t="str">
        <f>IF(F385="","",N(G385)*(IFERROR(INDEX(Catalogue!$E$6:$E$55,MATCH(F385,Catalogue!$B$6:$B$55,0)),0)+IFERROR(INDEX(Catalogue!$F$6:$F$55,MATCH(F385,Catalogue!$B$6:$B$55,0)),0)+IFERROR(INDEX(Catalogue!$H$6:$H$55,MATCH(F385,Catalogue!$B$6:$B$55,0)),0)))</f>
        <v/>
      </c>
      <c r="R385" s="25" t="str">
        <f t="shared" si="22"/>
        <v/>
      </c>
      <c r="S385" s="18"/>
      <c r="T385" s="24" t="str">
        <f t="shared" si="23"/>
        <v/>
      </c>
      <c r="U385" s="28" t="str">
        <f>IF(D385="","",IF(COUNTIF(D$6:D385,D385)=1,"Nouveau","Fidèle"))</f>
        <v/>
      </c>
    </row>
    <row r="386" spans="1:21" x14ac:dyDescent="0.25">
      <c r="A386" s="41" t="str">
        <f t="shared" si="20"/>
        <v/>
      </c>
      <c r="B386" s="38"/>
      <c r="C386" s="18"/>
      <c r="D386" s="18"/>
      <c r="E386" s="18"/>
      <c r="F386" s="18"/>
      <c r="G386" s="20"/>
      <c r="H386" s="19"/>
      <c r="I386" s="25" t="str">
        <f>IF(F386="","",IF(H386="",IFERROR(INDEX(Catalogue!$I$6:$I$55,MATCH(F386,Catalogue!$B$6:$B$55,0)),0),H386))</f>
        <v/>
      </c>
      <c r="J386" s="19"/>
      <c r="K386" s="25" t="str">
        <f t="shared" si="21"/>
        <v/>
      </c>
      <c r="L386" s="18"/>
      <c r="M386" s="18"/>
      <c r="N386" s="18"/>
      <c r="O386" s="19"/>
      <c r="P386" s="25" t="str">
        <f>IF(F386="","",IF(O386="",IFERROR(INDEX(Catalogue!$G$6:$G$55,MATCH(F386,Catalogue!$B$6:$B$55,0)),0),O386))</f>
        <v/>
      </c>
      <c r="Q386" s="25" t="str">
        <f>IF(F386="","",N(G386)*(IFERROR(INDEX(Catalogue!$E$6:$E$55,MATCH(F386,Catalogue!$B$6:$B$55,0)),0)+IFERROR(INDEX(Catalogue!$F$6:$F$55,MATCH(F386,Catalogue!$B$6:$B$55,0)),0)+IFERROR(INDEX(Catalogue!$H$6:$H$55,MATCH(F386,Catalogue!$B$6:$B$55,0)),0)))</f>
        <v/>
      </c>
      <c r="R386" s="25" t="str">
        <f t="shared" si="22"/>
        <v/>
      </c>
      <c r="S386" s="18"/>
      <c r="T386" s="24" t="str">
        <f t="shared" si="23"/>
        <v/>
      </c>
      <c r="U386" s="28" t="str">
        <f>IF(D386="","",IF(COUNTIF(D$6:D386,D386)=1,"Nouveau","Fidèle"))</f>
        <v/>
      </c>
    </row>
    <row r="387" spans="1:21" x14ac:dyDescent="0.25">
      <c r="A387" s="41" t="str">
        <f t="shared" si="20"/>
        <v/>
      </c>
      <c r="B387" s="38"/>
      <c r="C387" s="18"/>
      <c r="D387" s="18"/>
      <c r="E387" s="18"/>
      <c r="F387" s="18"/>
      <c r="G387" s="20"/>
      <c r="H387" s="19"/>
      <c r="I387" s="25" t="str">
        <f>IF(F387="","",IF(H387="",IFERROR(INDEX(Catalogue!$I$6:$I$55,MATCH(F387,Catalogue!$B$6:$B$55,0)),0),H387))</f>
        <v/>
      </c>
      <c r="J387" s="19"/>
      <c r="K387" s="25" t="str">
        <f t="shared" si="21"/>
        <v/>
      </c>
      <c r="L387" s="18"/>
      <c r="M387" s="18"/>
      <c r="N387" s="18"/>
      <c r="O387" s="19"/>
      <c r="P387" s="25" t="str">
        <f>IF(F387="","",IF(O387="",IFERROR(INDEX(Catalogue!$G$6:$G$55,MATCH(F387,Catalogue!$B$6:$B$55,0)),0),O387))</f>
        <v/>
      </c>
      <c r="Q387" s="25" t="str">
        <f>IF(F387="","",N(G387)*(IFERROR(INDEX(Catalogue!$E$6:$E$55,MATCH(F387,Catalogue!$B$6:$B$55,0)),0)+IFERROR(INDEX(Catalogue!$F$6:$F$55,MATCH(F387,Catalogue!$B$6:$B$55,0)),0)+IFERROR(INDEX(Catalogue!$H$6:$H$55,MATCH(F387,Catalogue!$B$6:$B$55,0)),0)))</f>
        <v/>
      </c>
      <c r="R387" s="25" t="str">
        <f t="shared" si="22"/>
        <v/>
      </c>
      <c r="S387" s="18"/>
      <c r="T387" s="24" t="str">
        <f t="shared" si="23"/>
        <v/>
      </c>
      <c r="U387" s="28" t="str">
        <f>IF(D387="","",IF(COUNTIF(D$6:D387,D387)=1,"Nouveau","Fidèle"))</f>
        <v/>
      </c>
    </row>
    <row r="388" spans="1:21" x14ac:dyDescent="0.25">
      <c r="A388" s="41" t="str">
        <f t="shared" si="20"/>
        <v/>
      </c>
      <c r="B388" s="38"/>
      <c r="C388" s="18"/>
      <c r="D388" s="18"/>
      <c r="E388" s="18"/>
      <c r="F388" s="18"/>
      <c r="G388" s="20"/>
      <c r="H388" s="19"/>
      <c r="I388" s="25" t="str">
        <f>IF(F388="","",IF(H388="",IFERROR(INDEX(Catalogue!$I$6:$I$55,MATCH(F388,Catalogue!$B$6:$B$55,0)),0),H388))</f>
        <v/>
      </c>
      <c r="J388" s="19"/>
      <c r="K388" s="25" t="str">
        <f t="shared" si="21"/>
        <v/>
      </c>
      <c r="L388" s="18"/>
      <c r="M388" s="18"/>
      <c r="N388" s="18"/>
      <c r="O388" s="19"/>
      <c r="P388" s="25" t="str">
        <f>IF(F388="","",IF(O388="",IFERROR(INDEX(Catalogue!$G$6:$G$55,MATCH(F388,Catalogue!$B$6:$B$55,0)),0),O388))</f>
        <v/>
      </c>
      <c r="Q388" s="25" t="str">
        <f>IF(F388="","",N(G388)*(IFERROR(INDEX(Catalogue!$E$6:$E$55,MATCH(F388,Catalogue!$B$6:$B$55,0)),0)+IFERROR(INDEX(Catalogue!$F$6:$F$55,MATCH(F388,Catalogue!$B$6:$B$55,0)),0)+IFERROR(INDEX(Catalogue!$H$6:$H$55,MATCH(F388,Catalogue!$B$6:$B$55,0)),0)))</f>
        <v/>
      </c>
      <c r="R388" s="25" t="str">
        <f t="shared" si="22"/>
        <v/>
      </c>
      <c r="S388" s="18"/>
      <c r="T388" s="24" t="str">
        <f t="shared" si="23"/>
        <v/>
      </c>
      <c r="U388" s="28" t="str">
        <f>IF(D388="","",IF(COUNTIF(D$6:D388,D388)=1,"Nouveau","Fidèle"))</f>
        <v/>
      </c>
    </row>
    <row r="389" spans="1:21" x14ac:dyDescent="0.25">
      <c r="A389" s="41" t="str">
        <f t="shared" si="20"/>
        <v/>
      </c>
      <c r="B389" s="38"/>
      <c r="C389" s="18"/>
      <c r="D389" s="18"/>
      <c r="E389" s="18"/>
      <c r="F389" s="18"/>
      <c r="G389" s="20"/>
      <c r="H389" s="19"/>
      <c r="I389" s="25" t="str">
        <f>IF(F389="","",IF(H389="",IFERROR(INDEX(Catalogue!$I$6:$I$55,MATCH(F389,Catalogue!$B$6:$B$55,0)),0),H389))</f>
        <v/>
      </c>
      <c r="J389" s="19"/>
      <c r="K389" s="25" t="str">
        <f t="shared" si="21"/>
        <v/>
      </c>
      <c r="L389" s="18"/>
      <c r="M389" s="18"/>
      <c r="N389" s="18"/>
      <c r="O389" s="19"/>
      <c r="P389" s="25" t="str">
        <f>IF(F389="","",IF(O389="",IFERROR(INDEX(Catalogue!$G$6:$G$55,MATCH(F389,Catalogue!$B$6:$B$55,0)),0),O389))</f>
        <v/>
      </c>
      <c r="Q389" s="25" t="str">
        <f>IF(F389="","",N(G389)*(IFERROR(INDEX(Catalogue!$E$6:$E$55,MATCH(F389,Catalogue!$B$6:$B$55,0)),0)+IFERROR(INDEX(Catalogue!$F$6:$F$55,MATCH(F389,Catalogue!$B$6:$B$55,0)),0)+IFERROR(INDEX(Catalogue!$H$6:$H$55,MATCH(F389,Catalogue!$B$6:$B$55,0)),0)))</f>
        <v/>
      </c>
      <c r="R389" s="25" t="str">
        <f t="shared" si="22"/>
        <v/>
      </c>
      <c r="S389" s="18"/>
      <c r="T389" s="24" t="str">
        <f t="shared" si="23"/>
        <v/>
      </c>
      <c r="U389" s="28" t="str">
        <f>IF(D389="","",IF(COUNTIF(D$6:D389,D389)=1,"Nouveau","Fidèle"))</f>
        <v/>
      </c>
    </row>
    <row r="390" spans="1:21" x14ac:dyDescent="0.25">
      <c r="A390" s="41" t="str">
        <f t="shared" ref="A390:A453" si="24">IF(B390="","",ROW()-5)</f>
        <v/>
      </c>
      <c r="B390" s="38"/>
      <c r="C390" s="18"/>
      <c r="D390" s="18"/>
      <c r="E390" s="18"/>
      <c r="F390" s="18"/>
      <c r="G390" s="20"/>
      <c r="H390" s="19"/>
      <c r="I390" s="25" t="str">
        <f>IF(F390="","",IF(H390="",IFERROR(INDEX(Catalogue!$I$6:$I$55,MATCH(F390,Catalogue!$B$6:$B$55,0)),0),H390))</f>
        <v/>
      </c>
      <c r="J390" s="19"/>
      <c r="K390" s="25" t="str">
        <f t="shared" ref="K390:K453" si="25">IF(F390="","",N(G390)*I390-N(J390))</f>
        <v/>
      </c>
      <c r="L390" s="18"/>
      <c r="M390" s="18"/>
      <c r="N390" s="18"/>
      <c r="O390" s="19"/>
      <c r="P390" s="25" t="str">
        <f>IF(F390="","",IF(O390="",IFERROR(INDEX(Catalogue!$G$6:$G$55,MATCH(F390,Catalogue!$B$6:$B$55,0)),0),O390))</f>
        <v/>
      </c>
      <c r="Q390" s="25" t="str">
        <f>IF(F390="","",N(G390)*(IFERROR(INDEX(Catalogue!$E$6:$E$55,MATCH(F390,Catalogue!$B$6:$B$55,0)),0)+IFERROR(INDEX(Catalogue!$F$6:$F$55,MATCH(F390,Catalogue!$B$6:$B$55,0)),0)+IFERROR(INDEX(Catalogue!$H$6:$H$55,MATCH(F390,Catalogue!$B$6:$B$55,0)),0)))</f>
        <v/>
      </c>
      <c r="R390" s="25" t="str">
        <f t="shared" ref="R390:R453" si="26">IF(F390="","",IF(M390="Livrée et payée",K390-Q390-P390,IF(M390="Annulée",-N(P390),0)))</f>
        <v/>
      </c>
      <c r="S390" s="18"/>
      <c r="T390" s="24" t="str">
        <f t="shared" ref="T390:T453" si="27">IF(B390="","",DATE(YEAR(B390),MONTH(B390),1))</f>
        <v/>
      </c>
      <c r="U390" s="28" t="str">
        <f>IF(D390="","",IF(COUNTIF(D$6:D390,D390)=1,"Nouveau","Fidèle"))</f>
        <v/>
      </c>
    </row>
    <row r="391" spans="1:21" x14ac:dyDescent="0.25">
      <c r="A391" s="41" t="str">
        <f t="shared" si="24"/>
        <v/>
      </c>
      <c r="B391" s="38"/>
      <c r="C391" s="18"/>
      <c r="D391" s="18"/>
      <c r="E391" s="18"/>
      <c r="F391" s="18"/>
      <c r="G391" s="20"/>
      <c r="H391" s="19"/>
      <c r="I391" s="25" t="str">
        <f>IF(F391="","",IF(H391="",IFERROR(INDEX(Catalogue!$I$6:$I$55,MATCH(F391,Catalogue!$B$6:$B$55,0)),0),H391))</f>
        <v/>
      </c>
      <c r="J391" s="19"/>
      <c r="K391" s="25" t="str">
        <f t="shared" si="25"/>
        <v/>
      </c>
      <c r="L391" s="18"/>
      <c r="M391" s="18"/>
      <c r="N391" s="18"/>
      <c r="O391" s="19"/>
      <c r="P391" s="25" t="str">
        <f>IF(F391="","",IF(O391="",IFERROR(INDEX(Catalogue!$G$6:$G$55,MATCH(F391,Catalogue!$B$6:$B$55,0)),0),O391))</f>
        <v/>
      </c>
      <c r="Q391" s="25" t="str">
        <f>IF(F391="","",N(G391)*(IFERROR(INDEX(Catalogue!$E$6:$E$55,MATCH(F391,Catalogue!$B$6:$B$55,0)),0)+IFERROR(INDEX(Catalogue!$F$6:$F$55,MATCH(F391,Catalogue!$B$6:$B$55,0)),0)+IFERROR(INDEX(Catalogue!$H$6:$H$55,MATCH(F391,Catalogue!$B$6:$B$55,0)),0)))</f>
        <v/>
      </c>
      <c r="R391" s="25" t="str">
        <f t="shared" si="26"/>
        <v/>
      </c>
      <c r="S391" s="18"/>
      <c r="T391" s="24" t="str">
        <f t="shared" si="27"/>
        <v/>
      </c>
      <c r="U391" s="28" t="str">
        <f>IF(D391="","",IF(COUNTIF(D$6:D391,D391)=1,"Nouveau","Fidèle"))</f>
        <v/>
      </c>
    </row>
    <row r="392" spans="1:21" x14ac:dyDescent="0.25">
      <c r="A392" s="41" t="str">
        <f t="shared" si="24"/>
        <v/>
      </c>
      <c r="B392" s="38"/>
      <c r="C392" s="18"/>
      <c r="D392" s="18"/>
      <c r="E392" s="18"/>
      <c r="F392" s="18"/>
      <c r="G392" s="20"/>
      <c r="H392" s="19"/>
      <c r="I392" s="25" t="str">
        <f>IF(F392="","",IF(H392="",IFERROR(INDEX(Catalogue!$I$6:$I$55,MATCH(F392,Catalogue!$B$6:$B$55,0)),0),H392))</f>
        <v/>
      </c>
      <c r="J392" s="19"/>
      <c r="K392" s="25" t="str">
        <f t="shared" si="25"/>
        <v/>
      </c>
      <c r="L392" s="18"/>
      <c r="M392" s="18"/>
      <c r="N392" s="18"/>
      <c r="O392" s="19"/>
      <c r="P392" s="25" t="str">
        <f>IF(F392="","",IF(O392="",IFERROR(INDEX(Catalogue!$G$6:$G$55,MATCH(F392,Catalogue!$B$6:$B$55,0)),0),O392))</f>
        <v/>
      </c>
      <c r="Q392" s="25" t="str">
        <f>IF(F392="","",N(G392)*(IFERROR(INDEX(Catalogue!$E$6:$E$55,MATCH(F392,Catalogue!$B$6:$B$55,0)),0)+IFERROR(INDEX(Catalogue!$F$6:$F$55,MATCH(F392,Catalogue!$B$6:$B$55,0)),0)+IFERROR(INDEX(Catalogue!$H$6:$H$55,MATCH(F392,Catalogue!$B$6:$B$55,0)),0)))</f>
        <v/>
      </c>
      <c r="R392" s="25" t="str">
        <f t="shared" si="26"/>
        <v/>
      </c>
      <c r="S392" s="18"/>
      <c r="T392" s="24" t="str">
        <f t="shared" si="27"/>
        <v/>
      </c>
      <c r="U392" s="28" t="str">
        <f>IF(D392="","",IF(COUNTIF(D$6:D392,D392)=1,"Nouveau","Fidèle"))</f>
        <v/>
      </c>
    </row>
    <row r="393" spans="1:21" x14ac:dyDescent="0.25">
      <c r="A393" s="41" t="str">
        <f t="shared" si="24"/>
        <v/>
      </c>
      <c r="B393" s="38"/>
      <c r="C393" s="18"/>
      <c r="D393" s="18"/>
      <c r="E393" s="18"/>
      <c r="F393" s="18"/>
      <c r="G393" s="20"/>
      <c r="H393" s="19"/>
      <c r="I393" s="25" t="str">
        <f>IF(F393="","",IF(H393="",IFERROR(INDEX(Catalogue!$I$6:$I$55,MATCH(F393,Catalogue!$B$6:$B$55,0)),0),H393))</f>
        <v/>
      </c>
      <c r="J393" s="19"/>
      <c r="K393" s="25" t="str">
        <f t="shared" si="25"/>
        <v/>
      </c>
      <c r="L393" s="18"/>
      <c r="M393" s="18"/>
      <c r="N393" s="18"/>
      <c r="O393" s="19"/>
      <c r="P393" s="25" t="str">
        <f>IF(F393="","",IF(O393="",IFERROR(INDEX(Catalogue!$G$6:$G$55,MATCH(F393,Catalogue!$B$6:$B$55,0)),0),O393))</f>
        <v/>
      </c>
      <c r="Q393" s="25" t="str">
        <f>IF(F393="","",N(G393)*(IFERROR(INDEX(Catalogue!$E$6:$E$55,MATCH(F393,Catalogue!$B$6:$B$55,0)),0)+IFERROR(INDEX(Catalogue!$F$6:$F$55,MATCH(F393,Catalogue!$B$6:$B$55,0)),0)+IFERROR(INDEX(Catalogue!$H$6:$H$55,MATCH(F393,Catalogue!$B$6:$B$55,0)),0)))</f>
        <v/>
      </c>
      <c r="R393" s="25" t="str">
        <f t="shared" si="26"/>
        <v/>
      </c>
      <c r="S393" s="18"/>
      <c r="T393" s="24" t="str">
        <f t="shared" si="27"/>
        <v/>
      </c>
      <c r="U393" s="28" t="str">
        <f>IF(D393="","",IF(COUNTIF(D$6:D393,D393)=1,"Nouveau","Fidèle"))</f>
        <v/>
      </c>
    </row>
    <row r="394" spans="1:21" x14ac:dyDescent="0.25">
      <c r="A394" s="41" t="str">
        <f t="shared" si="24"/>
        <v/>
      </c>
      <c r="B394" s="38"/>
      <c r="C394" s="18"/>
      <c r="D394" s="18"/>
      <c r="E394" s="18"/>
      <c r="F394" s="18"/>
      <c r="G394" s="20"/>
      <c r="H394" s="19"/>
      <c r="I394" s="25" t="str">
        <f>IF(F394="","",IF(H394="",IFERROR(INDEX(Catalogue!$I$6:$I$55,MATCH(F394,Catalogue!$B$6:$B$55,0)),0),H394))</f>
        <v/>
      </c>
      <c r="J394" s="19"/>
      <c r="K394" s="25" t="str">
        <f t="shared" si="25"/>
        <v/>
      </c>
      <c r="L394" s="18"/>
      <c r="M394" s="18"/>
      <c r="N394" s="18"/>
      <c r="O394" s="19"/>
      <c r="P394" s="25" t="str">
        <f>IF(F394="","",IF(O394="",IFERROR(INDEX(Catalogue!$G$6:$G$55,MATCH(F394,Catalogue!$B$6:$B$55,0)),0),O394))</f>
        <v/>
      </c>
      <c r="Q394" s="25" t="str">
        <f>IF(F394="","",N(G394)*(IFERROR(INDEX(Catalogue!$E$6:$E$55,MATCH(F394,Catalogue!$B$6:$B$55,0)),0)+IFERROR(INDEX(Catalogue!$F$6:$F$55,MATCH(F394,Catalogue!$B$6:$B$55,0)),0)+IFERROR(INDEX(Catalogue!$H$6:$H$55,MATCH(F394,Catalogue!$B$6:$B$55,0)),0)))</f>
        <v/>
      </c>
      <c r="R394" s="25" t="str">
        <f t="shared" si="26"/>
        <v/>
      </c>
      <c r="S394" s="18"/>
      <c r="T394" s="24" t="str">
        <f t="shared" si="27"/>
        <v/>
      </c>
      <c r="U394" s="28" t="str">
        <f>IF(D394="","",IF(COUNTIF(D$6:D394,D394)=1,"Nouveau","Fidèle"))</f>
        <v/>
      </c>
    </row>
    <row r="395" spans="1:21" x14ac:dyDescent="0.25">
      <c r="A395" s="41" t="str">
        <f t="shared" si="24"/>
        <v/>
      </c>
      <c r="B395" s="38"/>
      <c r="C395" s="18"/>
      <c r="D395" s="18"/>
      <c r="E395" s="18"/>
      <c r="F395" s="18"/>
      <c r="G395" s="20"/>
      <c r="H395" s="19"/>
      <c r="I395" s="25" t="str">
        <f>IF(F395="","",IF(H395="",IFERROR(INDEX(Catalogue!$I$6:$I$55,MATCH(F395,Catalogue!$B$6:$B$55,0)),0),H395))</f>
        <v/>
      </c>
      <c r="J395" s="19"/>
      <c r="K395" s="25" t="str">
        <f t="shared" si="25"/>
        <v/>
      </c>
      <c r="L395" s="18"/>
      <c r="M395" s="18"/>
      <c r="N395" s="18"/>
      <c r="O395" s="19"/>
      <c r="P395" s="25" t="str">
        <f>IF(F395="","",IF(O395="",IFERROR(INDEX(Catalogue!$G$6:$G$55,MATCH(F395,Catalogue!$B$6:$B$55,0)),0),O395))</f>
        <v/>
      </c>
      <c r="Q395" s="25" t="str">
        <f>IF(F395="","",N(G395)*(IFERROR(INDEX(Catalogue!$E$6:$E$55,MATCH(F395,Catalogue!$B$6:$B$55,0)),0)+IFERROR(INDEX(Catalogue!$F$6:$F$55,MATCH(F395,Catalogue!$B$6:$B$55,0)),0)+IFERROR(INDEX(Catalogue!$H$6:$H$55,MATCH(F395,Catalogue!$B$6:$B$55,0)),0)))</f>
        <v/>
      </c>
      <c r="R395" s="25" t="str">
        <f t="shared" si="26"/>
        <v/>
      </c>
      <c r="S395" s="18"/>
      <c r="T395" s="24" t="str">
        <f t="shared" si="27"/>
        <v/>
      </c>
      <c r="U395" s="28" t="str">
        <f>IF(D395="","",IF(COUNTIF(D$6:D395,D395)=1,"Nouveau","Fidèle"))</f>
        <v/>
      </c>
    </row>
    <row r="396" spans="1:21" x14ac:dyDescent="0.25">
      <c r="A396" s="41" t="str">
        <f t="shared" si="24"/>
        <v/>
      </c>
      <c r="B396" s="38"/>
      <c r="C396" s="18"/>
      <c r="D396" s="18"/>
      <c r="E396" s="18"/>
      <c r="F396" s="18"/>
      <c r="G396" s="20"/>
      <c r="H396" s="19"/>
      <c r="I396" s="25" t="str">
        <f>IF(F396="","",IF(H396="",IFERROR(INDEX(Catalogue!$I$6:$I$55,MATCH(F396,Catalogue!$B$6:$B$55,0)),0),H396))</f>
        <v/>
      </c>
      <c r="J396" s="19"/>
      <c r="K396" s="25" t="str">
        <f t="shared" si="25"/>
        <v/>
      </c>
      <c r="L396" s="18"/>
      <c r="M396" s="18"/>
      <c r="N396" s="18"/>
      <c r="O396" s="19"/>
      <c r="P396" s="25" t="str">
        <f>IF(F396="","",IF(O396="",IFERROR(INDEX(Catalogue!$G$6:$G$55,MATCH(F396,Catalogue!$B$6:$B$55,0)),0),O396))</f>
        <v/>
      </c>
      <c r="Q396" s="25" t="str">
        <f>IF(F396="","",N(G396)*(IFERROR(INDEX(Catalogue!$E$6:$E$55,MATCH(F396,Catalogue!$B$6:$B$55,0)),0)+IFERROR(INDEX(Catalogue!$F$6:$F$55,MATCH(F396,Catalogue!$B$6:$B$55,0)),0)+IFERROR(INDEX(Catalogue!$H$6:$H$55,MATCH(F396,Catalogue!$B$6:$B$55,0)),0)))</f>
        <v/>
      </c>
      <c r="R396" s="25" t="str">
        <f t="shared" si="26"/>
        <v/>
      </c>
      <c r="S396" s="18"/>
      <c r="T396" s="24" t="str">
        <f t="shared" si="27"/>
        <v/>
      </c>
      <c r="U396" s="28" t="str">
        <f>IF(D396="","",IF(COUNTIF(D$6:D396,D396)=1,"Nouveau","Fidèle"))</f>
        <v/>
      </c>
    </row>
    <row r="397" spans="1:21" x14ac:dyDescent="0.25">
      <c r="A397" s="41" t="str">
        <f t="shared" si="24"/>
        <v/>
      </c>
      <c r="B397" s="38"/>
      <c r="C397" s="18"/>
      <c r="D397" s="18"/>
      <c r="E397" s="18"/>
      <c r="F397" s="18"/>
      <c r="G397" s="20"/>
      <c r="H397" s="19"/>
      <c r="I397" s="25" t="str">
        <f>IF(F397="","",IF(H397="",IFERROR(INDEX(Catalogue!$I$6:$I$55,MATCH(F397,Catalogue!$B$6:$B$55,0)),0),H397))</f>
        <v/>
      </c>
      <c r="J397" s="19"/>
      <c r="K397" s="25" t="str">
        <f t="shared" si="25"/>
        <v/>
      </c>
      <c r="L397" s="18"/>
      <c r="M397" s="18"/>
      <c r="N397" s="18"/>
      <c r="O397" s="19"/>
      <c r="P397" s="25" t="str">
        <f>IF(F397="","",IF(O397="",IFERROR(INDEX(Catalogue!$G$6:$G$55,MATCH(F397,Catalogue!$B$6:$B$55,0)),0),O397))</f>
        <v/>
      </c>
      <c r="Q397" s="25" t="str">
        <f>IF(F397="","",N(G397)*(IFERROR(INDEX(Catalogue!$E$6:$E$55,MATCH(F397,Catalogue!$B$6:$B$55,0)),0)+IFERROR(INDEX(Catalogue!$F$6:$F$55,MATCH(F397,Catalogue!$B$6:$B$55,0)),0)+IFERROR(INDEX(Catalogue!$H$6:$H$55,MATCH(F397,Catalogue!$B$6:$B$55,0)),0)))</f>
        <v/>
      </c>
      <c r="R397" s="25" t="str">
        <f t="shared" si="26"/>
        <v/>
      </c>
      <c r="S397" s="18"/>
      <c r="T397" s="24" t="str">
        <f t="shared" si="27"/>
        <v/>
      </c>
      <c r="U397" s="28" t="str">
        <f>IF(D397="","",IF(COUNTIF(D$6:D397,D397)=1,"Nouveau","Fidèle"))</f>
        <v/>
      </c>
    </row>
    <row r="398" spans="1:21" x14ac:dyDescent="0.25">
      <c r="A398" s="41" t="str">
        <f t="shared" si="24"/>
        <v/>
      </c>
      <c r="B398" s="38"/>
      <c r="C398" s="18"/>
      <c r="D398" s="18"/>
      <c r="E398" s="18"/>
      <c r="F398" s="18"/>
      <c r="G398" s="20"/>
      <c r="H398" s="19"/>
      <c r="I398" s="25" t="str">
        <f>IF(F398="","",IF(H398="",IFERROR(INDEX(Catalogue!$I$6:$I$55,MATCH(F398,Catalogue!$B$6:$B$55,0)),0),H398))</f>
        <v/>
      </c>
      <c r="J398" s="19"/>
      <c r="K398" s="25" t="str">
        <f t="shared" si="25"/>
        <v/>
      </c>
      <c r="L398" s="18"/>
      <c r="M398" s="18"/>
      <c r="N398" s="18"/>
      <c r="O398" s="19"/>
      <c r="P398" s="25" t="str">
        <f>IF(F398="","",IF(O398="",IFERROR(INDEX(Catalogue!$G$6:$G$55,MATCH(F398,Catalogue!$B$6:$B$55,0)),0),O398))</f>
        <v/>
      </c>
      <c r="Q398" s="25" t="str">
        <f>IF(F398="","",N(G398)*(IFERROR(INDEX(Catalogue!$E$6:$E$55,MATCH(F398,Catalogue!$B$6:$B$55,0)),0)+IFERROR(INDEX(Catalogue!$F$6:$F$55,MATCH(F398,Catalogue!$B$6:$B$55,0)),0)+IFERROR(INDEX(Catalogue!$H$6:$H$55,MATCH(F398,Catalogue!$B$6:$B$55,0)),0)))</f>
        <v/>
      </c>
      <c r="R398" s="25" t="str">
        <f t="shared" si="26"/>
        <v/>
      </c>
      <c r="S398" s="18"/>
      <c r="T398" s="24" t="str">
        <f t="shared" si="27"/>
        <v/>
      </c>
      <c r="U398" s="28" t="str">
        <f>IF(D398="","",IF(COUNTIF(D$6:D398,D398)=1,"Nouveau","Fidèle"))</f>
        <v/>
      </c>
    </row>
    <row r="399" spans="1:21" x14ac:dyDescent="0.25">
      <c r="A399" s="41" t="str">
        <f t="shared" si="24"/>
        <v/>
      </c>
      <c r="B399" s="38"/>
      <c r="C399" s="18"/>
      <c r="D399" s="18"/>
      <c r="E399" s="18"/>
      <c r="F399" s="18"/>
      <c r="G399" s="20"/>
      <c r="H399" s="19"/>
      <c r="I399" s="25" t="str">
        <f>IF(F399="","",IF(H399="",IFERROR(INDEX(Catalogue!$I$6:$I$55,MATCH(F399,Catalogue!$B$6:$B$55,0)),0),H399))</f>
        <v/>
      </c>
      <c r="J399" s="19"/>
      <c r="K399" s="25" t="str">
        <f t="shared" si="25"/>
        <v/>
      </c>
      <c r="L399" s="18"/>
      <c r="M399" s="18"/>
      <c r="N399" s="18"/>
      <c r="O399" s="19"/>
      <c r="P399" s="25" t="str">
        <f>IF(F399="","",IF(O399="",IFERROR(INDEX(Catalogue!$G$6:$G$55,MATCH(F399,Catalogue!$B$6:$B$55,0)),0),O399))</f>
        <v/>
      </c>
      <c r="Q399" s="25" t="str">
        <f>IF(F399="","",N(G399)*(IFERROR(INDEX(Catalogue!$E$6:$E$55,MATCH(F399,Catalogue!$B$6:$B$55,0)),0)+IFERROR(INDEX(Catalogue!$F$6:$F$55,MATCH(F399,Catalogue!$B$6:$B$55,0)),0)+IFERROR(INDEX(Catalogue!$H$6:$H$55,MATCH(F399,Catalogue!$B$6:$B$55,0)),0)))</f>
        <v/>
      </c>
      <c r="R399" s="25" t="str">
        <f t="shared" si="26"/>
        <v/>
      </c>
      <c r="S399" s="18"/>
      <c r="T399" s="24" t="str">
        <f t="shared" si="27"/>
        <v/>
      </c>
      <c r="U399" s="28" t="str">
        <f>IF(D399="","",IF(COUNTIF(D$6:D399,D399)=1,"Nouveau","Fidèle"))</f>
        <v/>
      </c>
    </row>
    <row r="400" spans="1:21" x14ac:dyDescent="0.25">
      <c r="A400" s="41" t="str">
        <f t="shared" si="24"/>
        <v/>
      </c>
      <c r="B400" s="38"/>
      <c r="C400" s="18"/>
      <c r="D400" s="18"/>
      <c r="E400" s="18"/>
      <c r="F400" s="18"/>
      <c r="G400" s="20"/>
      <c r="H400" s="19"/>
      <c r="I400" s="25" t="str">
        <f>IF(F400="","",IF(H400="",IFERROR(INDEX(Catalogue!$I$6:$I$55,MATCH(F400,Catalogue!$B$6:$B$55,0)),0),H400))</f>
        <v/>
      </c>
      <c r="J400" s="19"/>
      <c r="K400" s="25" t="str">
        <f t="shared" si="25"/>
        <v/>
      </c>
      <c r="L400" s="18"/>
      <c r="M400" s="18"/>
      <c r="N400" s="18"/>
      <c r="O400" s="19"/>
      <c r="P400" s="25" t="str">
        <f>IF(F400="","",IF(O400="",IFERROR(INDEX(Catalogue!$G$6:$G$55,MATCH(F400,Catalogue!$B$6:$B$55,0)),0),O400))</f>
        <v/>
      </c>
      <c r="Q400" s="25" t="str">
        <f>IF(F400="","",N(G400)*(IFERROR(INDEX(Catalogue!$E$6:$E$55,MATCH(F400,Catalogue!$B$6:$B$55,0)),0)+IFERROR(INDEX(Catalogue!$F$6:$F$55,MATCH(F400,Catalogue!$B$6:$B$55,0)),0)+IFERROR(INDEX(Catalogue!$H$6:$H$55,MATCH(F400,Catalogue!$B$6:$B$55,0)),0)))</f>
        <v/>
      </c>
      <c r="R400" s="25" t="str">
        <f t="shared" si="26"/>
        <v/>
      </c>
      <c r="S400" s="18"/>
      <c r="T400" s="24" t="str">
        <f t="shared" si="27"/>
        <v/>
      </c>
      <c r="U400" s="28" t="str">
        <f>IF(D400="","",IF(COUNTIF(D$6:D400,D400)=1,"Nouveau","Fidèle"))</f>
        <v/>
      </c>
    </row>
    <row r="401" spans="1:21" x14ac:dyDescent="0.25">
      <c r="A401" s="41" t="str">
        <f t="shared" si="24"/>
        <v/>
      </c>
      <c r="B401" s="38"/>
      <c r="C401" s="18"/>
      <c r="D401" s="18"/>
      <c r="E401" s="18"/>
      <c r="F401" s="18"/>
      <c r="G401" s="20"/>
      <c r="H401" s="19"/>
      <c r="I401" s="25" t="str">
        <f>IF(F401="","",IF(H401="",IFERROR(INDEX(Catalogue!$I$6:$I$55,MATCH(F401,Catalogue!$B$6:$B$55,0)),0),H401))</f>
        <v/>
      </c>
      <c r="J401" s="19"/>
      <c r="K401" s="25" t="str">
        <f t="shared" si="25"/>
        <v/>
      </c>
      <c r="L401" s="18"/>
      <c r="M401" s="18"/>
      <c r="N401" s="18"/>
      <c r="O401" s="19"/>
      <c r="P401" s="25" t="str">
        <f>IF(F401="","",IF(O401="",IFERROR(INDEX(Catalogue!$G$6:$G$55,MATCH(F401,Catalogue!$B$6:$B$55,0)),0),O401))</f>
        <v/>
      </c>
      <c r="Q401" s="25" t="str">
        <f>IF(F401="","",N(G401)*(IFERROR(INDEX(Catalogue!$E$6:$E$55,MATCH(F401,Catalogue!$B$6:$B$55,0)),0)+IFERROR(INDEX(Catalogue!$F$6:$F$55,MATCH(F401,Catalogue!$B$6:$B$55,0)),0)+IFERROR(INDEX(Catalogue!$H$6:$H$55,MATCH(F401,Catalogue!$B$6:$B$55,0)),0)))</f>
        <v/>
      </c>
      <c r="R401" s="25" t="str">
        <f t="shared" si="26"/>
        <v/>
      </c>
      <c r="S401" s="18"/>
      <c r="T401" s="24" t="str">
        <f t="shared" si="27"/>
        <v/>
      </c>
      <c r="U401" s="28" t="str">
        <f>IF(D401="","",IF(COUNTIF(D$6:D401,D401)=1,"Nouveau","Fidèle"))</f>
        <v/>
      </c>
    </row>
    <row r="402" spans="1:21" x14ac:dyDescent="0.25">
      <c r="A402" s="41" t="str">
        <f t="shared" si="24"/>
        <v/>
      </c>
      <c r="B402" s="38"/>
      <c r="C402" s="18"/>
      <c r="D402" s="18"/>
      <c r="E402" s="18"/>
      <c r="F402" s="18"/>
      <c r="G402" s="20"/>
      <c r="H402" s="19"/>
      <c r="I402" s="25" t="str">
        <f>IF(F402="","",IF(H402="",IFERROR(INDEX(Catalogue!$I$6:$I$55,MATCH(F402,Catalogue!$B$6:$B$55,0)),0),H402))</f>
        <v/>
      </c>
      <c r="J402" s="19"/>
      <c r="K402" s="25" t="str">
        <f t="shared" si="25"/>
        <v/>
      </c>
      <c r="L402" s="18"/>
      <c r="M402" s="18"/>
      <c r="N402" s="18"/>
      <c r="O402" s="19"/>
      <c r="P402" s="25" t="str">
        <f>IF(F402="","",IF(O402="",IFERROR(INDEX(Catalogue!$G$6:$G$55,MATCH(F402,Catalogue!$B$6:$B$55,0)),0),O402))</f>
        <v/>
      </c>
      <c r="Q402" s="25" t="str">
        <f>IF(F402="","",N(G402)*(IFERROR(INDEX(Catalogue!$E$6:$E$55,MATCH(F402,Catalogue!$B$6:$B$55,0)),0)+IFERROR(INDEX(Catalogue!$F$6:$F$55,MATCH(F402,Catalogue!$B$6:$B$55,0)),0)+IFERROR(INDEX(Catalogue!$H$6:$H$55,MATCH(F402,Catalogue!$B$6:$B$55,0)),0)))</f>
        <v/>
      </c>
      <c r="R402" s="25" t="str">
        <f t="shared" si="26"/>
        <v/>
      </c>
      <c r="S402" s="18"/>
      <c r="T402" s="24" t="str">
        <f t="shared" si="27"/>
        <v/>
      </c>
      <c r="U402" s="28" t="str">
        <f>IF(D402="","",IF(COUNTIF(D$6:D402,D402)=1,"Nouveau","Fidèle"))</f>
        <v/>
      </c>
    </row>
    <row r="403" spans="1:21" x14ac:dyDescent="0.25">
      <c r="A403" s="41" t="str">
        <f t="shared" si="24"/>
        <v/>
      </c>
      <c r="B403" s="38"/>
      <c r="C403" s="18"/>
      <c r="D403" s="18"/>
      <c r="E403" s="18"/>
      <c r="F403" s="18"/>
      <c r="G403" s="20"/>
      <c r="H403" s="19"/>
      <c r="I403" s="25" t="str">
        <f>IF(F403="","",IF(H403="",IFERROR(INDEX(Catalogue!$I$6:$I$55,MATCH(F403,Catalogue!$B$6:$B$55,0)),0),H403))</f>
        <v/>
      </c>
      <c r="J403" s="19"/>
      <c r="K403" s="25" t="str">
        <f t="shared" si="25"/>
        <v/>
      </c>
      <c r="L403" s="18"/>
      <c r="M403" s="18"/>
      <c r="N403" s="18"/>
      <c r="O403" s="19"/>
      <c r="P403" s="25" t="str">
        <f>IF(F403="","",IF(O403="",IFERROR(INDEX(Catalogue!$G$6:$G$55,MATCH(F403,Catalogue!$B$6:$B$55,0)),0),O403))</f>
        <v/>
      </c>
      <c r="Q403" s="25" t="str">
        <f>IF(F403="","",N(G403)*(IFERROR(INDEX(Catalogue!$E$6:$E$55,MATCH(F403,Catalogue!$B$6:$B$55,0)),0)+IFERROR(INDEX(Catalogue!$F$6:$F$55,MATCH(F403,Catalogue!$B$6:$B$55,0)),0)+IFERROR(INDEX(Catalogue!$H$6:$H$55,MATCH(F403,Catalogue!$B$6:$B$55,0)),0)))</f>
        <v/>
      </c>
      <c r="R403" s="25" t="str">
        <f t="shared" si="26"/>
        <v/>
      </c>
      <c r="S403" s="18"/>
      <c r="T403" s="24" t="str">
        <f t="shared" si="27"/>
        <v/>
      </c>
      <c r="U403" s="28" t="str">
        <f>IF(D403="","",IF(COUNTIF(D$6:D403,D403)=1,"Nouveau","Fidèle"))</f>
        <v/>
      </c>
    </row>
    <row r="404" spans="1:21" x14ac:dyDescent="0.25">
      <c r="A404" s="41" t="str">
        <f t="shared" si="24"/>
        <v/>
      </c>
      <c r="B404" s="38"/>
      <c r="C404" s="18"/>
      <c r="D404" s="18"/>
      <c r="E404" s="18"/>
      <c r="F404" s="18"/>
      <c r="G404" s="20"/>
      <c r="H404" s="19"/>
      <c r="I404" s="25" t="str">
        <f>IF(F404="","",IF(H404="",IFERROR(INDEX(Catalogue!$I$6:$I$55,MATCH(F404,Catalogue!$B$6:$B$55,0)),0),H404))</f>
        <v/>
      </c>
      <c r="J404" s="19"/>
      <c r="K404" s="25" t="str">
        <f t="shared" si="25"/>
        <v/>
      </c>
      <c r="L404" s="18"/>
      <c r="M404" s="18"/>
      <c r="N404" s="18"/>
      <c r="O404" s="19"/>
      <c r="P404" s="25" t="str">
        <f>IF(F404="","",IF(O404="",IFERROR(INDEX(Catalogue!$G$6:$G$55,MATCH(F404,Catalogue!$B$6:$B$55,0)),0),O404))</f>
        <v/>
      </c>
      <c r="Q404" s="25" t="str">
        <f>IF(F404="","",N(G404)*(IFERROR(INDEX(Catalogue!$E$6:$E$55,MATCH(F404,Catalogue!$B$6:$B$55,0)),0)+IFERROR(INDEX(Catalogue!$F$6:$F$55,MATCH(F404,Catalogue!$B$6:$B$55,0)),0)+IFERROR(INDEX(Catalogue!$H$6:$H$55,MATCH(F404,Catalogue!$B$6:$B$55,0)),0)))</f>
        <v/>
      </c>
      <c r="R404" s="25" t="str">
        <f t="shared" si="26"/>
        <v/>
      </c>
      <c r="S404" s="18"/>
      <c r="T404" s="24" t="str">
        <f t="shared" si="27"/>
        <v/>
      </c>
      <c r="U404" s="28" t="str">
        <f>IF(D404="","",IF(COUNTIF(D$6:D404,D404)=1,"Nouveau","Fidèle"))</f>
        <v/>
      </c>
    </row>
    <row r="405" spans="1:21" x14ac:dyDescent="0.25">
      <c r="A405" s="41" t="str">
        <f t="shared" si="24"/>
        <v/>
      </c>
      <c r="B405" s="38"/>
      <c r="C405" s="18"/>
      <c r="D405" s="18"/>
      <c r="E405" s="18"/>
      <c r="F405" s="18"/>
      <c r="G405" s="20"/>
      <c r="H405" s="19"/>
      <c r="I405" s="25" t="str">
        <f>IF(F405="","",IF(H405="",IFERROR(INDEX(Catalogue!$I$6:$I$55,MATCH(F405,Catalogue!$B$6:$B$55,0)),0),H405))</f>
        <v/>
      </c>
      <c r="J405" s="19"/>
      <c r="K405" s="25" t="str">
        <f t="shared" si="25"/>
        <v/>
      </c>
      <c r="L405" s="18"/>
      <c r="M405" s="18"/>
      <c r="N405" s="18"/>
      <c r="O405" s="19"/>
      <c r="P405" s="25" t="str">
        <f>IF(F405="","",IF(O405="",IFERROR(INDEX(Catalogue!$G$6:$G$55,MATCH(F405,Catalogue!$B$6:$B$55,0)),0),O405))</f>
        <v/>
      </c>
      <c r="Q405" s="25" t="str">
        <f>IF(F405="","",N(G405)*(IFERROR(INDEX(Catalogue!$E$6:$E$55,MATCH(F405,Catalogue!$B$6:$B$55,0)),0)+IFERROR(INDEX(Catalogue!$F$6:$F$55,MATCH(F405,Catalogue!$B$6:$B$55,0)),0)+IFERROR(INDEX(Catalogue!$H$6:$H$55,MATCH(F405,Catalogue!$B$6:$B$55,0)),0)))</f>
        <v/>
      </c>
      <c r="R405" s="25" t="str">
        <f t="shared" si="26"/>
        <v/>
      </c>
      <c r="S405" s="18"/>
      <c r="T405" s="24" t="str">
        <f t="shared" si="27"/>
        <v/>
      </c>
      <c r="U405" s="28" t="str">
        <f>IF(D405="","",IF(COUNTIF(D$6:D405,D405)=1,"Nouveau","Fidèle"))</f>
        <v/>
      </c>
    </row>
    <row r="406" spans="1:21" x14ac:dyDescent="0.25">
      <c r="A406" s="41" t="str">
        <f t="shared" si="24"/>
        <v/>
      </c>
      <c r="B406" s="38"/>
      <c r="C406" s="18"/>
      <c r="D406" s="18"/>
      <c r="E406" s="18"/>
      <c r="F406" s="18"/>
      <c r="G406" s="20"/>
      <c r="H406" s="19"/>
      <c r="I406" s="25" t="str">
        <f>IF(F406="","",IF(H406="",IFERROR(INDEX(Catalogue!$I$6:$I$55,MATCH(F406,Catalogue!$B$6:$B$55,0)),0),H406))</f>
        <v/>
      </c>
      <c r="J406" s="19"/>
      <c r="K406" s="25" t="str">
        <f t="shared" si="25"/>
        <v/>
      </c>
      <c r="L406" s="18"/>
      <c r="M406" s="18"/>
      <c r="N406" s="18"/>
      <c r="O406" s="19"/>
      <c r="P406" s="25" t="str">
        <f>IF(F406="","",IF(O406="",IFERROR(INDEX(Catalogue!$G$6:$G$55,MATCH(F406,Catalogue!$B$6:$B$55,0)),0),O406))</f>
        <v/>
      </c>
      <c r="Q406" s="25" t="str">
        <f>IF(F406="","",N(G406)*(IFERROR(INDEX(Catalogue!$E$6:$E$55,MATCH(F406,Catalogue!$B$6:$B$55,0)),0)+IFERROR(INDEX(Catalogue!$F$6:$F$55,MATCH(F406,Catalogue!$B$6:$B$55,0)),0)+IFERROR(INDEX(Catalogue!$H$6:$H$55,MATCH(F406,Catalogue!$B$6:$B$55,0)),0)))</f>
        <v/>
      </c>
      <c r="R406" s="25" t="str">
        <f t="shared" si="26"/>
        <v/>
      </c>
      <c r="S406" s="18"/>
      <c r="T406" s="24" t="str">
        <f t="shared" si="27"/>
        <v/>
      </c>
      <c r="U406" s="28" t="str">
        <f>IF(D406="","",IF(COUNTIF(D$6:D406,D406)=1,"Nouveau","Fidèle"))</f>
        <v/>
      </c>
    </row>
    <row r="407" spans="1:21" x14ac:dyDescent="0.25">
      <c r="A407" s="41" t="str">
        <f t="shared" si="24"/>
        <v/>
      </c>
      <c r="B407" s="38"/>
      <c r="C407" s="18"/>
      <c r="D407" s="18"/>
      <c r="E407" s="18"/>
      <c r="F407" s="18"/>
      <c r="G407" s="20"/>
      <c r="H407" s="19"/>
      <c r="I407" s="25" t="str">
        <f>IF(F407="","",IF(H407="",IFERROR(INDEX(Catalogue!$I$6:$I$55,MATCH(F407,Catalogue!$B$6:$B$55,0)),0),H407))</f>
        <v/>
      </c>
      <c r="J407" s="19"/>
      <c r="K407" s="25" t="str">
        <f t="shared" si="25"/>
        <v/>
      </c>
      <c r="L407" s="18"/>
      <c r="M407" s="18"/>
      <c r="N407" s="18"/>
      <c r="O407" s="19"/>
      <c r="P407" s="25" t="str">
        <f>IF(F407="","",IF(O407="",IFERROR(INDEX(Catalogue!$G$6:$G$55,MATCH(F407,Catalogue!$B$6:$B$55,0)),0),O407))</f>
        <v/>
      </c>
      <c r="Q407" s="25" t="str">
        <f>IF(F407="","",N(G407)*(IFERROR(INDEX(Catalogue!$E$6:$E$55,MATCH(F407,Catalogue!$B$6:$B$55,0)),0)+IFERROR(INDEX(Catalogue!$F$6:$F$55,MATCH(F407,Catalogue!$B$6:$B$55,0)),0)+IFERROR(INDEX(Catalogue!$H$6:$H$55,MATCH(F407,Catalogue!$B$6:$B$55,0)),0)))</f>
        <v/>
      </c>
      <c r="R407" s="25" t="str">
        <f t="shared" si="26"/>
        <v/>
      </c>
      <c r="S407" s="18"/>
      <c r="T407" s="24" t="str">
        <f t="shared" si="27"/>
        <v/>
      </c>
      <c r="U407" s="28" t="str">
        <f>IF(D407="","",IF(COUNTIF(D$6:D407,D407)=1,"Nouveau","Fidèle"))</f>
        <v/>
      </c>
    </row>
    <row r="408" spans="1:21" x14ac:dyDescent="0.25">
      <c r="A408" s="41" t="str">
        <f t="shared" si="24"/>
        <v/>
      </c>
      <c r="B408" s="38"/>
      <c r="C408" s="18"/>
      <c r="D408" s="18"/>
      <c r="E408" s="18"/>
      <c r="F408" s="18"/>
      <c r="G408" s="20"/>
      <c r="H408" s="19"/>
      <c r="I408" s="25" t="str">
        <f>IF(F408="","",IF(H408="",IFERROR(INDEX(Catalogue!$I$6:$I$55,MATCH(F408,Catalogue!$B$6:$B$55,0)),0),H408))</f>
        <v/>
      </c>
      <c r="J408" s="19"/>
      <c r="K408" s="25" t="str">
        <f t="shared" si="25"/>
        <v/>
      </c>
      <c r="L408" s="18"/>
      <c r="M408" s="18"/>
      <c r="N408" s="18"/>
      <c r="O408" s="19"/>
      <c r="P408" s="25" t="str">
        <f>IF(F408="","",IF(O408="",IFERROR(INDEX(Catalogue!$G$6:$G$55,MATCH(F408,Catalogue!$B$6:$B$55,0)),0),O408))</f>
        <v/>
      </c>
      <c r="Q408" s="25" t="str">
        <f>IF(F408="","",N(G408)*(IFERROR(INDEX(Catalogue!$E$6:$E$55,MATCH(F408,Catalogue!$B$6:$B$55,0)),0)+IFERROR(INDEX(Catalogue!$F$6:$F$55,MATCH(F408,Catalogue!$B$6:$B$55,0)),0)+IFERROR(INDEX(Catalogue!$H$6:$H$55,MATCH(F408,Catalogue!$B$6:$B$55,0)),0)))</f>
        <v/>
      </c>
      <c r="R408" s="25" t="str">
        <f t="shared" si="26"/>
        <v/>
      </c>
      <c r="S408" s="18"/>
      <c r="T408" s="24" t="str">
        <f t="shared" si="27"/>
        <v/>
      </c>
      <c r="U408" s="28" t="str">
        <f>IF(D408="","",IF(COUNTIF(D$6:D408,D408)=1,"Nouveau","Fidèle"))</f>
        <v/>
      </c>
    </row>
    <row r="409" spans="1:21" x14ac:dyDescent="0.25">
      <c r="A409" s="41" t="str">
        <f t="shared" si="24"/>
        <v/>
      </c>
      <c r="B409" s="38"/>
      <c r="C409" s="18"/>
      <c r="D409" s="18"/>
      <c r="E409" s="18"/>
      <c r="F409" s="18"/>
      <c r="G409" s="20"/>
      <c r="H409" s="19"/>
      <c r="I409" s="25" t="str">
        <f>IF(F409="","",IF(H409="",IFERROR(INDEX(Catalogue!$I$6:$I$55,MATCH(F409,Catalogue!$B$6:$B$55,0)),0),H409))</f>
        <v/>
      </c>
      <c r="J409" s="19"/>
      <c r="K409" s="25" t="str">
        <f t="shared" si="25"/>
        <v/>
      </c>
      <c r="L409" s="18"/>
      <c r="M409" s="18"/>
      <c r="N409" s="18"/>
      <c r="O409" s="19"/>
      <c r="P409" s="25" t="str">
        <f>IF(F409="","",IF(O409="",IFERROR(INDEX(Catalogue!$G$6:$G$55,MATCH(F409,Catalogue!$B$6:$B$55,0)),0),O409))</f>
        <v/>
      </c>
      <c r="Q409" s="25" t="str">
        <f>IF(F409="","",N(G409)*(IFERROR(INDEX(Catalogue!$E$6:$E$55,MATCH(F409,Catalogue!$B$6:$B$55,0)),0)+IFERROR(INDEX(Catalogue!$F$6:$F$55,MATCH(F409,Catalogue!$B$6:$B$55,0)),0)+IFERROR(INDEX(Catalogue!$H$6:$H$55,MATCH(F409,Catalogue!$B$6:$B$55,0)),0)))</f>
        <v/>
      </c>
      <c r="R409" s="25" t="str">
        <f t="shared" si="26"/>
        <v/>
      </c>
      <c r="S409" s="18"/>
      <c r="T409" s="24" t="str">
        <f t="shared" si="27"/>
        <v/>
      </c>
      <c r="U409" s="28" t="str">
        <f>IF(D409="","",IF(COUNTIF(D$6:D409,D409)=1,"Nouveau","Fidèle"))</f>
        <v/>
      </c>
    </row>
    <row r="410" spans="1:21" x14ac:dyDescent="0.25">
      <c r="A410" s="41" t="str">
        <f t="shared" si="24"/>
        <v/>
      </c>
      <c r="B410" s="38"/>
      <c r="C410" s="18"/>
      <c r="D410" s="18"/>
      <c r="E410" s="18"/>
      <c r="F410" s="18"/>
      <c r="G410" s="20"/>
      <c r="H410" s="19"/>
      <c r="I410" s="25" t="str">
        <f>IF(F410="","",IF(H410="",IFERROR(INDEX(Catalogue!$I$6:$I$55,MATCH(F410,Catalogue!$B$6:$B$55,0)),0),H410))</f>
        <v/>
      </c>
      <c r="J410" s="19"/>
      <c r="K410" s="25" t="str">
        <f t="shared" si="25"/>
        <v/>
      </c>
      <c r="L410" s="18"/>
      <c r="M410" s="18"/>
      <c r="N410" s="18"/>
      <c r="O410" s="19"/>
      <c r="P410" s="25" t="str">
        <f>IF(F410="","",IF(O410="",IFERROR(INDEX(Catalogue!$G$6:$G$55,MATCH(F410,Catalogue!$B$6:$B$55,0)),0),O410))</f>
        <v/>
      </c>
      <c r="Q410" s="25" t="str">
        <f>IF(F410="","",N(G410)*(IFERROR(INDEX(Catalogue!$E$6:$E$55,MATCH(F410,Catalogue!$B$6:$B$55,0)),0)+IFERROR(INDEX(Catalogue!$F$6:$F$55,MATCH(F410,Catalogue!$B$6:$B$55,0)),0)+IFERROR(INDEX(Catalogue!$H$6:$H$55,MATCH(F410,Catalogue!$B$6:$B$55,0)),0)))</f>
        <v/>
      </c>
      <c r="R410" s="25" t="str">
        <f t="shared" si="26"/>
        <v/>
      </c>
      <c r="S410" s="18"/>
      <c r="T410" s="24" t="str">
        <f t="shared" si="27"/>
        <v/>
      </c>
      <c r="U410" s="28" t="str">
        <f>IF(D410="","",IF(COUNTIF(D$6:D410,D410)=1,"Nouveau","Fidèle"))</f>
        <v/>
      </c>
    </row>
    <row r="411" spans="1:21" x14ac:dyDescent="0.25">
      <c r="A411" s="41" t="str">
        <f t="shared" si="24"/>
        <v/>
      </c>
      <c r="B411" s="38"/>
      <c r="C411" s="18"/>
      <c r="D411" s="18"/>
      <c r="E411" s="18"/>
      <c r="F411" s="18"/>
      <c r="G411" s="20"/>
      <c r="H411" s="19"/>
      <c r="I411" s="25" t="str">
        <f>IF(F411="","",IF(H411="",IFERROR(INDEX(Catalogue!$I$6:$I$55,MATCH(F411,Catalogue!$B$6:$B$55,0)),0),H411))</f>
        <v/>
      </c>
      <c r="J411" s="19"/>
      <c r="K411" s="25" t="str">
        <f t="shared" si="25"/>
        <v/>
      </c>
      <c r="L411" s="18"/>
      <c r="M411" s="18"/>
      <c r="N411" s="18"/>
      <c r="O411" s="19"/>
      <c r="P411" s="25" t="str">
        <f>IF(F411="","",IF(O411="",IFERROR(INDEX(Catalogue!$G$6:$G$55,MATCH(F411,Catalogue!$B$6:$B$55,0)),0),O411))</f>
        <v/>
      </c>
      <c r="Q411" s="25" t="str">
        <f>IF(F411="","",N(G411)*(IFERROR(INDEX(Catalogue!$E$6:$E$55,MATCH(F411,Catalogue!$B$6:$B$55,0)),0)+IFERROR(INDEX(Catalogue!$F$6:$F$55,MATCH(F411,Catalogue!$B$6:$B$55,0)),0)+IFERROR(INDEX(Catalogue!$H$6:$H$55,MATCH(F411,Catalogue!$B$6:$B$55,0)),0)))</f>
        <v/>
      </c>
      <c r="R411" s="25" t="str">
        <f t="shared" si="26"/>
        <v/>
      </c>
      <c r="S411" s="18"/>
      <c r="T411" s="24" t="str">
        <f t="shared" si="27"/>
        <v/>
      </c>
      <c r="U411" s="28" t="str">
        <f>IF(D411="","",IF(COUNTIF(D$6:D411,D411)=1,"Nouveau","Fidèle"))</f>
        <v/>
      </c>
    </row>
    <row r="412" spans="1:21" x14ac:dyDescent="0.25">
      <c r="A412" s="41" t="str">
        <f t="shared" si="24"/>
        <v/>
      </c>
      <c r="B412" s="38"/>
      <c r="C412" s="18"/>
      <c r="D412" s="18"/>
      <c r="E412" s="18"/>
      <c r="F412" s="18"/>
      <c r="G412" s="20"/>
      <c r="H412" s="19"/>
      <c r="I412" s="25" t="str">
        <f>IF(F412="","",IF(H412="",IFERROR(INDEX(Catalogue!$I$6:$I$55,MATCH(F412,Catalogue!$B$6:$B$55,0)),0),H412))</f>
        <v/>
      </c>
      <c r="J412" s="19"/>
      <c r="K412" s="25" t="str">
        <f t="shared" si="25"/>
        <v/>
      </c>
      <c r="L412" s="18"/>
      <c r="M412" s="18"/>
      <c r="N412" s="18"/>
      <c r="O412" s="19"/>
      <c r="P412" s="25" t="str">
        <f>IF(F412="","",IF(O412="",IFERROR(INDEX(Catalogue!$G$6:$G$55,MATCH(F412,Catalogue!$B$6:$B$55,0)),0),O412))</f>
        <v/>
      </c>
      <c r="Q412" s="25" t="str">
        <f>IF(F412="","",N(G412)*(IFERROR(INDEX(Catalogue!$E$6:$E$55,MATCH(F412,Catalogue!$B$6:$B$55,0)),0)+IFERROR(INDEX(Catalogue!$F$6:$F$55,MATCH(F412,Catalogue!$B$6:$B$55,0)),0)+IFERROR(INDEX(Catalogue!$H$6:$H$55,MATCH(F412,Catalogue!$B$6:$B$55,0)),0)))</f>
        <v/>
      </c>
      <c r="R412" s="25" t="str">
        <f t="shared" si="26"/>
        <v/>
      </c>
      <c r="S412" s="18"/>
      <c r="T412" s="24" t="str">
        <f t="shared" si="27"/>
        <v/>
      </c>
      <c r="U412" s="28" t="str">
        <f>IF(D412="","",IF(COUNTIF(D$6:D412,D412)=1,"Nouveau","Fidèle"))</f>
        <v/>
      </c>
    </row>
    <row r="413" spans="1:21" x14ac:dyDescent="0.25">
      <c r="A413" s="41" t="str">
        <f t="shared" si="24"/>
        <v/>
      </c>
      <c r="B413" s="38"/>
      <c r="C413" s="18"/>
      <c r="D413" s="18"/>
      <c r="E413" s="18"/>
      <c r="F413" s="18"/>
      <c r="G413" s="20"/>
      <c r="H413" s="19"/>
      <c r="I413" s="25" t="str">
        <f>IF(F413="","",IF(H413="",IFERROR(INDEX(Catalogue!$I$6:$I$55,MATCH(F413,Catalogue!$B$6:$B$55,0)),0),H413))</f>
        <v/>
      </c>
      <c r="J413" s="19"/>
      <c r="K413" s="25" t="str">
        <f t="shared" si="25"/>
        <v/>
      </c>
      <c r="L413" s="18"/>
      <c r="M413" s="18"/>
      <c r="N413" s="18"/>
      <c r="O413" s="19"/>
      <c r="P413" s="25" t="str">
        <f>IF(F413="","",IF(O413="",IFERROR(INDEX(Catalogue!$G$6:$G$55,MATCH(F413,Catalogue!$B$6:$B$55,0)),0),O413))</f>
        <v/>
      </c>
      <c r="Q413" s="25" t="str">
        <f>IF(F413="","",N(G413)*(IFERROR(INDEX(Catalogue!$E$6:$E$55,MATCH(F413,Catalogue!$B$6:$B$55,0)),0)+IFERROR(INDEX(Catalogue!$F$6:$F$55,MATCH(F413,Catalogue!$B$6:$B$55,0)),0)+IFERROR(INDEX(Catalogue!$H$6:$H$55,MATCH(F413,Catalogue!$B$6:$B$55,0)),0)))</f>
        <v/>
      </c>
      <c r="R413" s="25" t="str">
        <f t="shared" si="26"/>
        <v/>
      </c>
      <c r="S413" s="18"/>
      <c r="T413" s="24" t="str">
        <f t="shared" si="27"/>
        <v/>
      </c>
      <c r="U413" s="28" t="str">
        <f>IF(D413="","",IF(COUNTIF(D$6:D413,D413)=1,"Nouveau","Fidèle"))</f>
        <v/>
      </c>
    </row>
    <row r="414" spans="1:21" x14ac:dyDescent="0.25">
      <c r="A414" s="41" t="str">
        <f t="shared" si="24"/>
        <v/>
      </c>
      <c r="B414" s="38"/>
      <c r="C414" s="18"/>
      <c r="D414" s="18"/>
      <c r="E414" s="18"/>
      <c r="F414" s="18"/>
      <c r="G414" s="20"/>
      <c r="H414" s="19"/>
      <c r="I414" s="25" t="str">
        <f>IF(F414="","",IF(H414="",IFERROR(INDEX(Catalogue!$I$6:$I$55,MATCH(F414,Catalogue!$B$6:$B$55,0)),0),H414))</f>
        <v/>
      </c>
      <c r="J414" s="19"/>
      <c r="K414" s="25" t="str">
        <f t="shared" si="25"/>
        <v/>
      </c>
      <c r="L414" s="18"/>
      <c r="M414" s="18"/>
      <c r="N414" s="18"/>
      <c r="O414" s="19"/>
      <c r="P414" s="25" t="str">
        <f>IF(F414="","",IF(O414="",IFERROR(INDEX(Catalogue!$G$6:$G$55,MATCH(F414,Catalogue!$B$6:$B$55,0)),0),O414))</f>
        <v/>
      </c>
      <c r="Q414" s="25" t="str">
        <f>IF(F414="","",N(G414)*(IFERROR(INDEX(Catalogue!$E$6:$E$55,MATCH(F414,Catalogue!$B$6:$B$55,0)),0)+IFERROR(INDEX(Catalogue!$F$6:$F$55,MATCH(F414,Catalogue!$B$6:$B$55,0)),0)+IFERROR(INDEX(Catalogue!$H$6:$H$55,MATCH(F414,Catalogue!$B$6:$B$55,0)),0)))</f>
        <v/>
      </c>
      <c r="R414" s="25" t="str">
        <f t="shared" si="26"/>
        <v/>
      </c>
      <c r="S414" s="18"/>
      <c r="T414" s="24" t="str">
        <f t="shared" si="27"/>
        <v/>
      </c>
      <c r="U414" s="28" t="str">
        <f>IF(D414="","",IF(COUNTIF(D$6:D414,D414)=1,"Nouveau","Fidèle"))</f>
        <v/>
      </c>
    </row>
    <row r="415" spans="1:21" x14ac:dyDescent="0.25">
      <c r="A415" s="41" t="str">
        <f t="shared" si="24"/>
        <v/>
      </c>
      <c r="B415" s="38"/>
      <c r="C415" s="18"/>
      <c r="D415" s="18"/>
      <c r="E415" s="18"/>
      <c r="F415" s="18"/>
      <c r="G415" s="20"/>
      <c r="H415" s="19"/>
      <c r="I415" s="25" t="str">
        <f>IF(F415="","",IF(H415="",IFERROR(INDEX(Catalogue!$I$6:$I$55,MATCH(F415,Catalogue!$B$6:$B$55,0)),0),H415))</f>
        <v/>
      </c>
      <c r="J415" s="19"/>
      <c r="K415" s="25" t="str">
        <f t="shared" si="25"/>
        <v/>
      </c>
      <c r="L415" s="18"/>
      <c r="M415" s="18"/>
      <c r="N415" s="18"/>
      <c r="O415" s="19"/>
      <c r="P415" s="25" t="str">
        <f>IF(F415="","",IF(O415="",IFERROR(INDEX(Catalogue!$G$6:$G$55,MATCH(F415,Catalogue!$B$6:$B$55,0)),0),O415))</f>
        <v/>
      </c>
      <c r="Q415" s="25" t="str">
        <f>IF(F415="","",N(G415)*(IFERROR(INDEX(Catalogue!$E$6:$E$55,MATCH(F415,Catalogue!$B$6:$B$55,0)),0)+IFERROR(INDEX(Catalogue!$F$6:$F$55,MATCH(F415,Catalogue!$B$6:$B$55,0)),0)+IFERROR(INDEX(Catalogue!$H$6:$H$55,MATCH(F415,Catalogue!$B$6:$B$55,0)),0)))</f>
        <v/>
      </c>
      <c r="R415" s="25" t="str">
        <f t="shared" si="26"/>
        <v/>
      </c>
      <c r="S415" s="18"/>
      <c r="T415" s="24" t="str">
        <f t="shared" si="27"/>
        <v/>
      </c>
      <c r="U415" s="28" t="str">
        <f>IF(D415="","",IF(COUNTIF(D$6:D415,D415)=1,"Nouveau","Fidèle"))</f>
        <v/>
      </c>
    </row>
    <row r="416" spans="1:21" x14ac:dyDescent="0.25">
      <c r="A416" s="41" t="str">
        <f t="shared" si="24"/>
        <v/>
      </c>
      <c r="B416" s="38"/>
      <c r="C416" s="18"/>
      <c r="D416" s="18"/>
      <c r="E416" s="18"/>
      <c r="F416" s="18"/>
      <c r="G416" s="20"/>
      <c r="H416" s="19"/>
      <c r="I416" s="25" t="str">
        <f>IF(F416="","",IF(H416="",IFERROR(INDEX(Catalogue!$I$6:$I$55,MATCH(F416,Catalogue!$B$6:$B$55,0)),0),H416))</f>
        <v/>
      </c>
      <c r="J416" s="19"/>
      <c r="K416" s="25" t="str">
        <f t="shared" si="25"/>
        <v/>
      </c>
      <c r="L416" s="18"/>
      <c r="M416" s="18"/>
      <c r="N416" s="18"/>
      <c r="O416" s="19"/>
      <c r="P416" s="25" t="str">
        <f>IF(F416="","",IF(O416="",IFERROR(INDEX(Catalogue!$G$6:$G$55,MATCH(F416,Catalogue!$B$6:$B$55,0)),0),O416))</f>
        <v/>
      </c>
      <c r="Q416" s="25" t="str">
        <f>IF(F416="","",N(G416)*(IFERROR(INDEX(Catalogue!$E$6:$E$55,MATCH(F416,Catalogue!$B$6:$B$55,0)),0)+IFERROR(INDEX(Catalogue!$F$6:$F$55,MATCH(F416,Catalogue!$B$6:$B$55,0)),0)+IFERROR(INDEX(Catalogue!$H$6:$H$55,MATCH(F416,Catalogue!$B$6:$B$55,0)),0)))</f>
        <v/>
      </c>
      <c r="R416" s="25" t="str">
        <f t="shared" si="26"/>
        <v/>
      </c>
      <c r="S416" s="18"/>
      <c r="T416" s="24" t="str">
        <f t="shared" si="27"/>
        <v/>
      </c>
      <c r="U416" s="28" t="str">
        <f>IF(D416="","",IF(COUNTIF(D$6:D416,D416)=1,"Nouveau","Fidèle"))</f>
        <v/>
      </c>
    </row>
    <row r="417" spans="1:21" x14ac:dyDescent="0.25">
      <c r="A417" s="41" t="str">
        <f t="shared" si="24"/>
        <v/>
      </c>
      <c r="B417" s="38"/>
      <c r="C417" s="18"/>
      <c r="D417" s="18"/>
      <c r="E417" s="18"/>
      <c r="F417" s="18"/>
      <c r="G417" s="20"/>
      <c r="H417" s="19"/>
      <c r="I417" s="25" t="str">
        <f>IF(F417="","",IF(H417="",IFERROR(INDEX(Catalogue!$I$6:$I$55,MATCH(F417,Catalogue!$B$6:$B$55,0)),0),H417))</f>
        <v/>
      </c>
      <c r="J417" s="19"/>
      <c r="K417" s="25" t="str">
        <f t="shared" si="25"/>
        <v/>
      </c>
      <c r="L417" s="18"/>
      <c r="M417" s="18"/>
      <c r="N417" s="18"/>
      <c r="O417" s="19"/>
      <c r="P417" s="25" t="str">
        <f>IF(F417="","",IF(O417="",IFERROR(INDEX(Catalogue!$G$6:$G$55,MATCH(F417,Catalogue!$B$6:$B$55,0)),0),O417))</f>
        <v/>
      </c>
      <c r="Q417" s="25" t="str">
        <f>IF(F417="","",N(G417)*(IFERROR(INDEX(Catalogue!$E$6:$E$55,MATCH(F417,Catalogue!$B$6:$B$55,0)),0)+IFERROR(INDEX(Catalogue!$F$6:$F$55,MATCH(F417,Catalogue!$B$6:$B$55,0)),0)+IFERROR(INDEX(Catalogue!$H$6:$H$55,MATCH(F417,Catalogue!$B$6:$B$55,0)),0)))</f>
        <v/>
      </c>
      <c r="R417" s="25" t="str">
        <f t="shared" si="26"/>
        <v/>
      </c>
      <c r="S417" s="18"/>
      <c r="T417" s="24" t="str">
        <f t="shared" si="27"/>
        <v/>
      </c>
      <c r="U417" s="28" t="str">
        <f>IF(D417="","",IF(COUNTIF(D$6:D417,D417)=1,"Nouveau","Fidèle"))</f>
        <v/>
      </c>
    </row>
    <row r="418" spans="1:21" x14ac:dyDescent="0.25">
      <c r="A418" s="41" t="str">
        <f t="shared" si="24"/>
        <v/>
      </c>
      <c r="B418" s="38"/>
      <c r="C418" s="18"/>
      <c r="D418" s="18"/>
      <c r="E418" s="18"/>
      <c r="F418" s="18"/>
      <c r="G418" s="20"/>
      <c r="H418" s="19"/>
      <c r="I418" s="25" t="str">
        <f>IF(F418="","",IF(H418="",IFERROR(INDEX(Catalogue!$I$6:$I$55,MATCH(F418,Catalogue!$B$6:$B$55,0)),0),H418))</f>
        <v/>
      </c>
      <c r="J418" s="19"/>
      <c r="K418" s="25" t="str">
        <f t="shared" si="25"/>
        <v/>
      </c>
      <c r="L418" s="18"/>
      <c r="M418" s="18"/>
      <c r="N418" s="18"/>
      <c r="O418" s="19"/>
      <c r="P418" s="25" t="str">
        <f>IF(F418="","",IF(O418="",IFERROR(INDEX(Catalogue!$G$6:$G$55,MATCH(F418,Catalogue!$B$6:$B$55,0)),0),O418))</f>
        <v/>
      </c>
      <c r="Q418" s="25" t="str">
        <f>IF(F418="","",N(G418)*(IFERROR(INDEX(Catalogue!$E$6:$E$55,MATCH(F418,Catalogue!$B$6:$B$55,0)),0)+IFERROR(INDEX(Catalogue!$F$6:$F$55,MATCH(F418,Catalogue!$B$6:$B$55,0)),0)+IFERROR(INDEX(Catalogue!$H$6:$H$55,MATCH(F418,Catalogue!$B$6:$B$55,0)),0)))</f>
        <v/>
      </c>
      <c r="R418" s="25" t="str">
        <f t="shared" si="26"/>
        <v/>
      </c>
      <c r="S418" s="18"/>
      <c r="T418" s="24" t="str">
        <f t="shared" si="27"/>
        <v/>
      </c>
      <c r="U418" s="28" t="str">
        <f>IF(D418="","",IF(COUNTIF(D$6:D418,D418)=1,"Nouveau","Fidèle"))</f>
        <v/>
      </c>
    </row>
    <row r="419" spans="1:21" x14ac:dyDescent="0.25">
      <c r="A419" s="41" t="str">
        <f t="shared" si="24"/>
        <v/>
      </c>
      <c r="B419" s="38"/>
      <c r="C419" s="18"/>
      <c r="D419" s="18"/>
      <c r="E419" s="18"/>
      <c r="F419" s="18"/>
      <c r="G419" s="20"/>
      <c r="H419" s="19"/>
      <c r="I419" s="25" t="str">
        <f>IF(F419="","",IF(H419="",IFERROR(INDEX(Catalogue!$I$6:$I$55,MATCH(F419,Catalogue!$B$6:$B$55,0)),0),H419))</f>
        <v/>
      </c>
      <c r="J419" s="19"/>
      <c r="K419" s="25" t="str">
        <f t="shared" si="25"/>
        <v/>
      </c>
      <c r="L419" s="18"/>
      <c r="M419" s="18"/>
      <c r="N419" s="18"/>
      <c r="O419" s="19"/>
      <c r="P419" s="25" t="str">
        <f>IF(F419="","",IF(O419="",IFERROR(INDEX(Catalogue!$G$6:$G$55,MATCH(F419,Catalogue!$B$6:$B$55,0)),0),O419))</f>
        <v/>
      </c>
      <c r="Q419" s="25" t="str">
        <f>IF(F419="","",N(G419)*(IFERROR(INDEX(Catalogue!$E$6:$E$55,MATCH(F419,Catalogue!$B$6:$B$55,0)),0)+IFERROR(INDEX(Catalogue!$F$6:$F$55,MATCH(F419,Catalogue!$B$6:$B$55,0)),0)+IFERROR(INDEX(Catalogue!$H$6:$H$55,MATCH(F419,Catalogue!$B$6:$B$55,0)),0)))</f>
        <v/>
      </c>
      <c r="R419" s="25" t="str">
        <f t="shared" si="26"/>
        <v/>
      </c>
      <c r="S419" s="18"/>
      <c r="T419" s="24" t="str">
        <f t="shared" si="27"/>
        <v/>
      </c>
      <c r="U419" s="28" t="str">
        <f>IF(D419="","",IF(COUNTIF(D$6:D419,D419)=1,"Nouveau","Fidèle"))</f>
        <v/>
      </c>
    </row>
    <row r="420" spans="1:21" x14ac:dyDescent="0.25">
      <c r="A420" s="41" t="str">
        <f t="shared" si="24"/>
        <v/>
      </c>
      <c r="B420" s="38"/>
      <c r="C420" s="18"/>
      <c r="D420" s="18"/>
      <c r="E420" s="18"/>
      <c r="F420" s="18"/>
      <c r="G420" s="20"/>
      <c r="H420" s="19"/>
      <c r="I420" s="25" t="str">
        <f>IF(F420="","",IF(H420="",IFERROR(INDEX(Catalogue!$I$6:$I$55,MATCH(F420,Catalogue!$B$6:$B$55,0)),0),H420))</f>
        <v/>
      </c>
      <c r="J420" s="19"/>
      <c r="K420" s="25" t="str">
        <f t="shared" si="25"/>
        <v/>
      </c>
      <c r="L420" s="18"/>
      <c r="M420" s="18"/>
      <c r="N420" s="18"/>
      <c r="O420" s="19"/>
      <c r="P420" s="25" t="str">
        <f>IF(F420="","",IF(O420="",IFERROR(INDEX(Catalogue!$G$6:$G$55,MATCH(F420,Catalogue!$B$6:$B$55,0)),0),O420))</f>
        <v/>
      </c>
      <c r="Q420" s="25" t="str">
        <f>IF(F420="","",N(G420)*(IFERROR(INDEX(Catalogue!$E$6:$E$55,MATCH(F420,Catalogue!$B$6:$B$55,0)),0)+IFERROR(INDEX(Catalogue!$F$6:$F$55,MATCH(F420,Catalogue!$B$6:$B$55,0)),0)+IFERROR(INDEX(Catalogue!$H$6:$H$55,MATCH(F420,Catalogue!$B$6:$B$55,0)),0)))</f>
        <v/>
      </c>
      <c r="R420" s="25" t="str">
        <f t="shared" si="26"/>
        <v/>
      </c>
      <c r="S420" s="18"/>
      <c r="T420" s="24" t="str">
        <f t="shared" si="27"/>
        <v/>
      </c>
      <c r="U420" s="28" t="str">
        <f>IF(D420="","",IF(COUNTIF(D$6:D420,D420)=1,"Nouveau","Fidèle"))</f>
        <v/>
      </c>
    </row>
    <row r="421" spans="1:21" x14ac:dyDescent="0.25">
      <c r="A421" s="41" t="str">
        <f t="shared" si="24"/>
        <v/>
      </c>
      <c r="B421" s="38"/>
      <c r="C421" s="18"/>
      <c r="D421" s="18"/>
      <c r="E421" s="18"/>
      <c r="F421" s="18"/>
      <c r="G421" s="20"/>
      <c r="H421" s="19"/>
      <c r="I421" s="25" t="str">
        <f>IF(F421="","",IF(H421="",IFERROR(INDEX(Catalogue!$I$6:$I$55,MATCH(F421,Catalogue!$B$6:$B$55,0)),0),H421))</f>
        <v/>
      </c>
      <c r="J421" s="19"/>
      <c r="K421" s="25" t="str">
        <f t="shared" si="25"/>
        <v/>
      </c>
      <c r="L421" s="18"/>
      <c r="M421" s="18"/>
      <c r="N421" s="18"/>
      <c r="O421" s="19"/>
      <c r="P421" s="25" t="str">
        <f>IF(F421="","",IF(O421="",IFERROR(INDEX(Catalogue!$G$6:$G$55,MATCH(F421,Catalogue!$B$6:$B$55,0)),0),O421))</f>
        <v/>
      </c>
      <c r="Q421" s="25" t="str">
        <f>IF(F421="","",N(G421)*(IFERROR(INDEX(Catalogue!$E$6:$E$55,MATCH(F421,Catalogue!$B$6:$B$55,0)),0)+IFERROR(INDEX(Catalogue!$F$6:$F$55,MATCH(F421,Catalogue!$B$6:$B$55,0)),0)+IFERROR(INDEX(Catalogue!$H$6:$H$55,MATCH(F421,Catalogue!$B$6:$B$55,0)),0)))</f>
        <v/>
      </c>
      <c r="R421" s="25" t="str">
        <f t="shared" si="26"/>
        <v/>
      </c>
      <c r="S421" s="18"/>
      <c r="T421" s="24" t="str">
        <f t="shared" si="27"/>
        <v/>
      </c>
      <c r="U421" s="28" t="str">
        <f>IF(D421="","",IF(COUNTIF(D$6:D421,D421)=1,"Nouveau","Fidèle"))</f>
        <v/>
      </c>
    </row>
    <row r="422" spans="1:21" x14ac:dyDescent="0.25">
      <c r="A422" s="41" t="str">
        <f t="shared" si="24"/>
        <v/>
      </c>
      <c r="B422" s="38"/>
      <c r="C422" s="18"/>
      <c r="D422" s="18"/>
      <c r="E422" s="18"/>
      <c r="F422" s="18"/>
      <c r="G422" s="20"/>
      <c r="H422" s="19"/>
      <c r="I422" s="25" t="str">
        <f>IF(F422="","",IF(H422="",IFERROR(INDEX(Catalogue!$I$6:$I$55,MATCH(F422,Catalogue!$B$6:$B$55,0)),0),H422))</f>
        <v/>
      </c>
      <c r="J422" s="19"/>
      <c r="K422" s="25" t="str">
        <f t="shared" si="25"/>
        <v/>
      </c>
      <c r="L422" s="18"/>
      <c r="M422" s="18"/>
      <c r="N422" s="18"/>
      <c r="O422" s="19"/>
      <c r="P422" s="25" t="str">
        <f>IF(F422="","",IF(O422="",IFERROR(INDEX(Catalogue!$G$6:$G$55,MATCH(F422,Catalogue!$B$6:$B$55,0)),0),O422))</f>
        <v/>
      </c>
      <c r="Q422" s="25" t="str">
        <f>IF(F422="","",N(G422)*(IFERROR(INDEX(Catalogue!$E$6:$E$55,MATCH(F422,Catalogue!$B$6:$B$55,0)),0)+IFERROR(INDEX(Catalogue!$F$6:$F$55,MATCH(F422,Catalogue!$B$6:$B$55,0)),0)+IFERROR(INDEX(Catalogue!$H$6:$H$55,MATCH(F422,Catalogue!$B$6:$B$55,0)),0)))</f>
        <v/>
      </c>
      <c r="R422" s="25" t="str">
        <f t="shared" si="26"/>
        <v/>
      </c>
      <c r="S422" s="18"/>
      <c r="T422" s="24" t="str">
        <f t="shared" si="27"/>
        <v/>
      </c>
      <c r="U422" s="28" t="str">
        <f>IF(D422="","",IF(COUNTIF(D$6:D422,D422)=1,"Nouveau","Fidèle"))</f>
        <v/>
      </c>
    </row>
    <row r="423" spans="1:21" x14ac:dyDescent="0.25">
      <c r="A423" s="41" t="str">
        <f t="shared" si="24"/>
        <v/>
      </c>
      <c r="B423" s="38"/>
      <c r="C423" s="18"/>
      <c r="D423" s="18"/>
      <c r="E423" s="18"/>
      <c r="F423" s="18"/>
      <c r="G423" s="20"/>
      <c r="H423" s="19"/>
      <c r="I423" s="25" t="str">
        <f>IF(F423="","",IF(H423="",IFERROR(INDEX(Catalogue!$I$6:$I$55,MATCH(F423,Catalogue!$B$6:$B$55,0)),0),H423))</f>
        <v/>
      </c>
      <c r="J423" s="19"/>
      <c r="K423" s="25" t="str">
        <f t="shared" si="25"/>
        <v/>
      </c>
      <c r="L423" s="18"/>
      <c r="M423" s="18"/>
      <c r="N423" s="18"/>
      <c r="O423" s="19"/>
      <c r="P423" s="25" t="str">
        <f>IF(F423="","",IF(O423="",IFERROR(INDEX(Catalogue!$G$6:$G$55,MATCH(F423,Catalogue!$B$6:$B$55,0)),0),O423))</f>
        <v/>
      </c>
      <c r="Q423" s="25" t="str">
        <f>IF(F423="","",N(G423)*(IFERROR(INDEX(Catalogue!$E$6:$E$55,MATCH(F423,Catalogue!$B$6:$B$55,0)),0)+IFERROR(INDEX(Catalogue!$F$6:$F$55,MATCH(F423,Catalogue!$B$6:$B$55,0)),0)+IFERROR(INDEX(Catalogue!$H$6:$H$55,MATCH(F423,Catalogue!$B$6:$B$55,0)),0)))</f>
        <v/>
      </c>
      <c r="R423" s="25" t="str">
        <f t="shared" si="26"/>
        <v/>
      </c>
      <c r="S423" s="18"/>
      <c r="T423" s="24" t="str">
        <f t="shared" si="27"/>
        <v/>
      </c>
      <c r="U423" s="28" t="str">
        <f>IF(D423="","",IF(COUNTIF(D$6:D423,D423)=1,"Nouveau","Fidèle"))</f>
        <v/>
      </c>
    </row>
    <row r="424" spans="1:21" x14ac:dyDescent="0.25">
      <c r="A424" s="41" t="str">
        <f t="shared" si="24"/>
        <v/>
      </c>
      <c r="B424" s="38"/>
      <c r="C424" s="18"/>
      <c r="D424" s="18"/>
      <c r="E424" s="18"/>
      <c r="F424" s="18"/>
      <c r="G424" s="20"/>
      <c r="H424" s="19"/>
      <c r="I424" s="25" t="str">
        <f>IF(F424="","",IF(H424="",IFERROR(INDEX(Catalogue!$I$6:$I$55,MATCH(F424,Catalogue!$B$6:$B$55,0)),0),H424))</f>
        <v/>
      </c>
      <c r="J424" s="19"/>
      <c r="K424" s="25" t="str">
        <f t="shared" si="25"/>
        <v/>
      </c>
      <c r="L424" s="18"/>
      <c r="M424" s="18"/>
      <c r="N424" s="18"/>
      <c r="O424" s="19"/>
      <c r="P424" s="25" t="str">
        <f>IF(F424="","",IF(O424="",IFERROR(INDEX(Catalogue!$G$6:$G$55,MATCH(F424,Catalogue!$B$6:$B$55,0)),0),O424))</f>
        <v/>
      </c>
      <c r="Q424" s="25" t="str">
        <f>IF(F424="","",N(G424)*(IFERROR(INDEX(Catalogue!$E$6:$E$55,MATCH(F424,Catalogue!$B$6:$B$55,0)),0)+IFERROR(INDEX(Catalogue!$F$6:$F$55,MATCH(F424,Catalogue!$B$6:$B$55,0)),0)+IFERROR(INDEX(Catalogue!$H$6:$H$55,MATCH(F424,Catalogue!$B$6:$B$55,0)),0)))</f>
        <v/>
      </c>
      <c r="R424" s="25" t="str">
        <f t="shared" si="26"/>
        <v/>
      </c>
      <c r="S424" s="18"/>
      <c r="T424" s="24" t="str">
        <f t="shared" si="27"/>
        <v/>
      </c>
      <c r="U424" s="28" t="str">
        <f>IF(D424="","",IF(COUNTIF(D$6:D424,D424)=1,"Nouveau","Fidèle"))</f>
        <v/>
      </c>
    </row>
    <row r="425" spans="1:21" x14ac:dyDescent="0.25">
      <c r="A425" s="41" t="str">
        <f t="shared" si="24"/>
        <v/>
      </c>
      <c r="B425" s="38"/>
      <c r="C425" s="18"/>
      <c r="D425" s="18"/>
      <c r="E425" s="18"/>
      <c r="F425" s="18"/>
      <c r="G425" s="20"/>
      <c r="H425" s="19"/>
      <c r="I425" s="25" t="str">
        <f>IF(F425="","",IF(H425="",IFERROR(INDEX(Catalogue!$I$6:$I$55,MATCH(F425,Catalogue!$B$6:$B$55,0)),0),H425))</f>
        <v/>
      </c>
      <c r="J425" s="19"/>
      <c r="K425" s="25" t="str">
        <f t="shared" si="25"/>
        <v/>
      </c>
      <c r="L425" s="18"/>
      <c r="M425" s="18"/>
      <c r="N425" s="18"/>
      <c r="O425" s="19"/>
      <c r="P425" s="25" t="str">
        <f>IF(F425="","",IF(O425="",IFERROR(INDEX(Catalogue!$G$6:$G$55,MATCH(F425,Catalogue!$B$6:$B$55,0)),0),O425))</f>
        <v/>
      </c>
      <c r="Q425" s="25" t="str">
        <f>IF(F425="","",N(G425)*(IFERROR(INDEX(Catalogue!$E$6:$E$55,MATCH(F425,Catalogue!$B$6:$B$55,0)),0)+IFERROR(INDEX(Catalogue!$F$6:$F$55,MATCH(F425,Catalogue!$B$6:$B$55,0)),0)+IFERROR(INDEX(Catalogue!$H$6:$H$55,MATCH(F425,Catalogue!$B$6:$B$55,0)),0)))</f>
        <v/>
      </c>
      <c r="R425" s="25" t="str">
        <f t="shared" si="26"/>
        <v/>
      </c>
      <c r="S425" s="18"/>
      <c r="T425" s="24" t="str">
        <f t="shared" si="27"/>
        <v/>
      </c>
      <c r="U425" s="28" t="str">
        <f>IF(D425="","",IF(COUNTIF(D$6:D425,D425)=1,"Nouveau","Fidèle"))</f>
        <v/>
      </c>
    </row>
    <row r="426" spans="1:21" x14ac:dyDescent="0.25">
      <c r="A426" s="41" t="str">
        <f t="shared" si="24"/>
        <v/>
      </c>
      <c r="B426" s="38"/>
      <c r="C426" s="18"/>
      <c r="D426" s="18"/>
      <c r="E426" s="18"/>
      <c r="F426" s="18"/>
      <c r="G426" s="20"/>
      <c r="H426" s="19"/>
      <c r="I426" s="25" t="str">
        <f>IF(F426="","",IF(H426="",IFERROR(INDEX(Catalogue!$I$6:$I$55,MATCH(F426,Catalogue!$B$6:$B$55,0)),0),H426))</f>
        <v/>
      </c>
      <c r="J426" s="19"/>
      <c r="K426" s="25" t="str">
        <f t="shared" si="25"/>
        <v/>
      </c>
      <c r="L426" s="18"/>
      <c r="M426" s="18"/>
      <c r="N426" s="18"/>
      <c r="O426" s="19"/>
      <c r="P426" s="25" t="str">
        <f>IF(F426="","",IF(O426="",IFERROR(INDEX(Catalogue!$G$6:$G$55,MATCH(F426,Catalogue!$B$6:$B$55,0)),0),O426))</f>
        <v/>
      </c>
      <c r="Q426" s="25" t="str">
        <f>IF(F426="","",N(G426)*(IFERROR(INDEX(Catalogue!$E$6:$E$55,MATCH(F426,Catalogue!$B$6:$B$55,0)),0)+IFERROR(INDEX(Catalogue!$F$6:$F$55,MATCH(F426,Catalogue!$B$6:$B$55,0)),0)+IFERROR(INDEX(Catalogue!$H$6:$H$55,MATCH(F426,Catalogue!$B$6:$B$55,0)),0)))</f>
        <v/>
      </c>
      <c r="R426" s="25" t="str">
        <f t="shared" si="26"/>
        <v/>
      </c>
      <c r="S426" s="18"/>
      <c r="T426" s="24" t="str">
        <f t="shared" si="27"/>
        <v/>
      </c>
      <c r="U426" s="28" t="str">
        <f>IF(D426="","",IF(COUNTIF(D$6:D426,D426)=1,"Nouveau","Fidèle"))</f>
        <v/>
      </c>
    </row>
    <row r="427" spans="1:21" x14ac:dyDescent="0.25">
      <c r="A427" s="41" t="str">
        <f t="shared" si="24"/>
        <v/>
      </c>
      <c r="B427" s="38"/>
      <c r="C427" s="18"/>
      <c r="D427" s="18"/>
      <c r="E427" s="18"/>
      <c r="F427" s="18"/>
      <c r="G427" s="20"/>
      <c r="H427" s="19"/>
      <c r="I427" s="25" t="str">
        <f>IF(F427="","",IF(H427="",IFERROR(INDEX(Catalogue!$I$6:$I$55,MATCH(F427,Catalogue!$B$6:$B$55,0)),0),H427))</f>
        <v/>
      </c>
      <c r="J427" s="19"/>
      <c r="K427" s="25" t="str">
        <f t="shared" si="25"/>
        <v/>
      </c>
      <c r="L427" s="18"/>
      <c r="M427" s="18"/>
      <c r="N427" s="18"/>
      <c r="O427" s="19"/>
      <c r="P427" s="25" t="str">
        <f>IF(F427="","",IF(O427="",IFERROR(INDEX(Catalogue!$G$6:$G$55,MATCH(F427,Catalogue!$B$6:$B$55,0)),0),O427))</f>
        <v/>
      </c>
      <c r="Q427" s="25" t="str">
        <f>IF(F427="","",N(G427)*(IFERROR(INDEX(Catalogue!$E$6:$E$55,MATCH(F427,Catalogue!$B$6:$B$55,0)),0)+IFERROR(INDEX(Catalogue!$F$6:$F$55,MATCH(F427,Catalogue!$B$6:$B$55,0)),0)+IFERROR(INDEX(Catalogue!$H$6:$H$55,MATCH(F427,Catalogue!$B$6:$B$55,0)),0)))</f>
        <v/>
      </c>
      <c r="R427" s="25" t="str">
        <f t="shared" si="26"/>
        <v/>
      </c>
      <c r="S427" s="18"/>
      <c r="T427" s="24" t="str">
        <f t="shared" si="27"/>
        <v/>
      </c>
      <c r="U427" s="28" t="str">
        <f>IF(D427="","",IF(COUNTIF(D$6:D427,D427)=1,"Nouveau","Fidèle"))</f>
        <v/>
      </c>
    </row>
    <row r="428" spans="1:21" x14ac:dyDescent="0.25">
      <c r="A428" s="41" t="str">
        <f t="shared" si="24"/>
        <v/>
      </c>
      <c r="B428" s="38"/>
      <c r="C428" s="18"/>
      <c r="D428" s="18"/>
      <c r="E428" s="18"/>
      <c r="F428" s="18"/>
      <c r="G428" s="20"/>
      <c r="H428" s="19"/>
      <c r="I428" s="25" t="str">
        <f>IF(F428="","",IF(H428="",IFERROR(INDEX(Catalogue!$I$6:$I$55,MATCH(F428,Catalogue!$B$6:$B$55,0)),0),H428))</f>
        <v/>
      </c>
      <c r="J428" s="19"/>
      <c r="K428" s="25" t="str">
        <f t="shared" si="25"/>
        <v/>
      </c>
      <c r="L428" s="18"/>
      <c r="M428" s="18"/>
      <c r="N428" s="18"/>
      <c r="O428" s="19"/>
      <c r="P428" s="25" t="str">
        <f>IF(F428="","",IF(O428="",IFERROR(INDEX(Catalogue!$G$6:$G$55,MATCH(F428,Catalogue!$B$6:$B$55,0)),0),O428))</f>
        <v/>
      </c>
      <c r="Q428" s="25" t="str">
        <f>IF(F428="","",N(G428)*(IFERROR(INDEX(Catalogue!$E$6:$E$55,MATCH(F428,Catalogue!$B$6:$B$55,0)),0)+IFERROR(INDEX(Catalogue!$F$6:$F$55,MATCH(F428,Catalogue!$B$6:$B$55,0)),0)+IFERROR(INDEX(Catalogue!$H$6:$H$55,MATCH(F428,Catalogue!$B$6:$B$55,0)),0)))</f>
        <v/>
      </c>
      <c r="R428" s="25" t="str">
        <f t="shared" si="26"/>
        <v/>
      </c>
      <c r="S428" s="18"/>
      <c r="T428" s="24" t="str">
        <f t="shared" si="27"/>
        <v/>
      </c>
      <c r="U428" s="28" t="str">
        <f>IF(D428="","",IF(COUNTIF(D$6:D428,D428)=1,"Nouveau","Fidèle"))</f>
        <v/>
      </c>
    </row>
    <row r="429" spans="1:21" x14ac:dyDescent="0.25">
      <c r="A429" s="41" t="str">
        <f t="shared" si="24"/>
        <v/>
      </c>
      <c r="B429" s="38"/>
      <c r="C429" s="18"/>
      <c r="D429" s="18"/>
      <c r="E429" s="18"/>
      <c r="F429" s="18"/>
      <c r="G429" s="20"/>
      <c r="H429" s="19"/>
      <c r="I429" s="25" t="str">
        <f>IF(F429="","",IF(H429="",IFERROR(INDEX(Catalogue!$I$6:$I$55,MATCH(F429,Catalogue!$B$6:$B$55,0)),0),H429))</f>
        <v/>
      </c>
      <c r="J429" s="19"/>
      <c r="K429" s="25" t="str">
        <f t="shared" si="25"/>
        <v/>
      </c>
      <c r="L429" s="18"/>
      <c r="M429" s="18"/>
      <c r="N429" s="18"/>
      <c r="O429" s="19"/>
      <c r="P429" s="25" t="str">
        <f>IF(F429="","",IF(O429="",IFERROR(INDEX(Catalogue!$G$6:$G$55,MATCH(F429,Catalogue!$B$6:$B$55,0)),0),O429))</f>
        <v/>
      </c>
      <c r="Q429" s="25" t="str">
        <f>IF(F429="","",N(G429)*(IFERROR(INDEX(Catalogue!$E$6:$E$55,MATCH(F429,Catalogue!$B$6:$B$55,0)),0)+IFERROR(INDEX(Catalogue!$F$6:$F$55,MATCH(F429,Catalogue!$B$6:$B$55,0)),0)+IFERROR(INDEX(Catalogue!$H$6:$H$55,MATCH(F429,Catalogue!$B$6:$B$55,0)),0)))</f>
        <v/>
      </c>
      <c r="R429" s="25" t="str">
        <f t="shared" si="26"/>
        <v/>
      </c>
      <c r="S429" s="18"/>
      <c r="T429" s="24" t="str">
        <f t="shared" si="27"/>
        <v/>
      </c>
      <c r="U429" s="28" t="str">
        <f>IF(D429="","",IF(COUNTIF(D$6:D429,D429)=1,"Nouveau","Fidèle"))</f>
        <v/>
      </c>
    </row>
    <row r="430" spans="1:21" x14ac:dyDescent="0.25">
      <c r="A430" s="41" t="str">
        <f t="shared" si="24"/>
        <v/>
      </c>
      <c r="B430" s="38"/>
      <c r="C430" s="18"/>
      <c r="D430" s="18"/>
      <c r="E430" s="18"/>
      <c r="F430" s="18"/>
      <c r="G430" s="20"/>
      <c r="H430" s="19"/>
      <c r="I430" s="25" t="str">
        <f>IF(F430="","",IF(H430="",IFERROR(INDEX(Catalogue!$I$6:$I$55,MATCH(F430,Catalogue!$B$6:$B$55,0)),0),H430))</f>
        <v/>
      </c>
      <c r="J430" s="19"/>
      <c r="K430" s="25" t="str">
        <f t="shared" si="25"/>
        <v/>
      </c>
      <c r="L430" s="18"/>
      <c r="M430" s="18"/>
      <c r="N430" s="18"/>
      <c r="O430" s="19"/>
      <c r="P430" s="25" t="str">
        <f>IF(F430="","",IF(O430="",IFERROR(INDEX(Catalogue!$G$6:$G$55,MATCH(F430,Catalogue!$B$6:$B$55,0)),0),O430))</f>
        <v/>
      </c>
      <c r="Q430" s="25" t="str">
        <f>IF(F430="","",N(G430)*(IFERROR(INDEX(Catalogue!$E$6:$E$55,MATCH(F430,Catalogue!$B$6:$B$55,0)),0)+IFERROR(INDEX(Catalogue!$F$6:$F$55,MATCH(F430,Catalogue!$B$6:$B$55,0)),0)+IFERROR(INDEX(Catalogue!$H$6:$H$55,MATCH(F430,Catalogue!$B$6:$B$55,0)),0)))</f>
        <v/>
      </c>
      <c r="R430" s="25" t="str">
        <f t="shared" si="26"/>
        <v/>
      </c>
      <c r="S430" s="18"/>
      <c r="T430" s="24" t="str">
        <f t="shared" si="27"/>
        <v/>
      </c>
      <c r="U430" s="28" t="str">
        <f>IF(D430="","",IF(COUNTIF(D$6:D430,D430)=1,"Nouveau","Fidèle"))</f>
        <v/>
      </c>
    </row>
    <row r="431" spans="1:21" x14ac:dyDescent="0.25">
      <c r="A431" s="41" t="str">
        <f t="shared" si="24"/>
        <v/>
      </c>
      <c r="B431" s="38"/>
      <c r="C431" s="18"/>
      <c r="D431" s="18"/>
      <c r="E431" s="18"/>
      <c r="F431" s="18"/>
      <c r="G431" s="20"/>
      <c r="H431" s="19"/>
      <c r="I431" s="25" t="str">
        <f>IF(F431="","",IF(H431="",IFERROR(INDEX(Catalogue!$I$6:$I$55,MATCH(F431,Catalogue!$B$6:$B$55,0)),0),H431))</f>
        <v/>
      </c>
      <c r="J431" s="19"/>
      <c r="K431" s="25" t="str">
        <f t="shared" si="25"/>
        <v/>
      </c>
      <c r="L431" s="18"/>
      <c r="M431" s="18"/>
      <c r="N431" s="18"/>
      <c r="O431" s="19"/>
      <c r="P431" s="25" t="str">
        <f>IF(F431="","",IF(O431="",IFERROR(INDEX(Catalogue!$G$6:$G$55,MATCH(F431,Catalogue!$B$6:$B$55,0)),0),O431))</f>
        <v/>
      </c>
      <c r="Q431" s="25" t="str">
        <f>IF(F431="","",N(G431)*(IFERROR(INDEX(Catalogue!$E$6:$E$55,MATCH(F431,Catalogue!$B$6:$B$55,0)),0)+IFERROR(INDEX(Catalogue!$F$6:$F$55,MATCH(F431,Catalogue!$B$6:$B$55,0)),0)+IFERROR(INDEX(Catalogue!$H$6:$H$55,MATCH(F431,Catalogue!$B$6:$B$55,0)),0)))</f>
        <v/>
      </c>
      <c r="R431" s="25" t="str">
        <f t="shared" si="26"/>
        <v/>
      </c>
      <c r="S431" s="18"/>
      <c r="T431" s="24" t="str">
        <f t="shared" si="27"/>
        <v/>
      </c>
      <c r="U431" s="28" t="str">
        <f>IF(D431="","",IF(COUNTIF(D$6:D431,D431)=1,"Nouveau","Fidèle"))</f>
        <v/>
      </c>
    </row>
    <row r="432" spans="1:21" x14ac:dyDescent="0.25">
      <c r="A432" s="41" t="str">
        <f t="shared" si="24"/>
        <v/>
      </c>
      <c r="B432" s="38"/>
      <c r="C432" s="18"/>
      <c r="D432" s="18"/>
      <c r="E432" s="18"/>
      <c r="F432" s="18"/>
      <c r="G432" s="20"/>
      <c r="H432" s="19"/>
      <c r="I432" s="25" t="str">
        <f>IF(F432="","",IF(H432="",IFERROR(INDEX(Catalogue!$I$6:$I$55,MATCH(F432,Catalogue!$B$6:$B$55,0)),0),H432))</f>
        <v/>
      </c>
      <c r="J432" s="19"/>
      <c r="K432" s="25" t="str">
        <f t="shared" si="25"/>
        <v/>
      </c>
      <c r="L432" s="18"/>
      <c r="M432" s="18"/>
      <c r="N432" s="18"/>
      <c r="O432" s="19"/>
      <c r="P432" s="25" t="str">
        <f>IF(F432="","",IF(O432="",IFERROR(INDEX(Catalogue!$G$6:$G$55,MATCH(F432,Catalogue!$B$6:$B$55,0)),0),O432))</f>
        <v/>
      </c>
      <c r="Q432" s="25" t="str">
        <f>IF(F432="","",N(G432)*(IFERROR(INDEX(Catalogue!$E$6:$E$55,MATCH(F432,Catalogue!$B$6:$B$55,0)),0)+IFERROR(INDEX(Catalogue!$F$6:$F$55,MATCH(F432,Catalogue!$B$6:$B$55,0)),0)+IFERROR(INDEX(Catalogue!$H$6:$H$55,MATCH(F432,Catalogue!$B$6:$B$55,0)),0)))</f>
        <v/>
      </c>
      <c r="R432" s="25" t="str">
        <f t="shared" si="26"/>
        <v/>
      </c>
      <c r="S432" s="18"/>
      <c r="T432" s="24" t="str">
        <f t="shared" si="27"/>
        <v/>
      </c>
      <c r="U432" s="28" t="str">
        <f>IF(D432="","",IF(COUNTIF(D$6:D432,D432)=1,"Nouveau","Fidèle"))</f>
        <v/>
      </c>
    </row>
    <row r="433" spans="1:21" x14ac:dyDescent="0.25">
      <c r="A433" s="41" t="str">
        <f t="shared" si="24"/>
        <v/>
      </c>
      <c r="B433" s="38"/>
      <c r="C433" s="18"/>
      <c r="D433" s="18"/>
      <c r="E433" s="18"/>
      <c r="F433" s="18"/>
      <c r="G433" s="20"/>
      <c r="H433" s="19"/>
      <c r="I433" s="25" t="str">
        <f>IF(F433="","",IF(H433="",IFERROR(INDEX(Catalogue!$I$6:$I$55,MATCH(F433,Catalogue!$B$6:$B$55,0)),0),H433))</f>
        <v/>
      </c>
      <c r="J433" s="19"/>
      <c r="K433" s="25" t="str">
        <f t="shared" si="25"/>
        <v/>
      </c>
      <c r="L433" s="18"/>
      <c r="M433" s="18"/>
      <c r="N433" s="18"/>
      <c r="O433" s="19"/>
      <c r="P433" s="25" t="str">
        <f>IF(F433="","",IF(O433="",IFERROR(INDEX(Catalogue!$G$6:$G$55,MATCH(F433,Catalogue!$B$6:$B$55,0)),0),O433))</f>
        <v/>
      </c>
      <c r="Q433" s="25" t="str">
        <f>IF(F433="","",N(G433)*(IFERROR(INDEX(Catalogue!$E$6:$E$55,MATCH(F433,Catalogue!$B$6:$B$55,0)),0)+IFERROR(INDEX(Catalogue!$F$6:$F$55,MATCH(F433,Catalogue!$B$6:$B$55,0)),0)+IFERROR(INDEX(Catalogue!$H$6:$H$55,MATCH(F433,Catalogue!$B$6:$B$55,0)),0)))</f>
        <v/>
      </c>
      <c r="R433" s="25" t="str">
        <f t="shared" si="26"/>
        <v/>
      </c>
      <c r="S433" s="18"/>
      <c r="T433" s="24" t="str">
        <f t="shared" si="27"/>
        <v/>
      </c>
      <c r="U433" s="28" t="str">
        <f>IF(D433="","",IF(COUNTIF(D$6:D433,D433)=1,"Nouveau","Fidèle"))</f>
        <v/>
      </c>
    </row>
    <row r="434" spans="1:21" x14ac:dyDescent="0.25">
      <c r="A434" s="41" t="str">
        <f t="shared" si="24"/>
        <v/>
      </c>
      <c r="B434" s="38"/>
      <c r="C434" s="18"/>
      <c r="D434" s="18"/>
      <c r="E434" s="18"/>
      <c r="F434" s="18"/>
      <c r="G434" s="20"/>
      <c r="H434" s="19"/>
      <c r="I434" s="25" t="str">
        <f>IF(F434="","",IF(H434="",IFERROR(INDEX(Catalogue!$I$6:$I$55,MATCH(F434,Catalogue!$B$6:$B$55,0)),0),H434))</f>
        <v/>
      </c>
      <c r="J434" s="19"/>
      <c r="K434" s="25" t="str">
        <f t="shared" si="25"/>
        <v/>
      </c>
      <c r="L434" s="18"/>
      <c r="M434" s="18"/>
      <c r="N434" s="18"/>
      <c r="O434" s="19"/>
      <c r="P434" s="25" t="str">
        <f>IF(F434="","",IF(O434="",IFERROR(INDEX(Catalogue!$G$6:$G$55,MATCH(F434,Catalogue!$B$6:$B$55,0)),0),O434))</f>
        <v/>
      </c>
      <c r="Q434" s="25" t="str">
        <f>IF(F434="","",N(G434)*(IFERROR(INDEX(Catalogue!$E$6:$E$55,MATCH(F434,Catalogue!$B$6:$B$55,0)),0)+IFERROR(INDEX(Catalogue!$F$6:$F$55,MATCH(F434,Catalogue!$B$6:$B$55,0)),0)+IFERROR(INDEX(Catalogue!$H$6:$H$55,MATCH(F434,Catalogue!$B$6:$B$55,0)),0)))</f>
        <v/>
      </c>
      <c r="R434" s="25" t="str">
        <f t="shared" si="26"/>
        <v/>
      </c>
      <c r="S434" s="18"/>
      <c r="T434" s="24" t="str">
        <f t="shared" si="27"/>
        <v/>
      </c>
      <c r="U434" s="28" t="str">
        <f>IF(D434="","",IF(COUNTIF(D$6:D434,D434)=1,"Nouveau","Fidèle"))</f>
        <v/>
      </c>
    </row>
    <row r="435" spans="1:21" x14ac:dyDescent="0.25">
      <c r="A435" s="41" t="str">
        <f t="shared" si="24"/>
        <v/>
      </c>
      <c r="B435" s="38"/>
      <c r="C435" s="18"/>
      <c r="D435" s="18"/>
      <c r="E435" s="18"/>
      <c r="F435" s="18"/>
      <c r="G435" s="20"/>
      <c r="H435" s="19"/>
      <c r="I435" s="25" t="str">
        <f>IF(F435="","",IF(H435="",IFERROR(INDEX(Catalogue!$I$6:$I$55,MATCH(F435,Catalogue!$B$6:$B$55,0)),0),H435))</f>
        <v/>
      </c>
      <c r="J435" s="19"/>
      <c r="K435" s="25" t="str">
        <f t="shared" si="25"/>
        <v/>
      </c>
      <c r="L435" s="18"/>
      <c r="M435" s="18"/>
      <c r="N435" s="18"/>
      <c r="O435" s="19"/>
      <c r="P435" s="25" t="str">
        <f>IF(F435="","",IF(O435="",IFERROR(INDEX(Catalogue!$G$6:$G$55,MATCH(F435,Catalogue!$B$6:$B$55,0)),0),O435))</f>
        <v/>
      </c>
      <c r="Q435" s="25" t="str">
        <f>IF(F435="","",N(G435)*(IFERROR(INDEX(Catalogue!$E$6:$E$55,MATCH(F435,Catalogue!$B$6:$B$55,0)),0)+IFERROR(INDEX(Catalogue!$F$6:$F$55,MATCH(F435,Catalogue!$B$6:$B$55,0)),0)+IFERROR(INDEX(Catalogue!$H$6:$H$55,MATCH(F435,Catalogue!$B$6:$B$55,0)),0)))</f>
        <v/>
      </c>
      <c r="R435" s="25" t="str">
        <f t="shared" si="26"/>
        <v/>
      </c>
      <c r="S435" s="18"/>
      <c r="T435" s="24" t="str">
        <f t="shared" si="27"/>
        <v/>
      </c>
      <c r="U435" s="28" t="str">
        <f>IF(D435="","",IF(COUNTIF(D$6:D435,D435)=1,"Nouveau","Fidèle"))</f>
        <v/>
      </c>
    </row>
    <row r="436" spans="1:21" x14ac:dyDescent="0.25">
      <c r="A436" s="41" t="str">
        <f t="shared" si="24"/>
        <v/>
      </c>
      <c r="B436" s="38"/>
      <c r="C436" s="18"/>
      <c r="D436" s="18"/>
      <c r="E436" s="18"/>
      <c r="F436" s="18"/>
      <c r="G436" s="20"/>
      <c r="H436" s="19"/>
      <c r="I436" s="25" t="str">
        <f>IF(F436="","",IF(H436="",IFERROR(INDEX(Catalogue!$I$6:$I$55,MATCH(F436,Catalogue!$B$6:$B$55,0)),0),H436))</f>
        <v/>
      </c>
      <c r="J436" s="19"/>
      <c r="K436" s="25" t="str">
        <f t="shared" si="25"/>
        <v/>
      </c>
      <c r="L436" s="18"/>
      <c r="M436" s="18"/>
      <c r="N436" s="18"/>
      <c r="O436" s="19"/>
      <c r="P436" s="25" t="str">
        <f>IF(F436="","",IF(O436="",IFERROR(INDEX(Catalogue!$G$6:$G$55,MATCH(F436,Catalogue!$B$6:$B$55,0)),0),O436))</f>
        <v/>
      </c>
      <c r="Q436" s="25" t="str">
        <f>IF(F436="","",N(G436)*(IFERROR(INDEX(Catalogue!$E$6:$E$55,MATCH(F436,Catalogue!$B$6:$B$55,0)),0)+IFERROR(INDEX(Catalogue!$F$6:$F$55,MATCH(F436,Catalogue!$B$6:$B$55,0)),0)+IFERROR(INDEX(Catalogue!$H$6:$H$55,MATCH(F436,Catalogue!$B$6:$B$55,0)),0)))</f>
        <v/>
      </c>
      <c r="R436" s="25" t="str">
        <f t="shared" si="26"/>
        <v/>
      </c>
      <c r="S436" s="18"/>
      <c r="T436" s="24" t="str">
        <f t="shared" si="27"/>
        <v/>
      </c>
      <c r="U436" s="28" t="str">
        <f>IF(D436="","",IF(COUNTIF(D$6:D436,D436)=1,"Nouveau","Fidèle"))</f>
        <v/>
      </c>
    </row>
    <row r="437" spans="1:21" x14ac:dyDescent="0.25">
      <c r="A437" s="41" t="str">
        <f t="shared" si="24"/>
        <v/>
      </c>
      <c r="B437" s="38"/>
      <c r="C437" s="18"/>
      <c r="D437" s="18"/>
      <c r="E437" s="18"/>
      <c r="F437" s="18"/>
      <c r="G437" s="20"/>
      <c r="H437" s="19"/>
      <c r="I437" s="25" t="str">
        <f>IF(F437="","",IF(H437="",IFERROR(INDEX(Catalogue!$I$6:$I$55,MATCH(F437,Catalogue!$B$6:$B$55,0)),0),H437))</f>
        <v/>
      </c>
      <c r="J437" s="19"/>
      <c r="K437" s="25" t="str">
        <f t="shared" si="25"/>
        <v/>
      </c>
      <c r="L437" s="18"/>
      <c r="M437" s="18"/>
      <c r="N437" s="18"/>
      <c r="O437" s="19"/>
      <c r="P437" s="25" t="str">
        <f>IF(F437="","",IF(O437="",IFERROR(INDEX(Catalogue!$G$6:$G$55,MATCH(F437,Catalogue!$B$6:$B$55,0)),0),O437))</f>
        <v/>
      </c>
      <c r="Q437" s="25" t="str">
        <f>IF(F437="","",N(G437)*(IFERROR(INDEX(Catalogue!$E$6:$E$55,MATCH(F437,Catalogue!$B$6:$B$55,0)),0)+IFERROR(INDEX(Catalogue!$F$6:$F$55,MATCH(F437,Catalogue!$B$6:$B$55,0)),0)+IFERROR(INDEX(Catalogue!$H$6:$H$55,MATCH(F437,Catalogue!$B$6:$B$55,0)),0)))</f>
        <v/>
      </c>
      <c r="R437" s="25" t="str">
        <f t="shared" si="26"/>
        <v/>
      </c>
      <c r="S437" s="18"/>
      <c r="T437" s="24" t="str">
        <f t="shared" si="27"/>
        <v/>
      </c>
      <c r="U437" s="28" t="str">
        <f>IF(D437="","",IF(COUNTIF(D$6:D437,D437)=1,"Nouveau","Fidèle"))</f>
        <v/>
      </c>
    </row>
    <row r="438" spans="1:21" x14ac:dyDescent="0.25">
      <c r="A438" s="41" t="str">
        <f t="shared" si="24"/>
        <v/>
      </c>
      <c r="B438" s="38"/>
      <c r="C438" s="18"/>
      <c r="D438" s="18"/>
      <c r="E438" s="18"/>
      <c r="F438" s="18"/>
      <c r="G438" s="20"/>
      <c r="H438" s="19"/>
      <c r="I438" s="25" t="str">
        <f>IF(F438="","",IF(H438="",IFERROR(INDEX(Catalogue!$I$6:$I$55,MATCH(F438,Catalogue!$B$6:$B$55,0)),0),H438))</f>
        <v/>
      </c>
      <c r="J438" s="19"/>
      <c r="K438" s="25" t="str">
        <f t="shared" si="25"/>
        <v/>
      </c>
      <c r="L438" s="18"/>
      <c r="M438" s="18"/>
      <c r="N438" s="18"/>
      <c r="O438" s="19"/>
      <c r="P438" s="25" t="str">
        <f>IF(F438="","",IF(O438="",IFERROR(INDEX(Catalogue!$G$6:$G$55,MATCH(F438,Catalogue!$B$6:$B$55,0)),0),O438))</f>
        <v/>
      </c>
      <c r="Q438" s="25" t="str">
        <f>IF(F438="","",N(G438)*(IFERROR(INDEX(Catalogue!$E$6:$E$55,MATCH(F438,Catalogue!$B$6:$B$55,0)),0)+IFERROR(INDEX(Catalogue!$F$6:$F$55,MATCH(F438,Catalogue!$B$6:$B$55,0)),0)+IFERROR(INDEX(Catalogue!$H$6:$H$55,MATCH(F438,Catalogue!$B$6:$B$55,0)),0)))</f>
        <v/>
      </c>
      <c r="R438" s="25" t="str">
        <f t="shared" si="26"/>
        <v/>
      </c>
      <c r="S438" s="18"/>
      <c r="T438" s="24" t="str">
        <f t="shared" si="27"/>
        <v/>
      </c>
      <c r="U438" s="28" t="str">
        <f>IF(D438="","",IF(COUNTIF(D$6:D438,D438)=1,"Nouveau","Fidèle"))</f>
        <v/>
      </c>
    </row>
    <row r="439" spans="1:21" x14ac:dyDescent="0.25">
      <c r="A439" s="41" t="str">
        <f t="shared" si="24"/>
        <v/>
      </c>
      <c r="B439" s="38"/>
      <c r="C439" s="18"/>
      <c r="D439" s="18"/>
      <c r="E439" s="18"/>
      <c r="F439" s="18"/>
      <c r="G439" s="20"/>
      <c r="H439" s="19"/>
      <c r="I439" s="25" t="str">
        <f>IF(F439="","",IF(H439="",IFERROR(INDEX(Catalogue!$I$6:$I$55,MATCH(F439,Catalogue!$B$6:$B$55,0)),0),H439))</f>
        <v/>
      </c>
      <c r="J439" s="19"/>
      <c r="K439" s="25" t="str">
        <f t="shared" si="25"/>
        <v/>
      </c>
      <c r="L439" s="18"/>
      <c r="M439" s="18"/>
      <c r="N439" s="18"/>
      <c r="O439" s="19"/>
      <c r="P439" s="25" t="str">
        <f>IF(F439="","",IF(O439="",IFERROR(INDEX(Catalogue!$G$6:$G$55,MATCH(F439,Catalogue!$B$6:$B$55,0)),0),O439))</f>
        <v/>
      </c>
      <c r="Q439" s="25" t="str">
        <f>IF(F439="","",N(G439)*(IFERROR(INDEX(Catalogue!$E$6:$E$55,MATCH(F439,Catalogue!$B$6:$B$55,0)),0)+IFERROR(INDEX(Catalogue!$F$6:$F$55,MATCH(F439,Catalogue!$B$6:$B$55,0)),0)+IFERROR(INDEX(Catalogue!$H$6:$H$55,MATCH(F439,Catalogue!$B$6:$B$55,0)),0)))</f>
        <v/>
      </c>
      <c r="R439" s="25" t="str">
        <f t="shared" si="26"/>
        <v/>
      </c>
      <c r="S439" s="18"/>
      <c r="T439" s="24" t="str">
        <f t="shared" si="27"/>
        <v/>
      </c>
      <c r="U439" s="28" t="str">
        <f>IF(D439="","",IF(COUNTIF(D$6:D439,D439)=1,"Nouveau","Fidèle"))</f>
        <v/>
      </c>
    </row>
    <row r="440" spans="1:21" x14ac:dyDescent="0.25">
      <c r="A440" s="41" t="str">
        <f t="shared" si="24"/>
        <v/>
      </c>
      <c r="B440" s="38"/>
      <c r="C440" s="18"/>
      <c r="D440" s="18"/>
      <c r="E440" s="18"/>
      <c r="F440" s="18"/>
      <c r="G440" s="20"/>
      <c r="H440" s="19"/>
      <c r="I440" s="25" t="str">
        <f>IF(F440="","",IF(H440="",IFERROR(INDEX(Catalogue!$I$6:$I$55,MATCH(F440,Catalogue!$B$6:$B$55,0)),0),H440))</f>
        <v/>
      </c>
      <c r="J440" s="19"/>
      <c r="K440" s="25" t="str">
        <f t="shared" si="25"/>
        <v/>
      </c>
      <c r="L440" s="18"/>
      <c r="M440" s="18"/>
      <c r="N440" s="18"/>
      <c r="O440" s="19"/>
      <c r="P440" s="25" t="str">
        <f>IF(F440="","",IF(O440="",IFERROR(INDEX(Catalogue!$G$6:$G$55,MATCH(F440,Catalogue!$B$6:$B$55,0)),0),O440))</f>
        <v/>
      </c>
      <c r="Q440" s="25" t="str">
        <f>IF(F440="","",N(G440)*(IFERROR(INDEX(Catalogue!$E$6:$E$55,MATCH(F440,Catalogue!$B$6:$B$55,0)),0)+IFERROR(INDEX(Catalogue!$F$6:$F$55,MATCH(F440,Catalogue!$B$6:$B$55,0)),0)+IFERROR(INDEX(Catalogue!$H$6:$H$55,MATCH(F440,Catalogue!$B$6:$B$55,0)),0)))</f>
        <v/>
      </c>
      <c r="R440" s="25" t="str">
        <f t="shared" si="26"/>
        <v/>
      </c>
      <c r="S440" s="18"/>
      <c r="T440" s="24" t="str">
        <f t="shared" si="27"/>
        <v/>
      </c>
      <c r="U440" s="28" t="str">
        <f>IF(D440="","",IF(COUNTIF(D$6:D440,D440)=1,"Nouveau","Fidèle"))</f>
        <v/>
      </c>
    </row>
    <row r="441" spans="1:21" x14ac:dyDescent="0.25">
      <c r="A441" s="41" t="str">
        <f t="shared" si="24"/>
        <v/>
      </c>
      <c r="B441" s="38"/>
      <c r="C441" s="18"/>
      <c r="D441" s="18"/>
      <c r="E441" s="18"/>
      <c r="F441" s="18"/>
      <c r="G441" s="20"/>
      <c r="H441" s="19"/>
      <c r="I441" s="25" t="str">
        <f>IF(F441="","",IF(H441="",IFERROR(INDEX(Catalogue!$I$6:$I$55,MATCH(F441,Catalogue!$B$6:$B$55,0)),0),H441))</f>
        <v/>
      </c>
      <c r="J441" s="19"/>
      <c r="K441" s="25" t="str">
        <f t="shared" si="25"/>
        <v/>
      </c>
      <c r="L441" s="18"/>
      <c r="M441" s="18"/>
      <c r="N441" s="18"/>
      <c r="O441" s="19"/>
      <c r="P441" s="25" t="str">
        <f>IF(F441="","",IF(O441="",IFERROR(INDEX(Catalogue!$G$6:$G$55,MATCH(F441,Catalogue!$B$6:$B$55,0)),0),O441))</f>
        <v/>
      </c>
      <c r="Q441" s="25" t="str">
        <f>IF(F441="","",N(G441)*(IFERROR(INDEX(Catalogue!$E$6:$E$55,MATCH(F441,Catalogue!$B$6:$B$55,0)),0)+IFERROR(INDEX(Catalogue!$F$6:$F$55,MATCH(F441,Catalogue!$B$6:$B$55,0)),0)+IFERROR(INDEX(Catalogue!$H$6:$H$55,MATCH(F441,Catalogue!$B$6:$B$55,0)),0)))</f>
        <v/>
      </c>
      <c r="R441" s="25" t="str">
        <f t="shared" si="26"/>
        <v/>
      </c>
      <c r="S441" s="18"/>
      <c r="T441" s="24" t="str">
        <f t="shared" si="27"/>
        <v/>
      </c>
      <c r="U441" s="28" t="str">
        <f>IF(D441="","",IF(COUNTIF(D$6:D441,D441)=1,"Nouveau","Fidèle"))</f>
        <v/>
      </c>
    </row>
    <row r="442" spans="1:21" x14ac:dyDescent="0.25">
      <c r="A442" s="41" t="str">
        <f t="shared" si="24"/>
        <v/>
      </c>
      <c r="B442" s="38"/>
      <c r="C442" s="18"/>
      <c r="D442" s="18"/>
      <c r="E442" s="18"/>
      <c r="F442" s="18"/>
      <c r="G442" s="20"/>
      <c r="H442" s="19"/>
      <c r="I442" s="25" t="str">
        <f>IF(F442="","",IF(H442="",IFERROR(INDEX(Catalogue!$I$6:$I$55,MATCH(F442,Catalogue!$B$6:$B$55,0)),0),H442))</f>
        <v/>
      </c>
      <c r="J442" s="19"/>
      <c r="K442" s="25" t="str">
        <f t="shared" si="25"/>
        <v/>
      </c>
      <c r="L442" s="18"/>
      <c r="M442" s="18"/>
      <c r="N442" s="18"/>
      <c r="O442" s="19"/>
      <c r="P442" s="25" t="str">
        <f>IF(F442="","",IF(O442="",IFERROR(INDEX(Catalogue!$G$6:$G$55,MATCH(F442,Catalogue!$B$6:$B$55,0)),0),O442))</f>
        <v/>
      </c>
      <c r="Q442" s="25" t="str">
        <f>IF(F442="","",N(G442)*(IFERROR(INDEX(Catalogue!$E$6:$E$55,MATCH(F442,Catalogue!$B$6:$B$55,0)),0)+IFERROR(INDEX(Catalogue!$F$6:$F$55,MATCH(F442,Catalogue!$B$6:$B$55,0)),0)+IFERROR(INDEX(Catalogue!$H$6:$H$55,MATCH(F442,Catalogue!$B$6:$B$55,0)),0)))</f>
        <v/>
      </c>
      <c r="R442" s="25" t="str">
        <f t="shared" si="26"/>
        <v/>
      </c>
      <c r="S442" s="18"/>
      <c r="T442" s="24" t="str">
        <f t="shared" si="27"/>
        <v/>
      </c>
      <c r="U442" s="28" t="str">
        <f>IF(D442="","",IF(COUNTIF(D$6:D442,D442)=1,"Nouveau","Fidèle"))</f>
        <v/>
      </c>
    </row>
    <row r="443" spans="1:21" x14ac:dyDescent="0.25">
      <c r="A443" s="41" t="str">
        <f t="shared" si="24"/>
        <v/>
      </c>
      <c r="B443" s="38"/>
      <c r="C443" s="18"/>
      <c r="D443" s="18"/>
      <c r="E443" s="18"/>
      <c r="F443" s="18"/>
      <c r="G443" s="20"/>
      <c r="H443" s="19"/>
      <c r="I443" s="25" t="str">
        <f>IF(F443="","",IF(H443="",IFERROR(INDEX(Catalogue!$I$6:$I$55,MATCH(F443,Catalogue!$B$6:$B$55,0)),0),H443))</f>
        <v/>
      </c>
      <c r="J443" s="19"/>
      <c r="K443" s="25" t="str">
        <f t="shared" si="25"/>
        <v/>
      </c>
      <c r="L443" s="18"/>
      <c r="M443" s="18"/>
      <c r="N443" s="18"/>
      <c r="O443" s="19"/>
      <c r="P443" s="25" t="str">
        <f>IF(F443="","",IF(O443="",IFERROR(INDEX(Catalogue!$G$6:$G$55,MATCH(F443,Catalogue!$B$6:$B$55,0)),0),O443))</f>
        <v/>
      </c>
      <c r="Q443" s="25" t="str">
        <f>IF(F443="","",N(G443)*(IFERROR(INDEX(Catalogue!$E$6:$E$55,MATCH(F443,Catalogue!$B$6:$B$55,0)),0)+IFERROR(INDEX(Catalogue!$F$6:$F$55,MATCH(F443,Catalogue!$B$6:$B$55,0)),0)+IFERROR(INDEX(Catalogue!$H$6:$H$55,MATCH(F443,Catalogue!$B$6:$B$55,0)),0)))</f>
        <v/>
      </c>
      <c r="R443" s="25" t="str">
        <f t="shared" si="26"/>
        <v/>
      </c>
      <c r="S443" s="18"/>
      <c r="T443" s="24" t="str">
        <f t="shared" si="27"/>
        <v/>
      </c>
      <c r="U443" s="28" t="str">
        <f>IF(D443="","",IF(COUNTIF(D$6:D443,D443)=1,"Nouveau","Fidèle"))</f>
        <v/>
      </c>
    </row>
    <row r="444" spans="1:21" x14ac:dyDescent="0.25">
      <c r="A444" s="41" t="str">
        <f t="shared" si="24"/>
        <v/>
      </c>
      <c r="B444" s="38"/>
      <c r="C444" s="18"/>
      <c r="D444" s="18"/>
      <c r="E444" s="18"/>
      <c r="F444" s="18"/>
      <c r="G444" s="20"/>
      <c r="H444" s="19"/>
      <c r="I444" s="25" t="str">
        <f>IF(F444="","",IF(H444="",IFERROR(INDEX(Catalogue!$I$6:$I$55,MATCH(F444,Catalogue!$B$6:$B$55,0)),0),H444))</f>
        <v/>
      </c>
      <c r="J444" s="19"/>
      <c r="K444" s="25" t="str">
        <f t="shared" si="25"/>
        <v/>
      </c>
      <c r="L444" s="18"/>
      <c r="M444" s="18"/>
      <c r="N444" s="18"/>
      <c r="O444" s="19"/>
      <c r="P444" s="25" t="str">
        <f>IF(F444="","",IF(O444="",IFERROR(INDEX(Catalogue!$G$6:$G$55,MATCH(F444,Catalogue!$B$6:$B$55,0)),0),O444))</f>
        <v/>
      </c>
      <c r="Q444" s="25" t="str">
        <f>IF(F444="","",N(G444)*(IFERROR(INDEX(Catalogue!$E$6:$E$55,MATCH(F444,Catalogue!$B$6:$B$55,0)),0)+IFERROR(INDEX(Catalogue!$F$6:$F$55,MATCH(F444,Catalogue!$B$6:$B$55,0)),0)+IFERROR(INDEX(Catalogue!$H$6:$H$55,MATCH(F444,Catalogue!$B$6:$B$55,0)),0)))</f>
        <v/>
      </c>
      <c r="R444" s="25" t="str">
        <f t="shared" si="26"/>
        <v/>
      </c>
      <c r="S444" s="18"/>
      <c r="T444" s="24" t="str">
        <f t="shared" si="27"/>
        <v/>
      </c>
      <c r="U444" s="28" t="str">
        <f>IF(D444="","",IF(COUNTIF(D$6:D444,D444)=1,"Nouveau","Fidèle"))</f>
        <v/>
      </c>
    </row>
    <row r="445" spans="1:21" x14ac:dyDescent="0.25">
      <c r="A445" s="41" t="str">
        <f t="shared" si="24"/>
        <v/>
      </c>
      <c r="B445" s="38"/>
      <c r="C445" s="18"/>
      <c r="D445" s="18"/>
      <c r="E445" s="18"/>
      <c r="F445" s="18"/>
      <c r="G445" s="20"/>
      <c r="H445" s="19"/>
      <c r="I445" s="25" t="str">
        <f>IF(F445="","",IF(H445="",IFERROR(INDEX(Catalogue!$I$6:$I$55,MATCH(F445,Catalogue!$B$6:$B$55,0)),0),H445))</f>
        <v/>
      </c>
      <c r="J445" s="19"/>
      <c r="K445" s="25" t="str">
        <f t="shared" si="25"/>
        <v/>
      </c>
      <c r="L445" s="18"/>
      <c r="M445" s="18"/>
      <c r="N445" s="18"/>
      <c r="O445" s="19"/>
      <c r="P445" s="25" t="str">
        <f>IF(F445="","",IF(O445="",IFERROR(INDEX(Catalogue!$G$6:$G$55,MATCH(F445,Catalogue!$B$6:$B$55,0)),0),O445))</f>
        <v/>
      </c>
      <c r="Q445" s="25" t="str">
        <f>IF(F445="","",N(G445)*(IFERROR(INDEX(Catalogue!$E$6:$E$55,MATCH(F445,Catalogue!$B$6:$B$55,0)),0)+IFERROR(INDEX(Catalogue!$F$6:$F$55,MATCH(F445,Catalogue!$B$6:$B$55,0)),0)+IFERROR(INDEX(Catalogue!$H$6:$H$55,MATCH(F445,Catalogue!$B$6:$B$55,0)),0)))</f>
        <v/>
      </c>
      <c r="R445" s="25" t="str">
        <f t="shared" si="26"/>
        <v/>
      </c>
      <c r="S445" s="18"/>
      <c r="T445" s="24" t="str">
        <f t="shared" si="27"/>
        <v/>
      </c>
      <c r="U445" s="28" t="str">
        <f>IF(D445="","",IF(COUNTIF(D$6:D445,D445)=1,"Nouveau","Fidèle"))</f>
        <v/>
      </c>
    </row>
    <row r="446" spans="1:21" x14ac:dyDescent="0.25">
      <c r="A446" s="41" t="str">
        <f t="shared" si="24"/>
        <v/>
      </c>
      <c r="B446" s="38"/>
      <c r="C446" s="18"/>
      <c r="D446" s="18"/>
      <c r="E446" s="18"/>
      <c r="F446" s="18"/>
      <c r="G446" s="20"/>
      <c r="H446" s="19"/>
      <c r="I446" s="25" t="str">
        <f>IF(F446="","",IF(H446="",IFERROR(INDEX(Catalogue!$I$6:$I$55,MATCH(F446,Catalogue!$B$6:$B$55,0)),0),H446))</f>
        <v/>
      </c>
      <c r="J446" s="19"/>
      <c r="K446" s="25" t="str">
        <f t="shared" si="25"/>
        <v/>
      </c>
      <c r="L446" s="18"/>
      <c r="M446" s="18"/>
      <c r="N446" s="18"/>
      <c r="O446" s="19"/>
      <c r="P446" s="25" t="str">
        <f>IF(F446="","",IF(O446="",IFERROR(INDEX(Catalogue!$G$6:$G$55,MATCH(F446,Catalogue!$B$6:$B$55,0)),0),O446))</f>
        <v/>
      </c>
      <c r="Q446" s="25" t="str">
        <f>IF(F446="","",N(G446)*(IFERROR(INDEX(Catalogue!$E$6:$E$55,MATCH(F446,Catalogue!$B$6:$B$55,0)),0)+IFERROR(INDEX(Catalogue!$F$6:$F$55,MATCH(F446,Catalogue!$B$6:$B$55,0)),0)+IFERROR(INDEX(Catalogue!$H$6:$H$55,MATCH(F446,Catalogue!$B$6:$B$55,0)),0)))</f>
        <v/>
      </c>
      <c r="R446" s="25" t="str">
        <f t="shared" si="26"/>
        <v/>
      </c>
      <c r="S446" s="18"/>
      <c r="T446" s="24" t="str">
        <f t="shared" si="27"/>
        <v/>
      </c>
      <c r="U446" s="28" t="str">
        <f>IF(D446="","",IF(COUNTIF(D$6:D446,D446)=1,"Nouveau","Fidèle"))</f>
        <v/>
      </c>
    </row>
    <row r="447" spans="1:21" x14ac:dyDescent="0.25">
      <c r="A447" s="41" t="str">
        <f t="shared" si="24"/>
        <v/>
      </c>
      <c r="B447" s="38"/>
      <c r="C447" s="18"/>
      <c r="D447" s="18"/>
      <c r="E447" s="18"/>
      <c r="F447" s="18"/>
      <c r="G447" s="20"/>
      <c r="H447" s="19"/>
      <c r="I447" s="25" t="str">
        <f>IF(F447="","",IF(H447="",IFERROR(INDEX(Catalogue!$I$6:$I$55,MATCH(F447,Catalogue!$B$6:$B$55,0)),0),H447))</f>
        <v/>
      </c>
      <c r="J447" s="19"/>
      <c r="K447" s="25" t="str">
        <f t="shared" si="25"/>
        <v/>
      </c>
      <c r="L447" s="18"/>
      <c r="M447" s="18"/>
      <c r="N447" s="18"/>
      <c r="O447" s="19"/>
      <c r="P447" s="25" t="str">
        <f>IF(F447="","",IF(O447="",IFERROR(INDEX(Catalogue!$G$6:$G$55,MATCH(F447,Catalogue!$B$6:$B$55,0)),0),O447))</f>
        <v/>
      </c>
      <c r="Q447" s="25" t="str">
        <f>IF(F447="","",N(G447)*(IFERROR(INDEX(Catalogue!$E$6:$E$55,MATCH(F447,Catalogue!$B$6:$B$55,0)),0)+IFERROR(INDEX(Catalogue!$F$6:$F$55,MATCH(F447,Catalogue!$B$6:$B$55,0)),0)+IFERROR(INDEX(Catalogue!$H$6:$H$55,MATCH(F447,Catalogue!$B$6:$B$55,0)),0)))</f>
        <v/>
      </c>
      <c r="R447" s="25" t="str">
        <f t="shared" si="26"/>
        <v/>
      </c>
      <c r="S447" s="18"/>
      <c r="T447" s="24" t="str">
        <f t="shared" si="27"/>
        <v/>
      </c>
      <c r="U447" s="28" t="str">
        <f>IF(D447="","",IF(COUNTIF(D$6:D447,D447)=1,"Nouveau","Fidèle"))</f>
        <v/>
      </c>
    </row>
    <row r="448" spans="1:21" x14ac:dyDescent="0.25">
      <c r="A448" s="41" t="str">
        <f t="shared" si="24"/>
        <v/>
      </c>
      <c r="B448" s="38"/>
      <c r="C448" s="18"/>
      <c r="D448" s="18"/>
      <c r="E448" s="18"/>
      <c r="F448" s="18"/>
      <c r="G448" s="20"/>
      <c r="H448" s="19"/>
      <c r="I448" s="25" t="str">
        <f>IF(F448="","",IF(H448="",IFERROR(INDEX(Catalogue!$I$6:$I$55,MATCH(F448,Catalogue!$B$6:$B$55,0)),0),H448))</f>
        <v/>
      </c>
      <c r="J448" s="19"/>
      <c r="K448" s="25" t="str">
        <f t="shared" si="25"/>
        <v/>
      </c>
      <c r="L448" s="18"/>
      <c r="M448" s="18"/>
      <c r="N448" s="18"/>
      <c r="O448" s="19"/>
      <c r="P448" s="25" t="str">
        <f>IF(F448="","",IF(O448="",IFERROR(INDEX(Catalogue!$G$6:$G$55,MATCH(F448,Catalogue!$B$6:$B$55,0)),0),O448))</f>
        <v/>
      </c>
      <c r="Q448" s="25" t="str">
        <f>IF(F448="","",N(G448)*(IFERROR(INDEX(Catalogue!$E$6:$E$55,MATCH(F448,Catalogue!$B$6:$B$55,0)),0)+IFERROR(INDEX(Catalogue!$F$6:$F$55,MATCH(F448,Catalogue!$B$6:$B$55,0)),0)+IFERROR(INDEX(Catalogue!$H$6:$H$55,MATCH(F448,Catalogue!$B$6:$B$55,0)),0)))</f>
        <v/>
      </c>
      <c r="R448" s="25" t="str">
        <f t="shared" si="26"/>
        <v/>
      </c>
      <c r="S448" s="18"/>
      <c r="T448" s="24" t="str">
        <f t="shared" si="27"/>
        <v/>
      </c>
      <c r="U448" s="28" t="str">
        <f>IF(D448="","",IF(COUNTIF(D$6:D448,D448)=1,"Nouveau","Fidèle"))</f>
        <v/>
      </c>
    </row>
    <row r="449" spans="1:21" x14ac:dyDescent="0.25">
      <c r="A449" s="41" t="str">
        <f t="shared" si="24"/>
        <v/>
      </c>
      <c r="B449" s="38"/>
      <c r="C449" s="18"/>
      <c r="D449" s="18"/>
      <c r="E449" s="18"/>
      <c r="F449" s="18"/>
      <c r="G449" s="20"/>
      <c r="H449" s="19"/>
      <c r="I449" s="25" t="str">
        <f>IF(F449="","",IF(H449="",IFERROR(INDEX(Catalogue!$I$6:$I$55,MATCH(F449,Catalogue!$B$6:$B$55,0)),0),H449))</f>
        <v/>
      </c>
      <c r="J449" s="19"/>
      <c r="K449" s="25" t="str">
        <f t="shared" si="25"/>
        <v/>
      </c>
      <c r="L449" s="18"/>
      <c r="M449" s="18"/>
      <c r="N449" s="18"/>
      <c r="O449" s="19"/>
      <c r="P449" s="25" t="str">
        <f>IF(F449="","",IF(O449="",IFERROR(INDEX(Catalogue!$G$6:$G$55,MATCH(F449,Catalogue!$B$6:$B$55,0)),0),O449))</f>
        <v/>
      </c>
      <c r="Q449" s="25" t="str">
        <f>IF(F449="","",N(G449)*(IFERROR(INDEX(Catalogue!$E$6:$E$55,MATCH(F449,Catalogue!$B$6:$B$55,0)),0)+IFERROR(INDEX(Catalogue!$F$6:$F$55,MATCH(F449,Catalogue!$B$6:$B$55,0)),0)+IFERROR(INDEX(Catalogue!$H$6:$H$55,MATCH(F449,Catalogue!$B$6:$B$55,0)),0)))</f>
        <v/>
      </c>
      <c r="R449" s="25" t="str">
        <f t="shared" si="26"/>
        <v/>
      </c>
      <c r="S449" s="18"/>
      <c r="T449" s="24" t="str">
        <f t="shared" si="27"/>
        <v/>
      </c>
      <c r="U449" s="28" t="str">
        <f>IF(D449="","",IF(COUNTIF(D$6:D449,D449)=1,"Nouveau","Fidèle"))</f>
        <v/>
      </c>
    </row>
    <row r="450" spans="1:21" x14ac:dyDescent="0.25">
      <c r="A450" s="41" t="str">
        <f t="shared" si="24"/>
        <v/>
      </c>
      <c r="B450" s="38"/>
      <c r="C450" s="18"/>
      <c r="D450" s="18"/>
      <c r="E450" s="18"/>
      <c r="F450" s="18"/>
      <c r="G450" s="20"/>
      <c r="H450" s="19"/>
      <c r="I450" s="25" t="str">
        <f>IF(F450="","",IF(H450="",IFERROR(INDEX(Catalogue!$I$6:$I$55,MATCH(F450,Catalogue!$B$6:$B$55,0)),0),H450))</f>
        <v/>
      </c>
      <c r="J450" s="19"/>
      <c r="K450" s="25" t="str">
        <f t="shared" si="25"/>
        <v/>
      </c>
      <c r="L450" s="18"/>
      <c r="M450" s="18"/>
      <c r="N450" s="18"/>
      <c r="O450" s="19"/>
      <c r="P450" s="25" t="str">
        <f>IF(F450="","",IF(O450="",IFERROR(INDEX(Catalogue!$G$6:$G$55,MATCH(F450,Catalogue!$B$6:$B$55,0)),0),O450))</f>
        <v/>
      </c>
      <c r="Q450" s="25" t="str">
        <f>IF(F450="","",N(G450)*(IFERROR(INDEX(Catalogue!$E$6:$E$55,MATCH(F450,Catalogue!$B$6:$B$55,0)),0)+IFERROR(INDEX(Catalogue!$F$6:$F$55,MATCH(F450,Catalogue!$B$6:$B$55,0)),0)+IFERROR(INDEX(Catalogue!$H$6:$H$55,MATCH(F450,Catalogue!$B$6:$B$55,0)),0)))</f>
        <v/>
      </c>
      <c r="R450" s="25" t="str">
        <f t="shared" si="26"/>
        <v/>
      </c>
      <c r="S450" s="18"/>
      <c r="T450" s="24" t="str">
        <f t="shared" si="27"/>
        <v/>
      </c>
      <c r="U450" s="28" t="str">
        <f>IF(D450="","",IF(COUNTIF(D$6:D450,D450)=1,"Nouveau","Fidèle"))</f>
        <v/>
      </c>
    </row>
    <row r="451" spans="1:21" x14ac:dyDescent="0.25">
      <c r="A451" s="41" t="str">
        <f t="shared" si="24"/>
        <v/>
      </c>
      <c r="B451" s="38"/>
      <c r="C451" s="18"/>
      <c r="D451" s="18"/>
      <c r="E451" s="18"/>
      <c r="F451" s="18"/>
      <c r="G451" s="20"/>
      <c r="H451" s="19"/>
      <c r="I451" s="25" t="str">
        <f>IF(F451="","",IF(H451="",IFERROR(INDEX(Catalogue!$I$6:$I$55,MATCH(F451,Catalogue!$B$6:$B$55,0)),0),H451))</f>
        <v/>
      </c>
      <c r="J451" s="19"/>
      <c r="K451" s="25" t="str">
        <f t="shared" si="25"/>
        <v/>
      </c>
      <c r="L451" s="18"/>
      <c r="M451" s="18"/>
      <c r="N451" s="18"/>
      <c r="O451" s="19"/>
      <c r="P451" s="25" t="str">
        <f>IF(F451="","",IF(O451="",IFERROR(INDEX(Catalogue!$G$6:$G$55,MATCH(F451,Catalogue!$B$6:$B$55,0)),0),O451))</f>
        <v/>
      </c>
      <c r="Q451" s="25" t="str">
        <f>IF(F451="","",N(G451)*(IFERROR(INDEX(Catalogue!$E$6:$E$55,MATCH(F451,Catalogue!$B$6:$B$55,0)),0)+IFERROR(INDEX(Catalogue!$F$6:$F$55,MATCH(F451,Catalogue!$B$6:$B$55,0)),0)+IFERROR(INDEX(Catalogue!$H$6:$H$55,MATCH(F451,Catalogue!$B$6:$B$55,0)),0)))</f>
        <v/>
      </c>
      <c r="R451" s="25" t="str">
        <f t="shared" si="26"/>
        <v/>
      </c>
      <c r="S451" s="18"/>
      <c r="T451" s="24" t="str">
        <f t="shared" si="27"/>
        <v/>
      </c>
      <c r="U451" s="28" t="str">
        <f>IF(D451="","",IF(COUNTIF(D$6:D451,D451)=1,"Nouveau","Fidèle"))</f>
        <v/>
      </c>
    </row>
    <row r="452" spans="1:21" x14ac:dyDescent="0.25">
      <c r="A452" s="41" t="str">
        <f t="shared" si="24"/>
        <v/>
      </c>
      <c r="B452" s="38"/>
      <c r="C452" s="18"/>
      <c r="D452" s="18"/>
      <c r="E452" s="18"/>
      <c r="F452" s="18"/>
      <c r="G452" s="20"/>
      <c r="H452" s="19"/>
      <c r="I452" s="25" t="str">
        <f>IF(F452="","",IF(H452="",IFERROR(INDEX(Catalogue!$I$6:$I$55,MATCH(F452,Catalogue!$B$6:$B$55,0)),0),H452))</f>
        <v/>
      </c>
      <c r="J452" s="19"/>
      <c r="K452" s="25" t="str">
        <f t="shared" si="25"/>
        <v/>
      </c>
      <c r="L452" s="18"/>
      <c r="M452" s="18"/>
      <c r="N452" s="18"/>
      <c r="O452" s="19"/>
      <c r="P452" s="25" t="str">
        <f>IF(F452="","",IF(O452="",IFERROR(INDEX(Catalogue!$G$6:$G$55,MATCH(F452,Catalogue!$B$6:$B$55,0)),0),O452))</f>
        <v/>
      </c>
      <c r="Q452" s="25" t="str">
        <f>IF(F452="","",N(G452)*(IFERROR(INDEX(Catalogue!$E$6:$E$55,MATCH(F452,Catalogue!$B$6:$B$55,0)),0)+IFERROR(INDEX(Catalogue!$F$6:$F$55,MATCH(F452,Catalogue!$B$6:$B$55,0)),0)+IFERROR(INDEX(Catalogue!$H$6:$H$55,MATCH(F452,Catalogue!$B$6:$B$55,0)),0)))</f>
        <v/>
      </c>
      <c r="R452" s="25" t="str">
        <f t="shared" si="26"/>
        <v/>
      </c>
      <c r="S452" s="18"/>
      <c r="T452" s="24" t="str">
        <f t="shared" si="27"/>
        <v/>
      </c>
      <c r="U452" s="28" t="str">
        <f>IF(D452="","",IF(COUNTIF(D$6:D452,D452)=1,"Nouveau","Fidèle"))</f>
        <v/>
      </c>
    </row>
    <row r="453" spans="1:21" x14ac:dyDescent="0.25">
      <c r="A453" s="41" t="str">
        <f t="shared" si="24"/>
        <v/>
      </c>
      <c r="B453" s="38"/>
      <c r="C453" s="18"/>
      <c r="D453" s="18"/>
      <c r="E453" s="18"/>
      <c r="F453" s="18"/>
      <c r="G453" s="20"/>
      <c r="H453" s="19"/>
      <c r="I453" s="25" t="str">
        <f>IF(F453="","",IF(H453="",IFERROR(INDEX(Catalogue!$I$6:$I$55,MATCH(F453,Catalogue!$B$6:$B$55,0)),0),H453))</f>
        <v/>
      </c>
      <c r="J453" s="19"/>
      <c r="K453" s="25" t="str">
        <f t="shared" si="25"/>
        <v/>
      </c>
      <c r="L453" s="18"/>
      <c r="M453" s="18"/>
      <c r="N453" s="18"/>
      <c r="O453" s="19"/>
      <c r="P453" s="25" t="str">
        <f>IF(F453="","",IF(O453="",IFERROR(INDEX(Catalogue!$G$6:$G$55,MATCH(F453,Catalogue!$B$6:$B$55,0)),0),O453))</f>
        <v/>
      </c>
      <c r="Q453" s="25" t="str">
        <f>IF(F453="","",N(G453)*(IFERROR(INDEX(Catalogue!$E$6:$E$55,MATCH(F453,Catalogue!$B$6:$B$55,0)),0)+IFERROR(INDEX(Catalogue!$F$6:$F$55,MATCH(F453,Catalogue!$B$6:$B$55,0)),0)+IFERROR(INDEX(Catalogue!$H$6:$H$55,MATCH(F453,Catalogue!$B$6:$B$55,0)),0)))</f>
        <v/>
      </c>
      <c r="R453" s="25" t="str">
        <f t="shared" si="26"/>
        <v/>
      </c>
      <c r="S453" s="18"/>
      <c r="T453" s="24" t="str">
        <f t="shared" si="27"/>
        <v/>
      </c>
      <c r="U453" s="28" t="str">
        <f>IF(D453="","",IF(COUNTIF(D$6:D453,D453)=1,"Nouveau","Fidèle"))</f>
        <v/>
      </c>
    </row>
    <row r="454" spans="1:21" x14ac:dyDescent="0.25">
      <c r="A454" s="41" t="str">
        <f t="shared" ref="A454:A517" si="28">IF(B454="","",ROW()-5)</f>
        <v/>
      </c>
      <c r="B454" s="38"/>
      <c r="C454" s="18"/>
      <c r="D454" s="18"/>
      <c r="E454" s="18"/>
      <c r="F454" s="18"/>
      <c r="G454" s="20"/>
      <c r="H454" s="19"/>
      <c r="I454" s="25" t="str">
        <f>IF(F454="","",IF(H454="",IFERROR(INDEX(Catalogue!$I$6:$I$55,MATCH(F454,Catalogue!$B$6:$B$55,0)),0),H454))</f>
        <v/>
      </c>
      <c r="J454" s="19"/>
      <c r="K454" s="25" t="str">
        <f t="shared" ref="K454:K517" si="29">IF(F454="","",N(G454)*I454-N(J454))</f>
        <v/>
      </c>
      <c r="L454" s="18"/>
      <c r="M454" s="18"/>
      <c r="N454" s="18"/>
      <c r="O454" s="19"/>
      <c r="P454" s="25" t="str">
        <f>IF(F454="","",IF(O454="",IFERROR(INDEX(Catalogue!$G$6:$G$55,MATCH(F454,Catalogue!$B$6:$B$55,0)),0),O454))</f>
        <v/>
      </c>
      <c r="Q454" s="25" t="str">
        <f>IF(F454="","",N(G454)*(IFERROR(INDEX(Catalogue!$E$6:$E$55,MATCH(F454,Catalogue!$B$6:$B$55,0)),0)+IFERROR(INDEX(Catalogue!$F$6:$F$55,MATCH(F454,Catalogue!$B$6:$B$55,0)),0)+IFERROR(INDEX(Catalogue!$H$6:$H$55,MATCH(F454,Catalogue!$B$6:$B$55,0)),0)))</f>
        <v/>
      </c>
      <c r="R454" s="25" t="str">
        <f t="shared" ref="R454:R517" si="30">IF(F454="","",IF(M454="Livrée et payée",K454-Q454-P454,IF(M454="Annulée",-N(P454),0)))</f>
        <v/>
      </c>
      <c r="S454" s="18"/>
      <c r="T454" s="24" t="str">
        <f t="shared" ref="T454:T505" si="31">IF(B454="","",DATE(YEAR(B454),MONTH(B454),1))</f>
        <v/>
      </c>
      <c r="U454" s="28" t="str">
        <f>IF(D454="","",IF(COUNTIF(D$6:D454,D454)=1,"Nouveau","Fidèle"))</f>
        <v/>
      </c>
    </row>
    <row r="455" spans="1:21" x14ac:dyDescent="0.25">
      <c r="A455" s="41" t="str">
        <f t="shared" si="28"/>
        <v/>
      </c>
      <c r="B455" s="38"/>
      <c r="C455" s="18"/>
      <c r="D455" s="18"/>
      <c r="E455" s="18"/>
      <c r="F455" s="18"/>
      <c r="G455" s="20"/>
      <c r="H455" s="19"/>
      <c r="I455" s="25" t="str">
        <f>IF(F455="","",IF(H455="",IFERROR(INDEX(Catalogue!$I$6:$I$55,MATCH(F455,Catalogue!$B$6:$B$55,0)),0),H455))</f>
        <v/>
      </c>
      <c r="J455" s="19"/>
      <c r="K455" s="25" t="str">
        <f t="shared" si="29"/>
        <v/>
      </c>
      <c r="L455" s="18"/>
      <c r="M455" s="18"/>
      <c r="N455" s="18"/>
      <c r="O455" s="19"/>
      <c r="P455" s="25" t="str">
        <f>IF(F455="","",IF(O455="",IFERROR(INDEX(Catalogue!$G$6:$G$55,MATCH(F455,Catalogue!$B$6:$B$55,0)),0),O455))</f>
        <v/>
      </c>
      <c r="Q455" s="25" t="str">
        <f>IF(F455="","",N(G455)*(IFERROR(INDEX(Catalogue!$E$6:$E$55,MATCH(F455,Catalogue!$B$6:$B$55,0)),0)+IFERROR(INDEX(Catalogue!$F$6:$F$55,MATCH(F455,Catalogue!$B$6:$B$55,0)),0)+IFERROR(INDEX(Catalogue!$H$6:$H$55,MATCH(F455,Catalogue!$B$6:$B$55,0)),0)))</f>
        <v/>
      </c>
      <c r="R455" s="25" t="str">
        <f t="shared" si="30"/>
        <v/>
      </c>
      <c r="S455" s="18"/>
      <c r="T455" s="24" t="str">
        <f t="shared" si="31"/>
        <v/>
      </c>
      <c r="U455" s="28" t="str">
        <f>IF(D455="","",IF(COUNTIF(D$6:D455,D455)=1,"Nouveau","Fidèle"))</f>
        <v/>
      </c>
    </row>
    <row r="456" spans="1:21" x14ac:dyDescent="0.25">
      <c r="A456" s="41" t="str">
        <f t="shared" si="28"/>
        <v/>
      </c>
      <c r="B456" s="38"/>
      <c r="C456" s="18"/>
      <c r="D456" s="18"/>
      <c r="E456" s="18"/>
      <c r="F456" s="18"/>
      <c r="G456" s="20"/>
      <c r="H456" s="19"/>
      <c r="I456" s="25" t="str">
        <f>IF(F456="","",IF(H456="",IFERROR(INDEX(Catalogue!$I$6:$I$55,MATCH(F456,Catalogue!$B$6:$B$55,0)),0),H456))</f>
        <v/>
      </c>
      <c r="J456" s="19"/>
      <c r="K456" s="25" t="str">
        <f t="shared" si="29"/>
        <v/>
      </c>
      <c r="L456" s="18"/>
      <c r="M456" s="18"/>
      <c r="N456" s="18"/>
      <c r="O456" s="19"/>
      <c r="P456" s="25" t="str">
        <f>IF(F456="","",IF(O456="",IFERROR(INDEX(Catalogue!$G$6:$G$55,MATCH(F456,Catalogue!$B$6:$B$55,0)),0),O456))</f>
        <v/>
      </c>
      <c r="Q456" s="25" t="str">
        <f>IF(F456="","",N(G456)*(IFERROR(INDEX(Catalogue!$E$6:$E$55,MATCH(F456,Catalogue!$B$6:$B$55,0)),0)+IFERROR(INDEX(Catalogue!$F$6:$F$55,MATCH(F456,Catalogue!$B$6:$B$55,0)),0)+IFERROR(INDEX(Catalogue!$H$6:$H$55,MATCH(F456,Catalogue!$B$6:$B$55,0)),0)))</f>
        <v/>
      </c>
      <c r="R456" s="25" t="str">
        <f t="shared" si="30"/>
        <v/>
      </c>
      <c r="S456" s="18"/>
      <c r="T456" s="24" t="str">
        <f t="shared" si="31"/>
        <v/>
      </c>
      <c r="U456" s="28" t="str">
        <f>IF(D456="","",IF(COUNTIF(D$6:D456,D456)=1,"Nouveau","Fidèle"))</f>
        <v/>
      </c>
    </row>
    <row r="457" spans="1:21" x14ac:dyDescent="0.25">
      <c r="A457" s="41" t="str">
        <f t="shared" si="28"/>
        <v/>
      </c>
      <c r="B457" s="38"/>
      <c r="C457" s="18"/>
      <c r="D457" s="18"/>
      <c r="E457" s="18"/>
      <c r="F457" s="18"/>
      <c r="G457" s="20"/>
      <c r="H457" s="19"/>
      <c r="I457" s="25" t="str">
        <f>IF(F457="","",IF(H457="",IFERROR(INDEX(Catalogue!$I$6:$I$55,MATCH(F457,Catalogue!$B$6:$B$55,0)),0),H457))</f>
        <v/>
      </c>
      <c r="J457" s="19"/>
      <c r="K457" s="25" t="str">
        <f t="shared" si="29"/>
        <v/>
      </c>
      <c r="L457" s="18"/>
      <c r="M457" s="18"/>
      <c r="N457" s="18"/>
      <c r="O457" s="19"/>
      <c r="P457" s="25" t="str">
        <f>IF(F457="","",IF(O457="",IFERROR(INDEX(Catalogue!$G$6:$G$55,MATCH(F457,Catalogue!$B$6:$B$55,0)),0),O457))</f>
        <v/>
      </c>
      <c r="Q457" s="25" t="str">
        <f>IF(F457="","",N(G457)*(IFERROR(INDEX(Catalogue!$E$6:$E$55,MATCH(F457,Catalogue!$B$6:$B$55,0)),0)+IFERROR(INDEX(Catalogue!$F$6:$F$55,MATCH(F457,Catalogue!$B$6:$B$55,0)),0)+IFERROR(INDEX(Catalogue!$H$6:$H$55,MATCH(F457,Catalogue!$B$6:$B$55,0)),0)))</f>
        <v/>
      </c>
      <c r="R457" s="25" t="str">
        <f t="shared" si="30"/>
        <v/>
      </c>
      <c r="S457" s="18"/>
      <c r="T457" s="24" t="str">
        <f t="shared" si="31"/>
        <v/>
      </c>
      <c r="U457" s="28" t="str">
        <f>IF(D457="","",IF(COUNTIF(D$6:D457,D457)=1,"Nouveau","Fidèle"))</f>
        <v/>
      </c>
    </row>
    <row r="458" spans="1:21" x14ac:dyDescent="0.25">
      <c r="A458" s="41" t="str">
        <f t="shared" si="28"/>
        <v/>
      </c>
      <c r="B458" s="38"/>
      <c r="C458" s="18"/>
      <c r="D458" s="18"/>
      <c r="E458" s="18"/>
      <c r="F458" s="18"/>
      <c r="G458" s="20"/>
      <c r="H458" s="19"/>
      <c r="I458" s="25" t="str">
        <f>IF(F458="","",IF(H458="",IFERROR(INDEX(Catalogue!$I$6:$I$55,MATCH(F458,Catalogue!$B$6:$B$55,0)),0),H458))</f>
        <v/>
      </c>
      <c r="J458" s="19"/>
      <c r="K458" s="25" t="str">
        <f t="shared" si="29"/>
        <v/>
      </c>
      <c r="L458" s="18"/>
      <c r="M458" s="18"/>
      <c r="N458" s="18"/>
      <c r="O458" s="19"/>
      <c r="P458" s="25" t="str">
        <f>IF(F458="","",IF(O458="",IFERROR(INDEX(Catalogue!$G$6:$G$55,MATCH(F458,Catalogue!$B$6:$B$55,0)),0),O458))</f>
        <v/>
      </c>
      <c r="Q458" s="25" t="str">
        <f>IF(F458="","",N(G458)*(IFERROR(INDEX(Catalogue!$E$6:$E$55,MATCH(F458,Catalogue!$B$6:$B$55,0)),0)+IFERROR(INDEX(Catalogue!$F$6:$F$55,MATCH(F458,Catalogue!$B$6:$B$55,0)),0)+IFERROR(INDEX(Catalogue!$H$6:$H$55,MATCH(F458,Catalogue!$B$6:$B$55,0)),0)))</f>
        <v/>
      </c>
      <c r="R458" s="25" t="str">
        <f t="shared" si="30"/>
        <v/>
      </c>
      <c r="S458" s="18"/>
      <c r="T458" s="24" t="str">
        <f t="shared" si="31"/>
        <v/>
      </c>
      <c r="U458" s="28" t="str">
        <f>IF(D458="","",IF(COUNTIF(D$6:D458,D458)=1,"Nouveau","Fidèle"))</f>
        <v/>
      </c>
    </row>
    <row r="459" spans="1:21" x14ac:dyDescent="0.25">
      <c r="A459" s="41" t="str">
        <f t="shared" si="28"/>
        <v/>
      </c>
      <c r="B459" s="38"/>
      <c r="C459" s="18"/>
      <c r="D459" s="18"/>
      <c r="E459" s="18"/>
      <c r="F459" s="18"/>
      <c r="G459" s="20"/>
      <c r="H459" s="19"/>
      <c r="I459" s="25" t="str">
        <f>IF(F459="","",IF(H459="",IFERROR(INDEX(Catalogue!$I$6:$I$55,MATCH(F459,Catalogue!$B$6:$B$55,0)),0),H459))</f>
        <v/>
      </c>
      <c r="J459" s="19"/>
      <c r="K459" s="25" t="str">
        <f t="shared" si="29"/>
        <v/>
      </c>
      <c r="L459" s="18"/>
      <c r="M459" s="18"/>
      <c r="N459" s="18"/>
      <c r="O459" s="19"/>
      <c r="P459" s="25" t="str">
        <f>IF(F459="","",IF(O459="",IFERROR(INDEX(Catalogue!$G$6:$G$55,MATCH(F459,Catalogue!$B$6:$B$55,0)),0),O459))</f>
        <v/>
      </c>
      <c r="Q459" s="25" t="str">
        <f>IF(F459="","",N(G459)*(IFERROR(INDEX(Catalogue!$E$6:$E$55,MATCH(F459,Catalogue!$B$6:$B$55,0)),0)+IFERROR(INDEX(Catalogue!$F$6:$F$55,MATCH(F459,Catalogue!$B$6:$B$55,0)),0)+IFERROR(INDEX(Catalogue!$H$6:$H$55,MATCH(F459,Catalogue!$B$6:$B$55,0)),0)))</f>
        <v/>
      </c>
      <c r="R459" s="25" t="str">
        <f t="shared" si="30"/>
        <v/>
      </c>
      <c r="S459" s="18"/>
      <c r="T459" s="24" t="str">
        <f t="shared" si="31"/>
        <v/>
      </c>
      <c r="U459" s="28" t="str">
        <f>IF(D459="","",IF(COUNTIF(D$6:D459,D459)=1,"Nouveau","Fidèle"))</f>
        <v/>
      </c>
    </row>
    <row r="460" spans="1:21" x14ac:dyDescent="0.25">
      <c r="A460" s="41" t="str">
        <f t="shared" si="28"/>
        <v/>
      </c>
      <c r="B460" s="38"/>
      <c r="C460" s="18"/>
      <c r="D460" s="18"/>
      <c r="E460" s="18"/>
      <c r="F460" s="18"/>
      <c r="G460" s="20"/>
      <c r="H460" s="19"/>
      <c r="I460" s="25" t="str">
        <f>IF(F460="","",IF(H460="",IFERROR(INDEX(Catalogue!$I$6:$I$55,MATCH(F460,Catalogue!$B$6:$B$55,0)),0),H460))</f>
        <v/>
      </c>
      <c r="J460" s="19"/>
      <c r="K460" s="25" t="str">
        <f t="shared" si="29"/>
        <v/>
      </c>
      <c r="L460" s="18"/>
      <c r="M460" s="18"/>
      <c r="N460" s="18"/>
      <c r="O460" s="19"/>
      <c r="P460" s="25" t="str">
        <f>IF(F460="","",IF(O460="",IFERROR(INDEX(Catalogue!$G$6:$G$55,MATCH(F460,Catalogue!$B$6:$B$55,0)),0),O460))</f>
        <v/>
      </c>
      <c r="Q460" s="25" t="str">
        <f>IF(F460="","",N(G460)*(IFERROR(INDEX(Catalogue!$E$6:$E$55,MATCH(F460,Catalogue!$B$6:$B$55,0)),0)+IFERROR(INDEX(Catalogue!$F$6:$F$55,MATCH(F460,Catalogue!$B$6:$B$55,0)),0)+IFERROR(INDEX(Catalogue!$H$6:$H$55,MATCH(F460,Catalogue!$B$6:$B$55,0)),0)))</f>
        <v/>
      </c>
      <c r="R460" s="25" t="str">
        <f t="shared" si="30"/>
        <v/>
      </c>
      <c r="S460" s="18"/>
      <c r="T460" s="24" t="str">
        <f t="shared" si="31"/>
        <v/>
      </c>
      <c r="U460" s="28" t="str">
        <f>IF(D460="","",IF(COUNTIF(D$6:D460,D460)=1,"Nouveau","Fidèle"))</f>
        <v/>
      </c>
    </row>
    <row r="461" spans="1:21" x14ac:dyDescent="0.25">
      <c r="A461" s="41" t="str">
        <f t="shared" si="28"/>
        <v/>
      </c>
      <c r="B461" s="38"/>
      <c r="C461" s="18"/>
      <c r="D461" s="18"/>
      <c r="E461" s="18"/>
      <c r="F461" s="18"/>
      <c r="G461" s="20"/>
      <c r="H461" s="19"/>
      <c r="I461" s="25" t="str">
        <f>IF(F461="","",IF(H461="",IFERROR(INDEX(Catalogue!$I$6:$I$55,MATCH(F461,Catalogue!$B$6:$B$55,0)),0),H461))</f>
        <v/>
      </c>
      <c r="J461" s="19"/>
      <c r="K461" s="25" t="str">
        <f t="shared" si="29"/>
        <v/>
      </c>
      <c r="L461" s="18"/>
      <c r="M461" s="18"/>
      <c r="N461" s="18"/>
      <c r="O461" s="19"/>
      <c r="P461" s="25" t="str">
        <f>IF(F461="","",IF(O461="",IFERROR(INDEX(Catalogue!$G$6:$G$55,MATCH(F461,Catalogue!$B$6:$B$55,0)),0),O461))</f>
        <v/>
      </c>
      <c r="Q461" s="25" t="str">
        <f>IF(F461="","",N(G461)*(IFERROR(INDEX(Catalogue!$E$6:$E$55,MATCH(F461,Catalogue!$B$6:$B$55,0)),0)+IFERROR(INDEX(Catalogue!$F$6:$F$55,MATCH(F461,Catalogue!$B$6:$B$55,0)),0)+IFERROR(INDEX(Catalogue!$H$6:$H$55,MATCH(F461,Catalogue!$B$6:$B$55,0)),0)))</f>
        <v/>
      </c>
      <c r="R461" s="25" t="str">
        <f t="shared" si="30"/>
        <v/>
      </c>
      <c r="S461" s="18"/>
      <c r="T461" s="24" t="str">
        <f t="shared" si="31"/>
        <v/>
      </c>
      <c r="U461" s="28" t="str">
        <f>IF(D461="","",IF(COUNTIF(D$6:D461,D461)=1,"Nouveau","Fidèle"))</f>
        <v/>
      </c>
    </row>
    <row r="462" spans="1:21" x14ac:dyDescent="0.25">
      <c r="A462" s="41" t="str">
        <f t="shared" si="28"/>
        <v/>
      </c>
      <c r="B462" s="38"/>
      <c r="C462" s="18"/>
      <c r="D462" s="18"/>
      <c r="E462" s="18"/>
      <c r="F462" s="18"/>
      <c r="G462" s="20"/>
      <c r="H462" s="19"/>
      <c r="I462" s="25" t="str">
        <f>IF(F462="","",IF(H462="",IFERROR(INDEX(Catalogue!$I$6:$I$55,MATCH(F462,Catalogue!$B$6:$B$55,0)),0),H462))</f>
        <v/>
      </c>
      <c r="J462" s="19"/>
      <c r="K462" s="25" t="str">
        <f t="shared" si="29"/>
        <v/>
      </c>
      <c r="L462" s="18"/>
      <c r="M462" s="18"/>
      <c r="N462" s="18"/>
      <c r="O462" s="19"/>
      <c r="P462" s="25" t="str">
        <f>IF(F462="","",IF(O462="",IFERROR(INDEX(Catalogue!$G$6:$G$55,MATCH(F462,Catalogue!$B$6:$B$55,0)),0),O462))</f>
        <v/>
      </c>
      <c r="Q462" s="25" t="str">
        <f>IF(F462="","",N(G462)*(IFERROR(INDEX(Catalogue!$E$6:$E$55,MATCH(F462,Catalogue!$B$6:$B$55,0)),0)+IFERROR(INDEX(Catalogue!$F$6:$F$55,MATCH(F462,Catalogue!$B$6:$B$55,0)),0)+IFERROR(INDEX(Catalogue!$H$6:$H$55,MATCH(F462,Catalogue!$B$6:$B$55,0)),0)))</f>
        <v/>
      </c>
      <c r="R462" s="25" t="str">
        <f t="shared" si="30"/>
        <v/>
      </c>
      <c r="S462" s="18"/>
      <c r="T462" s="24" t="str">
        <f t="shared" si="31"/>
        <v/>
      </c>
      <c r="U462" s="28" t="str">
        <f>IF(D462="","",IF(COUNTIF(D$6:D462,D462)=1,"Nouveau","Fidèle"))</f>
        <v/>
      </c>
    </row>
    <row r="463" spans="1:21" x14ac:dyDescent="0.25">
      <c r="A463" s="41" t="str">
        <f t="shared" si="28"/>
        <v/>
      </c>
      <c r="B463" s="38"/>
      <c r="C463" s="18"/>
      <c r="D463" s="18"/>
      <c r="E463" s="18"/>
      <c r="F463" s="18"/>
      <c r="G463" s="20"/>
      <c r="H463" s="19"/>
      <c r="I463" s="25" t="str">
        <f>IF(F463="","",IF(H463="",IFERROR(INDEX(Catalogue!$I$6:$I$55,MATCH(F463,Catalogue!$B$6:$B$55,0)),0),H463))</f>
        <v/>
      </c>
      <c r="J463" s="19"/>
      <c r="K463" s="25" t="str">
        <f t="shared" si="29"/>
        <v/>
      </c>
      <c r="L463" s="18"/>
      <c r="M463" s="18"/>
      <c r="N463" s="18"/>
      <c r="O463" s="19"/>
      <c r="P463" s="25" t="str">
        <f>IF(F463="","",IF(O463="",IFERROR(INDEX(Catalogue!$G$6:$G$55,MATCH(F463,Catalogue!$B$6:$B$55,0)),0),O463))</f>
        <v/>
      </c>
      <c r="Q463" s="25" t="str">
        <f>IF(F463="","",N(G463)*(IFERROR(INDEX(Catalogue!$E$6:$E$55,MATCH(F463,Catalogue!$B$6:$B$55,0)),0)+IFERROR(INDEX(Catalogue!$F$6:$F$55,MATCH(F463,Catalogue!$B$6:$B$55,0)),0)+IFERROR(INDEX(Catalogue!$H$6:$H$55,MATCH(F463,Catalogue!$B$6:$B$55,0)),0)))</f>
        <v/>
      </c>
      <c r="R463" s="25" t="str">
        <f t="shared" si="30"/>
        <v/>
      </c>
      <c r="S463" s="18"/>
      <c r="T463" s="24" t="str">
        <f t="shared" si="31"/>
        <v/>
      </c>
      <c r="U463" s="28" t="str">
        <f>IF(D463="","",IF(COUNTIF(D$6:D463,D463)=1,"Nouveau","Fidèle"))</f>
        <v/>
      </c>
    </row>
    <row r="464" spans="1:21" x14ac:dyDescent="0.25">
      <c r="A464" s="41" t="str">
        <f t="shared" si="28"/>
        <v/>
      </c>
      <c r="B464" s="38"/>
      <c r="C464" s="18"/>
      <c r="D464" s="18"/>
      <c r="E464" s="18"/>
      <c r="F464" s="18"/>
      <c r="G464" s="20"/>
      <c r="H464" s="19"/>
      <c r="I464" s="25" t="str">
        <f>IF(F464="","",IF(H464="",IFERROR(INDEX(Catalogue!$I$6:$I$55,MATCH(F464,Catalogue!$B$6:$B$55,0)),0),H464))</f>
        <v/>
      </c>
      <c r="J464" s="19"/>
      <c r="K464" s="25" t="str">
        <f t="shared" si="29"/>
        <v/>
      </c>
      <c r="L464" s="18"/>
      <c r="M464" s="18"/>
      <c r="N464" s="18"/>
      <c r="O464" s="19"/>
      <c r="P464" s="25" t="str">
        <f>IF(F464="","",IF(O464="",IFERROR(INDEX(Catalogue!$G$6:$G$55,MATCH(F464,Catalogue!$B$6:$B$55,0)),0),O464))</f>
        <v/>
      </c>
      <c r="Q464" s="25" t="str">
        <f>IF(F464="","",N(G464)*(IFERROR(INDEX(Catalogue!$E$6:$E$55,MATCH(F464,Catalogue!$B$6:$B$55,0)),0)+IFERROR(INDEX(Catalogue!$F$6:$F$55,MATCH(F464,Catalogue!$B$6:$B$55,0)),0)+IFERROR(INDEX(Catalogue!$H$6:$H$55,MATCH(F464,Catalogue!$B$6:$B$55,0)),0)))</f>
        <v/>
      </c>
      <c r="R464" s="25" t="str">
        <f t="shared" si="30"/>
        <v/>
      </c>
      <c r="S464" s="18"/>
      <c r="T464" s="24" t="str">
        <f t="shared" si="31"/>
        <v/>
      </c>
      <c r="U464" s="28" t="str">
        <f>IF(D464="","",IF(COUNTIF(D$6:D464,D464)=1,"Nouveau","Fidèle"))</f>
        <v/>
      </c>
    </row>
    <row r="465" spans="1:21" x14ac:dyDescent="0.25">
      <c r="A465" s="41" t="str">
        <f t="shared" si="28"/>
        <v/>
      </c>
      <c r="B465" s="38"/>
      <c r="C465" s="18"/>
      <c r="D465" s="18"/>
      <c r="E465" s="18"/>
      <c r="F465" s="18"/>
      <c r="G465" s="20"/>
      <c r="H465" s="19"/>
      <c r="I465" s="25" t="str">
        <f>IF(F465="","",IF(H465="",IFERROR(INDEX(Catalogue!$I$6:$I$55,MATCH(F465,Catalogue!$B$6:$B$55,0)),0),H465))</f>
        <v/>
      </c>
      <c r="J465" s="19"/>
      <c r="K465" s="25" t="str">
        <f t="shared" si="29"/>
        <v/>
      </c>
      <c r="L465" s="18"/>
      <c r="M465" s="18"/>
      <c r="N465" s="18"/>
      <c r="O465" s="19"/>
      <c r="P465" s="25" t="str">
        <f>IF(F465="","",IF(O465="",IFERROR(INDEX(Catalogue!$G$6:$G$55,MATCH(F465,Catalogue!$B$6:$B$55,0)),0),O465))</f>
        <v/>
      </c>
      <c r="Q465" s="25" t="str">
        <f>IF(F465="","",N(G465)*(IFERROR(INDEX(Catalogue!$E$6:$E$55,MATCH(F465,Catalogue!$B$6:$B$55,0)),0)+IFERROR(INDEX(Catalogue!$F$6:$F$55,MATCH(F465,Catalogue!$B$6:$B$55,0)),0)+IFERROR(INDEX(Catalogue!$H$6:$H$55,MATCH(F465,Catalogue!$B$6:$B$55,0)),0)))</f>
        <v/>
      </c>
      <c r="R465" s="25" t="str">
        <f t="shared" si="30"/>
        <v/>
      </c>
      <c r="S465" s="18"/>
      <c r="T465" s="24" t="str">
        <f t="shared" si="31"/>
        <v/>
      </c>
      <c r="U465" s="28" t="str">
        <f>IF(D465="","",IF(COUNTIF(D$6:D465,D465)=1,"Nouveau","Fidèle"))</f>
        <v/>
      </c>
    </row>
    <row r="466" spans="1:21" x14ac:dyDescent="0.25">
      <c r="A466" s="41" t="str">
        <f t="shared" si="28"/>
        <v/>
      </c>
      <c r="B466" s="38"/>
      <c r="C466" s="18"/>
      <c r="D466" s="18"/>
      <c r="E466" s="18"/>
      <c r="F466" s="18"/>
      <c r="G466" s="20"/>
      <c r="H466" s="19"/>
      <c r="I466" s="25" t="str">
        <f>IF(F466="","",IF(H466="",IFERROR(INDEX(Catalogue!$I$6:$I$55,MATCH(F466,Catalogue!$B$6:$B$55,0)),0),H466))</f>
        <v/>
      </c>
      <c r="J466" s="19"/>
      <c r="K466" s="25" t="str">
        <f t="shared" si="29"/>
        <v/>
      </c>
      <c r="L466" s="18"/>
      <c r="M466" s="18"/>
      <c r="N466" s="18"/>
      <c r="O466" s="19"/>
      <c r="P466" s="25" t="str">
        <f>IF(F466="","",IF(O466="",IFERROR(INDEX(Catalogue!$G$6:$G$55,MATCH(F466,Catalogue!$B$6:$B$55,0)),0),O466))</f>
        <v/>
      </c>
      <c r="Q466" s="25" t="str">
        <f>IF(F466="","",N(G466)*(IFERROR(INDEX(Catalogue!$E$6:$E$55,MATCH(F466,Catalogue!$B$6:$B$55,0)),0)+IFERROR(INDEX(Catalogue!$F$6:$F$55,MATCH(F466,Catalogue!$B$6:$B$55,0)),0)+IFERROR(INDEX(Catalogue!$H$6:$H$55,MATCH(F466,Catalogue!$B$6:$B$55,0)),0)))</f>
        <v/>
      </c>
      <c r="R466" s="25" t="str">
        <f t="shared" si="30"/>
        <v/>
      </c>
      <c r="S466" s="18"/>
      <c r="T466" s="24" t="str">
        <f t="shared" si="31"/>
        <v/>
      </c>
      <c r="U466" s="28" t="str">
        <f>IF(D466="","",IF(COUNTIF(D$6:D466,D466)=1,"Nouveau","Fidèle"))</f>
        <v/>
      </c>
    </row>
    <row r="467" spans="1:21" x14ac:dyDescent="0.25">
      <c r="A467" s="41" t="str">
        <f t="shared" si="28"/>
        <v/>
      </c>
      <c r="B467" s="38"/>
      <c r="C467" s="18"/>
      <c r="D467" s="18"/>
      <c r="E467" s="18"/>
      <c r="F467" s="18"/>
      <c r="G467" s="20"/>
      <c r="H467" s="19"/>
      <c r="I467" s="25" t="str">
        <f>IF(F467="","",IF(H467="",IFERROR(INDEX(Catalogue!$I$6:$I$55,MATCH(F467,Catalogue!$B$6:$B$55,0)),0),H467))</f>
        <v/>
      </c>
      <c r="J467" s="19"/>
      <c r="K467" s="25" t="str">
        <f t="shared" si="29"/>
        <v/>
      </c>
      <c r="L467" s="18"/>
      <c r="M467" s="18"/>
      <c r="N467" s="18"/>
      <c r="O467" s="19"/>
      <c r="P467" s="25" t="str">
        <f>IF(F467="","",IF(O467="",IFERROR(INDEX(Catalogue!$G$6:$G$55,MATCH(F467,Catalogue!$B$6:$B$55,0)),0),O467))</f>
        <v/>
      </c>
      <c r="Q467" s="25" t="str">
        <f>IF(F467="","",N(G467)*(IFERROR(INDEX(Catalogue!$E$6:$E$55,MATCH(F467,Catalogue!$B$6:$B$55,0)),0)+IFERROR(INDEX(Catalogue!$F$6:$F$55,MATCH(F467,Catalogue!$B$6:$B$55,0)),0)+IFERROR(INDEX(Catalogue!$H$6:$H$55,MATCH(F467,Catalogue!$B$6:$B$55,0)),0)))</f>
        <v/>
      </c>
      <c r="R467" s="25" t="str">
        <f t="shared" si="30"/>
        <v/>
      </c>
      <c r="S467" s="18"/>
      <c r="T467" s="24" t="str">
        <f t="shared" si="31"/>
        <v/>
      </c>
      <c r="U467" s="28" t="str">
        <f>IF(D467="","",IF(COUNTIF(D$6:D467,D467)=1,"Nouveau","Fidèle"))</f>
        <v/>
      </c>
    </row>
    <row r="468" spans="1:21" x14ac:dyDescent="0.25">
      <c r="A468" s="41" t="str">
        <f t="shared" si="28"/>
        <v/>
      </c>
      <c r="B468" s="38"/>
      <c r="C468" s="18"/>
      <c r="D468" s="18"/>
      <c r="E468" s="18"/>
      <c r="F468" s="18"/>
      <c r="G468" s="20"/>
      <c r="H468" s="19"/>
      <c r="I468" s="25" t="str">
        <f>IF(F468="","",IF(H468="",IFERROR(INDEX(Catalogue!$I$6:$I$55,MATCH(F468,Catalogue!$B$6:$B$55,0)),0),H468))</f>
        <v/>
      </c>
      <c r="J468" s="19"/>
      <c r="K468" s="25" t="str">
        <f t="shared" si="29"/>
        <v/>
      </c>
      <c r="L468" s="18"/>
      <c r="M468" s="18"/>
      <c r="N468" s="18"/>
      <c r="O468" s="19"/>
      <c r="P468" s="25" t="str">
        <f>IF(F468="","",IF(O468="",IFERROR(INDEX(Catalogue!$G$6:$G$55,MATCH(F468,Catalogue!$B$6:$B$55,0)),0),O468))</f>
        <v/>
      </c>
      <c r="Q468" s="25" t="str">
        <f>IF(F468="","",N(G468)*(IFERROR(INDEX(Catalogue!$E$6:$E$55,MATCH(F468,Catalogue!$B$6:$B$55,0)),0)+IFERROR(INDEX(Catalogue!$F$6:$F$55,MATCH(F468,Catalogue!$B$6:$B$55,0)),0)+IFERROR(INDEX(Catalogue!$H$6:$H$55,MATCH(F468,Catalogue!$B$6:$B$55,0)),0)))</f>
        <v/>
      </c>
      <c r="R468" s="25" t="str">
        <f t="shared" si="30"/>
        <v/>
      </c>
      <c r="S468" s="18"/>
      <c r="T468" s="24" t="str">
        <f t="shared" si="31"/>
        <v/>
      </c>
      <c r="U468" s="28" t="str">
        <f>IF(D468="","",IF(COUNTIF(D$6:D468,D468)=1,"Nouveau","Fidèle"))</f>
        <v/>
      </c>
    </row>
    <row r="469" spans="1:21" x14ac:dyDescent="0.25">
      <c r="A469" s="41" t="str">
        <f t="shared" si="28"/>
        <v/>
      </c>
      <c r="B469" s="38"/>
      <c r="C469" s="18"/>
      <c r="D469" s="18"/>
      <c r="E469" s="18"/>
      <c r="F469" s="18"/>
      <c r="G469" s="20"/>
      <c r="H469" s="19"/>
      <c r="I469" s="25" t="str">
        <f>IF(F469="","",IF(H469="",IFERROR(INDEX(Catalogue!$I$6:$I$55,MATCH(F469,Catalogue!$B$6:$B$55,0)),0),H469))</f>
        <v/>
      </c>
      <c r="J469" s="19"/>
      <c r="K469" s="25" t="str">
        <f t="shared" si="29"/>
        <v/>
      </c>
      <c r="L469" s="18"/>
      <c r="M469" s="18"/>
      <c r="N469" s="18"/>
      <c r="O469" s="19"/>
      <c r="P469" s="25" t="str">
        <f>IF(F469="","",IF(O469="",IFERROR(INDEX(Catalogue!$G$6:$G$55,MATCH(F469,Catalogue!$B$6:$B$55,0)),0),O469))</f>
        <v/>
      </c>
      <c r="Q469" s="25" t="str">
        <f>IF(F469="","",N(G469)*(IFERROR(INDEX(Catalogue!$E$6:$E$55,MATCH(F469,Catalogue!$B$6:$B$55,0)),0)+IFERROR(INDEX(Catalogue!$F$6:$F$55,MATCH(F469,Catalogue!$B$6:$B$55,0)),0)+IFERROR(INDEX(Catalogue!$H$6:$H$55,MATCH(F469,Catalogue!$B$6:$B$55,0)),0)))</f>
        <v/>
      </c>
      <c r="R469" s="25" t="str">
        <f t="shared" si="30"/>
        <v/>
      </c>
      <c r="S469" s="18"/>
      <c r="T469" s="24" t="str">
        <f t="shared" si="31"/>
        <v/>
      </c>
      <c r="U469" s="28" t="str">
        <f>IF(D469="","",IF(COUNTIF(D$6:D469,D469)=1,"Nouveau","Fidèle"))</f>
        <v/>
      </c>
    </row>
    <row r="470" spans="1:21" x14ac:dyDescent="0.25">
      <c r="A470" s="41" t="str">
        <f t="shared" si="28"/>
        <v/>
      </c>
      <c r="B470" s="38"/>
      <c r="C470" s="18"/>
      <c r="D470" s="18"/>
      <c r="E470" s="18"/>
      <c r="F470" s="18"/>
      <c r="G470" s="20"/>
      <c r="H470" s="19"/>
      <c r="I470" s="25" t="str">
        <f>IF(F470="","",IF(H470="",IFERROR(INDEX(Catalogue!$I$6:$I$55,MATCH(F470,Catalogue!$B$6:$B$55,0)),0),H470))</f>
        <v/>
      </c>
      <c r="J470" s="19"/>
      <c r="K470" s="25" t="str">
        <f t="shared" si="29"/>
        <v/>
      </c>
      <c r="L470" s="18"/>
      <c r="M470" s="18"/>
      <c r="N470" s="18"/>
      <c r="O470" s="19"/>
      <c r="P470" s="25" t="str">
        <f>IF(F470="","",IF(O470="",IFERROR(INDEX(Catalogue!$G$6:$G$55,MATCH(F470,Catalogue!$B$6:$B$55,0)),0),O470))</f>
        <v/>
      </c>
      <c r="Q470" s="25" t="str">
        <f>IF(F470="","",N(G470)*(IFERROR(INDEX(Catalogue!$E$6:$E$55,MATCH(F470,Catalogue!$B$6:$B$55,0)),0)+IFERROR(INDEX(Catalogue!$F$6:$F$55,MATCH(F470,Catalogue!$B$6:$B$55,0)),0)+IFERROR(INDEX(Catalogue!$H$6:$H$55,MATCH(F470,Catalogue!$B$6:$B$55,0)),0)))</f>
        <v/>
      </c>
      <c r="R470" s="25" t="str">
        <f t="shared" si="30"/>
        <v/>
      </c>
      <c r="S470" s="18"/>
      <c r="T470" s="24" t="str">
        <f t="shared" si="31"/>
        <v/>
      </c>
      <c r="U470" s="28" t="str">
        <f>IF(D470="","",IF(COUNTIF(D$6:D470,D470)=1,"Nouveau","Fidèle"))</f>
        <v/>
      </c>
    </row>
    <row r="471" spans="1:21" x14ac:dyDescent="0.25">
      <c r="A471" s="41" t="str">
        <f t="shared" si="28"/>
        <v/>
      </c>
      <c r="B471" s="38"/>
      <c r="C471" s="18"/>
      <c r="D471" s="18"/>
      <c r="E471" s="18"/>
      <c r="F471" s="18"/>
      <c r="G471" s="20"/>
      <c r="H471" s="19"/>
      <c r="I471" s="25" t="str">
        <f>IF(F471="","",IF(H471="",IFERROR(INDEX(Catalogue!$I$6:$I$55,MATCH(F471,Catalogue!$B$6:$B$55,0)),0),H471))</f>
        <v/>
      </c>
      <c r="J471" s="19"/>
      <c r="K471" s="25" t="str">
        <f t="shared" si="29"/>
        <v/>
      </c>
      <c r="L471" s="18"/>
      <c r="M471" s="18"/>
      <c r="N471" s="18"/>
      <c r="O471" s="19"/>
      <c r="P471" s="25" t="str">
        <f>IF(F471="","",IF(O471="",IFERROR(INDEX(Catalogue!$G$6:$G$55,MATCH(F471,Catalogue!$B$6:$B$55,0)),0),O471))</f>
        <v/>
      </c>
      <c r="Q471" s="25" t="str">
        <f>IF(F471="","",N(G471)*(IFERROR(INDEX(Catalogue!$E$6:$E$55,MATCH(F471,Catalogue!$B$6:$B$55,0)),0)+IFERROR(INDEX(Catalogue!$F$6:$F$55,MATCH(F471,Catalogue!$B$6:$B$55,0)),0)+IFERROR(INDEX(Catalogue!$H$6:$H$55,MATCH(F471,Catalogue!$B$6:$B$55,0)),0)))</f>
        <v/>
      </c>
      <c r="R471" s="25" t="str">
        <f t="shared" si="30"/>
        <v/>
      </c>
      <c r="S471" s="18"/>
      <c r="T471" s="24" t="str">
        <f t="shared" si="31"/>
        <v/>
      </c>
      <c r="U471" s="28" t="str">
        <f>IF(D471="","",IF(COUNTIF(D$6:D471,D471)=1,"Nouveau","Fidèle"))</f>
        <v/>
      </c>
    </row>
    <row r="472" spans="1:21" x14ac:dyDescent="0.25">
      <c r="A472" s="41" t="str">
        <f t="shared" si="28"/>
        <v/>
      </c>
      <c r="B472" s="38"/>
      <c r="C472" s="18"/>
      <c r="D472" s="18"/>
      <c r="E472" s="18"/>
      <c r="F472" s="18"/>
      <c r="G472" s="20"/>
      <c r="H472" s="19"/>
      <c r="I472" s="25" t="str">
        <f>IF(F472="","",IF(H472="",IFERROR(INDEX(Catalogue!$I$6:$I$55,MATCH(F472,Catalogue!$B$6:$B$55,0)),0),H472))</f>
        <v/>
      </c>
      <c r="J472" s="19"/>
      <c r="K472" s="25" t="str">
        <f t="shared" si="29"/>
        <v/>
      </c>
      <c r="L472" s="18"/>
      <c r="M472" s="18"/>
      <c r="N472" s="18"/>
      <c r="O472" s="19"/>
      <c r="P472" s="25" t="str">
        <f>IF(F472="","",IF(O472="",IFERROR(INDEX(Catalogue!$G$6:$G$55,MATCH(F472,Catalogue!$B$6:$B$55,0)),0),O472))</f>
        <v/>
      </c>
      <c r="Q472" s="25" t="str">
        <f>IF(F472="","",N(G472)*(IFERROR(INDEX(Catalogue!$E$6:$E$55,MATCH(F472,Catalogue!$B$6:$B$55,0)),0)+IFERROR(INDEX(Catalogue!$F$6:$F$55,MATCH(F472,Catalogue!$B$6:$B$55,0)),0)+IFERROR(INDEX(Catalogue!$H$6:$H$55,MATCH(F472,Catalogue!$B$6:$B$55,0)),0)))</f>
        <v/>
      </c>
      <c r="R472" s="25" t="str">
        <f t="shared" si="30"/>
        <v/>
      </c>
      <c r="S472" s="18"/>
      <c r="T472" s="24" t="str">
        <f t="shared" si="31"/>
        <v/>
      </c>
      <c r="U472" s="28" t="str">
        <f>IF(D472="","",IF(COUNTIF(D$6:D472,D472)=1,"Nouveau","Fidèle"))</f>
        <v/>
      </c>
    </row>
    <row r="473" spans="1:21" x14ac:dyDescent="0.25">
      <c r="A473" s="41" t="str">
        <f t="shared" si="28"/>
        <v/>
      </c>
      <c r="B473" s="38"/>
      <c r="C473" s="18"/>
      <c r="D473" s="18"/>
      <c r="E473" s="18"/>
      <c r="F473" s="18"/>
      <c r="G473" s="20"/>
      <c r="H473" s="19"/>
      <c r="I473" s="25" t="str">
        <f>IF(F473="","",IF(H473="",IFERROR(INDEX(Catalogue!$I$6:$I$55,MATCH(F473,Catalogue!$B$6:$B$55,0)),0),H473))</f>
        <v/>
      </c>
      <c r="J473" s="19"/>
      <c r="K473" s="25" t="str">
        <f t="shared" si="29"/>
        <v/>
      </c>
      <c r="L473" s="18"/>
      <c r="M473" s="18"/>
      <c r="N473" s="18"/>
      <c r="O473" s="19"/>
      <c r="P473" s="25" t="str">
        <f>IF(F473="","",IF(O473="",IFERROR(INDEX(Catalogue!$G$6:$G$55,MATCH(F473,Catalogue!$B$6:$B$55,0)),0),O473))</f>
        <v/>
      </c>
      <c r="Q473" s="25" t="str">
        <f>IF(F473="","",N(G473)*(IFERROR(INDEX(Catalogue!$E$6:$E$55,MATCH(F473,Catalogue!$B$6:$B$55,0)),0)+IFERROR(INDEX(Catalogue!$F$6:$F$55,MATCH(F473,Catalogue!$B$6:$B$55,0)),0)+IFERROR(INDEX(Catalogue!$H$6:$H$55,MATCH(F473,Catalogue!$B$6:$B$55,0)),0)))</f>
        <v/>
      </c>
      <c r="R473" s="25" t="str">
        <f t="shared" si="30"/>
        <v/>
      </c>
      <c r="S473" s="18"/>
      <c r="T473" s="24" t="str">
        <f t="shared" si="31"/>
        <v/>
      </c>
      <c r="U473" s="28" t="str">
        <f>IF(D473="","",IF(COUNTIF(D$6:D473,D473)=1,"Nouveau","Fidèle"))</f>
        <v/>
      </c>
    </row>
    <row r="474" spans="1:21" x14ac:dyDescent="0.25">
      <c r="A474" s="41" t="str">
        <f t="shared" si="28"/>
        <v/>
      </c>
      <c r="B474" s="38"/>
      <c r="C474" s="18"/>
      <c r="D474" s="18"/>
      <c r="E474" s="18"/>
      <c r="F474" s="18"/>
      <c r="G474" s="20"/>
      <c r="H474" s="19"/>
      <c r="I474" s="25" t="str">
        <f>IF(F474="","",IF(H474="",IFERROR(INDEX(Catalogue!$I$6:$I$55,MATCH(F474,Catalogue!$B$6:$B$55,0)),0),H474))</f>
        <v/>
      </c>
      <c r="J474" s="19"/>
      <c r="K474" s="25" t="str">
        <f t="shared" si="29"/>
        <v/>
      </c>
      <c r="L474" s="18"/>
      <c r="M474" s="18"/>
      <c r="N474" s="18"/>
      <c r="O474" s="19"/>
      <c r="P474" s="25" t="str">
        <f>IF(F474="","",IF(O474="",IFERROR(INDEX(Catalogue!$G$6:$G$55,MATCH(F474,Catalogue!$B$6:$B$55,0)),0),O474))</f>
        <v/>
      </c>
      <c r="Q474" s="25" t="str">
        <f>IF(F474="","",N(G474)*(IFERROR(INDEX(Catalogue!$E$6:$E$55,MATCH(F474,Catalogue!$B$6:$B$55,0)),0)+IFERROR(INDEX(Catalogue!$F$6:$F$55,MATCH(F474,Catalogue!$B$6:$B$55,0)),0)+IFERROR(INDEX(Catalogue!$H$6:$H$55,MATCH(F474,Catalogue!$B$6:$B$55,0)),0)))</f>
        <v/>
      </c>
      <c r="R474" s="25" t="str">
        <f t="shared" si="30"/>
        <v/>
      </c>
      <c r="S474" s="18"/>
      <c r="T474" s="24" t="str">
        <f t="shared" si="31"/>
        <v/>
      </c>
      <c r="U474" s="28" t="str">
        <f>IF(D474="","",IF(COUNTIF(D$6:D474,D474)=1,"Nouveau","Fidèle"))</f>
        <v/>
      </c>
    </row>
    <row r="475" spans="1:21" x14ac:dyDescent="0.25">
      <c r="A475" s="41" t="str">
        <f t="shared" si="28"/>
        <v/>
      </c>
      <c r="B475" s="38"/>
      <c r="C475" s="18"/>
      <c r="D475" s="18"/>
      <c r="E475" s="18"/>
      <c r="F475" s="18"/>
      <c r="G475" s="20"/>
      <c r="H475" s="19"/>
      <c r="I475" s="25" t="str">
        <f>IF(F475="","",IF(H475="",IFERROR(INDEX(Catalogue!$I$6:$I$55,MATCH(F475,Catalogue!$B$6:$B$55,0)),0),H475))</f>
        <v/>
      </c>
      <c r="J475" s="19"/>
      <c r="K475" s="25" t="str">
        <f t="shared" si="29"/>
        <v/>
      </c>
      <c r="L475" s="18"/>
      <c r="M475" s="18"/>
      <c r="N475" s="18"/>
      <c r="O475" s="19"/>
      <c r="P475" s="25" t="str">
        <f>IF(F475="","",IF(O475="",IFERROR(INDEX(Catalogue!$G$6:$G$55,MATCH(F475,Catalogue!$B$6:$B$55,0)),0),O475))</f>
        <v/>
      </c>
      <c r="Q475" s="25" t="str">
        <f>IF(F475="","",N(G475)*(IFERROR(INDEX(Catalogue!$E$6:$E$55,MATCH(F475,Catalogue!$B$6:$B$55,0)),0)+IFERROR(INDEX(Catalogue!$F$6:$F$55,MATCH(F475,Catalogue!$B$6:$B$55,0)),0)+IFERROR(INDEX(Catalogue!$H$6:$H$55,MATCH(F475,Catalogue!$B$6:$B$55,0)),0)))</f>
        <v/>
      </c>
      <c r="R475" s="25" t="str">
        <f t="shared" si="30"/>
        <v/>
      </c>
      <c r="S475" s="18"/>
      <c r="T475" s="24" t="str">
        <f t="shared" si="31"/>
        <v/>
      </c>
      <c r="U475" s="28" t="str">
        <f>IF(D475="","",IF(COUNTIF(D$6:D475,D475)=1,"Nouveau","Fidèle"))</f>
        <v/>
      </c>
    </row>
    <row r="476" spans="1:21" x14ac:dyDescent="0.25">
      <c r="A476" s="41" t="str">
        <f t="shared" si="28"/>
        <v/>
      </c>
      <c r="B476" s="38"/>
      <c r="C476" s="18"/>
      <c r="D476" s="18"/>
      <c r="E476" s="18"/>
      <c r="F476" s="18"/>
      <c r="G476" s="20"/>
      <c r="H476" s="19"/>
      <c r="I476" s="25" t="str">
        <f>IF(F476="","",IF(H476="",IFERROR(INDEX(Catalogue!$I$6:$I$55,MATCH(F476,Catalogue!$B$6:$B$55,0)),0),H476))</f>
        <v/>
      </c>
      <c r="J476" s="19"/>
      <c r="K476" s="25" t="str">
        <f t="shared" si="29"/>
        <v/>
      </c>
      <c r="L476" s="18"/>
      <c r="M476" s="18"/>
      <c r="N476" s="18"/>
      <c r="O476" s="19"/>
      <c r="P476" s="25" t="str">
        <f>IF(F476="","",IF(O476="",IFERROR(INDEX(Catalogue!$G$6:$G$55,MATCH(F476,Catalogue!$B$6:$B$55,0)),0),O476))</f>
        <v/>
      </c>
      <c r="Q476" s="25" t="str">
        <f>IF(F476="","",N(G476)*(IFERROR(INDEX(Catalogue!$E$6:$E$55,MATCH(F476,Catalogue!$B$6:$B$55,0)),0)+IFERROR(INDEX(Catalogue!$F$6:$F$55,MATCH(F476,Catalogue!$B$6:$B$55,0)),0)+IFERROR(INDEX(Catalogue!$H$6:$H$55,MATCH(F476,Catalogue!$B$6:$B$55,0)),0)))</f>
        <v/>
      </c>
      <c r="R476" s="25" t="str">
        <f t="shared" si="30"/>
        <v/>
      </c>
      <c r="S476" s="18"/>
      <c r="T476" s="24" t="str">
        <f t="shared" si="31"/>
        <v/>
      </c>
      <c r="U476" s="28" t="str">
        <f>IF(D476="","",IF(COUNTIF(D$6:D476,D476)=1,"Nouveau","Fidèle"))</f>
        <v/>
      </c>
    </row>
    <row r="477" spans="1:21" x14ac:dyDescent="0.25">
      <c r="A477" s="41" t="str">
        <f t="shared" si="28"/>
        <v/>
      </c>
      <c r="B477" s="38"/>
      <c r="C477" s="18"/>
      <c r="D477" s="18"/>
      <c r="E477" s="18"/>
      <c r="F477" s="18"/>
      <c r="G477" s="20"/>
      <c r="H477" s="19"/>
      <c r="I477" s="25" t="str">
        <f>IF(F477="","",IF(H477="",IFERROR(INDEX(Catalogue!$I$6:$I$55,MATCH(F477,Catalogue!$B$6:$B$55,0)),0),H477))</f>
        <v/>
      </c>
      <c r="J477" s="19"/>
      <c r="K477" s="25" t="str">
        <f t="shared" si="29"/>
        <v/>
      </c>
      <c r="L477" s="18"/>
      <c r="M477" s="18"/>
      <c r="N477" s="18"/>
      <c r="O477" s="19"/>
      <c r="P477" s="25" t="str">
        <f>IF(F477="","",IF(O477="",IFERROR(INDEX(Catalogue!$G$6:$G$55,MATCH(F477,Catalogue!$B$6:$B$55,0)),0),O477))</f>
        <v/>
      </c>
      <c r="Q477" s="25" t="str">
        <f>IF(F477="","",N(G477)*(IFERROR(INDEX(Catalogue!$E$6:$E$55,MATCH(F477,Catalogue!$B$6:$B$55,0)),0)+IFERROR(INDEX(Catalogue!$F$6:$F$55,MATCH(F477,Catalogue!$B$6:$B$55,0)),0)+IFERROR(INDEX(Catalogue!$H$6:$H$55,MATCH(F477,Catalogue!$B$6:$B$55,0)),0)))</f>
        <v/>
      </c>
      <c r="R477" s="25" t="str">
        <f t="shared" si="30"/>
        <v/>
      </c>
      <c r="S477" s="18"/>
      <c r="T477" s="24" t="str">
        <f t="shared" si="31"/>
        <v/>
      </c>
      <c r="U477" s="28" t="str">
        <f>IF(D477="","",IF(COUNTIF(D$6:D477,D477)=1,"Nouveau","Fidèle"))</f>
        <v/>
      </c>
    </row>
    <row r="478" spans="1:21" x14ac:dyDescent="0.25">
      <c r="A478" s="41" t="str">
        <f t="shared" si="28"/>
        <v/>
      </c>
      <c r="B478" s="38"/>
      <c r="C478" s="18"/>
      <c r="D478" s="18"/>
      <c r="E478" s="18"/>
      <c r="F478" s="18"/>
      <c r="G478" s="20"/>
      <c r="H478" s="19"/>
      <c r="I478" s="25" t="str">
        <f>IF(F478="","",IF(H478="",IFERROR(INDEX(Catalogue!$I$6:$I$55,MATCH(F478,Catalogue!$B$6:$B$55,0)),0),H478))</f>
        <v/>
      </c>
      <c r="J478" s="19"/>
      <c r="K478" s="25" t="str">
        <f t="shared" si="29"/>
        <v/>
      </c>
      <c r="L478" s="18"/>
      <c r="M478" s="18"/>
      <c r="N478" s="18"/>
      <c r="O478" s="19"/>
      <c r="P478" s="25" t="str">
        <f>IF(F478="","",IF(O478="",IFERROR(INDEX(Catalogue!$G$6:$G$55,MATCH(F478,Catalogue!$B$6:$B$55,0)),0),O478))</f>
        <v/>
      </c>
      <c r="Q478" s="25" t="str">
        <f>IF(F478="","",N(G478)*(IFERROR(INDEX(Catalogue!$E$6:$E$55,MATCH(F478,Catalogue!$B$6:$B$55,0)),0)+IFERROR(INDEX(Catalogue!$F$6:$F$55,MATCH(F478,Catalogue!$B$6:$B$55,0)),0)+IFERROR(INDEX(Catalogue!$H$6:$H$55,MATCH(F478,Catalogue!$B$6:$B$55,0)),0)))</f>
        <v/>
      </c>
      <c r="R478" s="25" t="str">
        <f t="shared" si="30"/>
        <v/>
      </c>
      <c r="S478" s="18"/>
      <c r="T478" s="24" t="str">
        <f t="shared" si="31"/>
        <v/>
      </c>
      <c r="U478" s="28" t="str">
        <f>IF(D478="","",IF(COUNTIF(D$6:D478,D478)=1,"Nouveau","Fidèle"))</f>
        <v/>
      </c>
    </row>
    <row r="479" spans="1:21" x14ac:dyDescent="0.25">
      <c r="A479" s="41" t="str">
        <f t="shared" si="28"/>
        <v/>
      </c>
      <c r="B479" s="38"/>
      <c r="C479" s="18"/>
      <c r="D479" s="18"/>
      <c r="E479" s="18"/>
      <c r="F479" s="18"/>
      <c r="G479" s="20"/>
      <c r="H479" s="19"/>
      <c r="I479" s="25" t="str">
        <f>IF(F479="","",IF(H479="",IFERROR(INDEX(Catalogue!$I$6:$I$55,MATCH(F479,Catalogue!$B$6:$B$55,0)),0),H479))</f>
        <v/>
      </c>
      <c r="J479" s="19"/>
      <c r="K479" s="25" t="str">
        <f t="shared" si="29"/>
        <v/>
      </c>
      <c r="L479" s="18"/>
      <c r="M479" s="18"/>
      <c r="N479" s="18"/>
      <c r="O479" s="19"/>
      <c r="P479" s="25" t="str">
        <f>IF(F479="","",IF(O479="",IFERROR(INDEX(Catalogue!$G$6:$G$55,MATCH(F479,Catalogue!$B$6:$B$55,0)),0),O479))</f>
        <v/>
      </c>
      <c r="Q479" s="25" t="str">
        <f>IF(F479="","",N(G479)*(IFERROR(INDEX(Catalogue!$E$6:$E$55,MATCH(F479,Catalogue!$B$6:$B$55,0)),0)+IFERROR(INDEX(Catalogue!$F$6:$F$55,MATCH(F479,Catalogue!$B$6:$B$55,0)),0)+IFERROR(INDEX(Catalogue!$H$6:$H$55,MATCH(F479,Catalogue!$B$6:$B$55,0)),0)))</f>
        <v/>
      </c>
      <c r="R479" s="25" t="str">
        <f t="shared" si="30"/>
        <v/>
      </c>
      <c r="S479" s="18"/>
      <c r="T479" s="24" t="str">
        <f t="shared" si="31"/>
        <v/>
      </c>
      <c r="U479" s="28" t="str">
        <f>IF(D479="","",IF(COUNTIF(D$6:D479,D479)=1,"Nouveau","Fidèle"))</f>
        <v/>
      </c>
    </row>
    <row r="480" spans="1:21" x14ac:dyDescent="0.25">
      <c r="A480" s="41" t="str">
        <f t="shared" si="28"/>
        <v/>
      </c>
      <c r="B480" s="38"/>
      <c r="C480" s="18"/>
      <c r="D480" s="18"/>
      <c r="E480" s="18"/>
      <c r="F480" s="18"/>
      <c r="G480" s="20"/>
      <c r="H480" s="19"/>
      <c r="I480" s="25" t="str">
        <f>IF(F480="","",IF(H480="",IFERROR(INDEX(Catalogue!$I$6:$I$55,MATCH(F480,Catalogue!$B$6:$B$55,0)),0),H480))</f>
        <v/>
      </c>
      <c r="J480" s="19"/>
      <c r="K480" s="25" t="str">
        <f t="shared" si="29"/>
        <v/>
      </c>
      <c r="L480" s="18"/>
      <c r="M480" s="18"/>
      <c r="N480" s="18"/>
      <c r="O480" s="19"/>
      <c r="P480" s="25" t="str">
        <f>IF(F480="","",IF(O480="",IFERROR(INDEX(Catalogue!$G$6:$G$55,MATCH(F480,Catalogue!$B$6:$B$55,0)),0),O480))</f>
        <v/>
      </c>
      <c r="Q480" s="25" t="str">
        <f>IF(F480="","",N(G480)*(IFERROR(INDEX(Catalogue!$E$6:$E$55,MATCH(F480,Catalogue!$B$6:$B$55,0)),0)+IFERROR(INDEX(Catalogue!$F$6:$F$55,MATCH(F480,Catalogue!$B$6:$B$55,0)),0)+IFERROR(INDEX(Catalogue!$H$6:$H$55,MATCH(F480,Catalogue!$B$6:$B$55,0)),0)))</f>
        <v/>
      </c>
      <c r="R480" s="25" t="str">
        <f t="shared" si="30"/>
        <v/>
      </c>
      <c r="S480" s="18"/>
      <c r="T480" s="24" t="str">
        <f t="shared" si="31"/>
        <v/>
      </c>
      <c r="U480" s="28" t="str">
        <f>IF(D480="","",IF(COUNTIF(D$6:D480,D480)=1,"Nouveau","Fidèle"))</f>
        <v/>
      </c>
    </row>
    <row r="481" spans="1:21" x14ac:dyDescent="0.25">
      <c r="A481" s="41" t="str">
        <f t="shared" si="28"/>
        <v/>
      </c>
      <c r="B481" s="38"/>
      <c r="C481" s="18"/>
      <c r="D481" s="18"/>
      <c r="E481" s="18"/>
      <c r="F481" s="18"/>
      <c r="G481" s="20"/>
      <c r="H481" s="19"/>
      <c r="I481" s="25" t="str">
        <f>IF(F481="","",IF(H481="",IFERROR(INDEX(Catalogue!$I$6:$I$55,MATCH(F481,Catalogue!$B$6:$B$55,0)),0),H481))</f>
        <v/>
      </c>
      <c r="J481" s="19"/>
      <c r="K481" s="25" t="str">
        <f t="shared" si="29"/>
        <v/>
      </c>
      <c r="L481" s="18"/>
      <c r="M481" s="18"/>
      <c r="N481" s="18"/>
      <c r="O481" s="19"/>
      <c r="P481" s="25" t="str">
        <f>IF(F481="","",IF(O481="",IFERROR(INDEX(Catalogue!$G$6:$G$55,MATCH(F481,Catalogue!$B$6:$B$55,0)),0),O481))</f>
        <v/>
      </c>
      <c r="Q481" s="25" t="str">
        <f>IF(F481="","",N(G481)*(IFERROR(INDEX(Catalogue!$E$6:$E$55,MATCH(F481,Catalogue!$B$6:$B$55,0)),0)+IFERROR(INDEX(Catalogue!$F$6:$F$55,MATCH(F481,Catalogue!$B$6:$B$55,0)),0)+IFERROR(INDEX(Catalogue!$H$6:$H$55,MATCH(F481,Catalogue!$B$6:$B$55,0)),0)))</f>
        <v/>
      </c>
      <c r="R481" s="25" t="str">
        <f t="shared" si="30"/>
        <v/>
      </c>
      <c r="S481" s="18"/>
      <c r="T481" s="24" t="str">
        <f t="shared" si="31"/>
        <v/>
      </c>
      <c r="U481" s="28" t="str">
        <f>IF(D481="","",IF(COUNTIF(D$6:D481,D481)=1,"Nouveau","Fidèle"))</f>
        <v/>
      </c>
    </row>
    <row r="482" spans="1:21" x14ac:dyDescent="0.25">
      <c r="A482" s="41" t="str">
        <f t="shared" si="28"/>
        <v/>
      </c>
      <c r="B482" s="38"/>
      <c r="C482" s="18"/>
      <c r="D482" s="18"/>
      <c r="E482" s="18"/>
      <c r="F482" s="18"/>
      <c r="G482" s="20"/>
      <c r="H482" s="19"/>
      <c r="I482" s="25" t="str">
        <f>IF(F482="","",IF(H482="",IFERROR(INDEX(Catalogue!$I$6:$I$55,MATCH(F482,Catalogue!$B$6:$B$55,0)),0),H482))</f>
        <v/>
      </c>
      <c r="J482" s="19"/>
      <c r="K482" s="25" t="str">
        <f t="shared" si="29"/>
        <v/>
      </c>
      <c r="L482" s="18"/>
      <c r="M482" s="18"/>
      <c r="N482" s="18"/>
      <c r="O482" s="19"/>
      <c r="P482" s="25" t="str">
        <f>IF(F482="","",IF(O482="",IFERROR(INDEX(Catalogue!$G$6:$G$55,MATCH(F482,Catalogue!$B$6:$B$55,0)),0),O482))</f>
        <v/>
      </c>
      <c r="Q482" s="25" t="str">
        <f>IF(F482="","",N(G482)*(IFERROR(INDEX(Catalogue!$E$6:$E$55,MATCH(F482,Catalogue!$B$6:$B$55,0)),0)+IFERROR(INDEX(Catalogue!$F$6:$F$55,MATCH(F482,Catalogue!$B$6:$B$55,0)),0)+IFERROR(INDEX(Catalogue!$H$6:$H$55,MATCH(F482,Catalogue!$B$6:$B$55,0)),0)))</f>
        <v/>
      </c>
      <c r="R482" s="25" t="str">
        <f t="shared" si="30"/>
        <v/>
      </c>
      <c r="S482" s="18"/>
      <c r="T482" s="24" t="str">
        <f t="shared" si="31"/>
        <v/>
      </c>
      <c r="U482" s="28" t="str">
        <f>IF(D482="","",IF(COUNTIF(D$6:D482,D482)=1,"Nouveau","Fidèle"))</f>
        <v/>
      </c>
    </row>
    <row r="483" spans="1:21" x14ac:dyDescent="0.25">
      <c r="A483" s="41" t="str">
        <f t="shared" si="28"/>
        <v/>
      </c>
      <c r="B483" s="38"/>
      <c r="C483" s="18"/>
      <c r="D483" s="18"/>
      <c r="E483" s="18"/>
      <c r="F483" s="18"/>
      <c r="G483" s="20"/>
      <c r="H483" s="19"/>
      <c r="I483" s="25" t="str">
        <f>IF(F483="","",IF(H483="",IFERROR(INDEX(Catalogue!$I$6:$I$55,MATCH(F483,Catalogue!$B$6:$B$55,0)),0),H483))</f>
        <v/>
      </c>
      <c r="J483" s="19"/>
      <c r="K483" s="25" t="str">
        <f t="shared" si="29"/>
        <v/>
      </c>
      <c r="L483" s="18"/>
      <c r="M483" s="18"/>
      <c r="N483" s="18"/>
      <c r="O483" s="19"/>
      <c r="P483" s="25" t="str">
        <f>IF(F483="","",IF(O483="",IFERROR(INDEX(Catalogue!$G$6:$G$55,MATCH(F483,Catalogue!$B$6:$B$55,0)),0),O483))</f>
        <v/>
      </c>
      <c r="Q483" s="25" t="str">
        <f>IF(F483="","",N(G483)*(IFERROR(INDEX(Catalogue!$E$6:$E$55,MATCH(F483,Catalogue!$B$6:$B$55,0)),0)+IFERROR(INDEX(Catalogue!$F$6:$F$55,MATCH(F483,Catalogue!$B$6:$B$55,0)),0)+IFERROR(INDEX(Catalogue!$H$6:$H$55,MATCH(F483,Catalogue!$B$6:$B$55,0)),0)))</f>
        <v/>
      </c>
      <c r="R483" s="25" t="str">
        <f t="shared" si="30"/>
        <v/>
      </c>
      <c r="S483" s="18"/>
      <c r="T483" s="24" t="str">
        <f t="shared" si="31"/>
        <v/>
      </c>
      <c r="U483" s="28" t="str">
        <f>IF(D483="","",IF(COUNTIF(D$6:D483,D483)=1,"Nouveau","Fidèle"))</f>
        <v/>
      </c>
    </row>
    <row r="484" spans="1:21" x14ac:dyDescent="0.25">
      <c r="A484" s="41" t="str">
        <f t="shared" si="28"/>
        <v/>
      </c>
      <c r="B484" s="38"/>
      <c r="C484" s="18"/>
      <c r="D484" s="18"/>
      <c r="E484" s="18"/>
      <c r="F484" s="18"/>
      <c r="G484" s="20"/>
      <c r="H484" s="19"/>
      <c r="I484" s="25" t="str">
        <f>IF(F484="","",IF(H484="",IFERROR(INDEX(Catalogue!$I$6:$I$55,MATCH(F484,Catalogue!$B$6:$B$55,0)),0),H484))</f>
        <v/>
      </c>
      <c r="J484" s="19"/>
      <c r="K484" s="25" t="str">
        <f t="shared" si="29"/>
        <v/>
      </c>
      <c r="L484" s="18"/>
      <c r="M484" s="18"/>
      <c r="N484" s="18"/>
      <c r="O484" s="19"/>
      <c r="P484" s="25" t="str">
        <f>IF(F484="","",IF(O484="",IFERROR(INDEX(Catalogue!$G$6:$G$55,MATCH(F484,Catalogue!$B$6:$B$55,0)),0),O484))</f>
        <v/>
      </c>
      <c r="Q484" s="25" t="str">
        <f>IF(F484="","",N(G484)*(IFERROR(INDEX(Catalogue!$E$6:$E$55,MATCH(F484,Catalogue!$B$6:$B$55,0)),0)+IFERROR(INDEX(Catalogue!$F$6:$F$55,MATCH(F484,Catalogue!$B$6:$B$55,0)),0)+IFERROR(INDEX(Catalogue!$H$6:$H$55,MATCH(F484,Catalogue!$B$6:$B$55,0)),0)))</f>
        <v/>
      </c>
      <c r="R484" s="25" t="str">
        <f t="shared" si="30"/>
        <v/>
      </c>
      <c r="S484" s="18"/>
      <c r="T484" s="24" t="str">
        <f t="shared" si="31"/>
        <v/>
      </c>
      <c r="U484" s="28" t="str">
        <f>IF(D484="","",IF(COUNTIF(D$6:D484,D484)=1,"Nouveau","Fidèle"))</f>
        <v/>
      </c>
    </row>
    <row r="485" spans="1:21" x14ac:dyDescent="0.25">
      <c r="A485" s="41" t="str">
        <f t="shared" si="28"/>
        <v/>
      </c>
      <c r="B485" s="38"/>
      <c r="C485" s="18"/>
      <c r="D485" s="18"/>
      <c r="E485" s="18"/>
      <c r="F485" s="18"/>
      <c r="G485" s="20"/>
      <c r="H485" s="19"/>
      <c r="I485" s="25" t="str">
        <f>IF(F485="","",IF(H485="",IFERROR(INDEX(Catalogue!$I$6:$I$55,MATCH(F485,Catalogue!$B$6:$B$55,0)),0),H485))</f>
        <v/>
      </c>
      <c r="J485" s="19"/>
      <c r="K485" s="25" t="str">
        <f t="shared" si="29"/>
        <v/>
      </c>
      <c r="L485" s="18"/>
      <c r="M485" s="18"/>
      <c r="N485" s="18"/>
      <c r="O485" s="19"/>
      <c r="P485" s="25" t="str">
        <f>IF(F485="","",IF(O485="",IFERROR(INDEX(Catalogue!$G$6:$G$55,MATCH(F485,Catalogue!$B$6:$B$55,0)),0),O485))</f>
        <v/>
      </c>
      <c r="Q485" s="25" t="str">
        <f>IF(F485="","",N(G485)*(IFERROR(INDEX(Catalogue!$E$6:$E$55,MATCH(F485,Catalogue!$B$6:$B$55,0)),0)+IFERROR(INDEX(Catalogue!$F$6:$F$55,MATCH(F485,Catalogue!$B$6:$B$55,0)),0)+IFERROR(INDEX(Catalogue!$H$6:$H$55,MATCH(F485,Catalogue!$B$6:$B$55,0)),0)))</f>
        <v/>
      </c>
      <c r="R485" s="25" t="str">
        <f t="shared" si="30"/>
        <v/>
      </c>
      <c r="S485" s="18"/>
      <c r="T485" s="24" t="str">
        <f t="shared" si="31"/>
        <v/>
      </c>
      <c r="U485" s="28" t="str">
        <f>IF(D485="","",IF(COUNTIF(D$6:D485,D485)=1,"Nouveau","Fidèle"))</f>
        <v/>
      </c>
    </row>
    <row r="486" spans="1:21" x14ac:dyDescent="0.25">
      <c r="A486" s="41" t="str">
        <f t="shared" si="28"/>
        <v/>
      </c>
      <c r="B486" s="38"/>
      <c r="C486" s="18"/>
      <c r="D486" s="18"/>
      <c r="E486" s="18"/>
      <c r="F486" s="18"/>
      <c r="G486" s="20"/>
      <c r="H486" s="19"/>
      <c r="I486" s="25" t="str">
        <f>IF(F486="","",IF(H486="",IFERROR(INDEX(Catalogue!$I$6:$I$55,MATCH(F486,Catalogue!$B$6:$B$55,0)),0),H486))</f>
        <v/>
      </c>
      <c r="J486" s="19"/>
      <c r="K486" s="25" t="str">
        <f t="shared" si="29"/>
        <v/>
      </c>
      <c r="L486" s="18"/>
      <c r="M486" s="18"/>
      <c r="N486" s="18"/>
      <c r="O486" s="19"/>
      <c r="P486" s="25" t="str">
        <f>IF(F486="","",IF(O486="",IFERROR(INDEX(Catalogue!$G$6:$G$55,MATCH(F486,Catalogue!$B$6:$B$55,0)),0),O486))</f>
        <v/>
      </c>
      <c r="Q486" s="25" t="str">
        <f>IF(F486="","",N(G486)*(IFERROR(INDEX(Catalogue!$E$6:$E$55,MATCH(F486,Catalogue!$B$6:$B$55,0)),0)+IFERROR(INDEX(Catalogue!$F$6:$F$55,MATCH(F486,Catalogue!$B$6:$B$55,0)),0)+IFERROR(INDEX(Catalogue!$H$6:$H$55,MATCH(F486,Catalogue!$B$6:$B$55,0)),0)))</f>
        <v/>
      </c>
      <c r="R486" s="25" t="str">
        <f t="shared" si="30"/>
        <v/>
      </c>
      <c r="S486" s="18"/>
      <c r="T486" s="24" t="str">
        <f t="shared" si="31"/>
        <v/>
      </c>
      <c r="U486" s="28" t="str">
        <f>IF(D486="","",IF(COUNTIF(D$6:D486,D486)=1,"Nouveau","Fidèle"))</f>
        <v/>
      </c>
    </row>
    <row r="487" spans="1:21" x14ac:dyDescent="0.25">
      <c r="A487" s="41" t="str">
        <f t="shared" si="28"/>
        <v/>
      </c>
      <c r="B487" s="38"/>
      <c r="C487" s="18"/>
      <c r="D487" s="18"/>
      <c r="E487" s="18"/>
      <c r="F487" s="18"/>
      <c r="G487" s="20"/>
      <c r="H487" s="19"/>
      <c r="I487" s="25" t="str">
        <f>IF(F487="","",IF(H487="",IFERROR(INDEX(Catalogue!$I$6:$I$55,MATCH(F487,Catalogue!$B$6:$B$55,0)),0),H487))</f>
        <v/>
      </c>
      <c r="J487" s="19"/>
      <c r="K487" s="25" t="str">
        <f t="shared" si="29"/>
        <v/>
      </c>
      <c r="L487" s="18"/>
      <c r="M487" s="18"/>
      <c r="N487" s="18"/>
      <c r="O487" s="19"/>
      <c r="P487" s="25" t="str">
        <f>IF(F487="","",IF(O487="",IFERROR(INDEX(Catalogue!$G$6:$G$55,MATCH(F487,Catalogue!$B$6:$B$55,0)),0),O487))</f>
        <v/>
      </c>
      <c r="Q487" s="25" t="str">
        <f>IF(F487="","",N(G487)*(IFERROR(INDEX(Catalogue!$E$6:$E$55,MATCH(F487,Catalogue!$B$6:$B$55,0)),0)+IFERROR(INDEX(Catalogue!$F$6:$F$55,MATCH(F487,Catalogue!$B$6:$B$55,0)),0)+IFERROR(INDEX(Catalogue!$H$6:$H$55,MATCH(F487,Catalogue!$B$6:$B$55,0)),0)))</f>
        <v/>
      </c>
      <c r="R487" s="25" t="str">
        <f t="shared" si="30"/>
        <v/>
      </c>
      <c r="S487" s="18"/>
      <c r="T487" s="24" t="str">
        <f t="shared" si="31"/>
        <v/>
      </c>
      <c r="U487" s="28" t="str">
        <f>IF(D487="","",IF(COUNTIF(D$6:D487,D487)=1,"Nouveau","Fidèle"))</f>
        <v/>
      </c>
    </row>
    <row r="488" spans="1:21" x14ac:dyDescent="0.25">
      <c r="A488" s="41" t="str">
        <f t="shared" si="28"/>
        <v/>
      </c>
      <c r="B488" s="38"/>
      <c r="C488" s="18"/>
      <c r="D488" s="18"/>
      <c r="E488" s="18"/>
      <c r="F488" s="18"/>
      <c r="G488" s="20"/>
      <c r="H488" s="19"/>
      <c r="I488" s="25" t="str">
        <f>IF(F488="","",IF(H488="",IFERROR(INDEX(Catalogue!$I$6:$I$55,MATCH(F488,Catalogue!$B$6:$B$55,0)),0),H488))</f>
        <v/>
      </c>
      <c r="J488" s="19"/>
      <c r="K488" s="25" t="str">
        <f t="shared" si="29"/>
        <v/>
      </c>
      <c r="L488" s="18"/>
      <c r="M488" s="18"/>
      <c r="N488" s="18"/>
      <c r="O488" s="19"/>
      <c r="P488" s="25" t="str">
        <f>IF(F488="","",IF(O488="",IFERROR(INDEX(Catalogue!$G$6:$G$55,MATCH(F488,Catalogue!$B$6:$B$55,0)),0),O488))</f>
        <v/>
      </c>
      <c r="Q488" s="25" t="str">
        <f>IF(F488="","",N(G488)*(IFERROR(INDEX(Catalogue!$E$6:$E$55,MATCH(F488,Catalogue!$B$6:$B$55,0)),0)+IFERROR(INDEX(Catalogue!$F$6:$F$55,MATCH(F488,Catalogue!$B$6:$B$55,0)),0)+IFERROR(INDEX(Catalogue!$H$6:$H$55,MATCH(F488,Catalogue!$B$6:$B$55,0)),0)))</f>
        <v/>
      </c>
      <c r="R488" s="25" t="str">
        <f t="shared" si="30"/>
        <v/>
      </c>
      <c r="S488" s="18"/>
      <c r="T488" s="24" t="str">
        <f t="shared" si="31"/>
        <v/>
      </c>
      <c r="U488" s="28" t="str">
        <f>IF(D488="","",IF(COUNTIF(D$6:D488,D488)=1,"Nouveau","Fidèle"))</f>
        <v/>
      </c>
    </row>
    <row r="489" spans="1:21" x14ac:dyDescent="0.25">
      <c r="A489" s="41" t="str">
        <f t="shared" si="28"/>
        <v/>
      </c>
      <c r="B489" s="38"/>
      <c r="C489" s="18"/>
      <c r="D489" s="18"/>
      <c r="E489" s="18"/>
      <c r="F489" s="18"/>
      <c r="G489" s="20"/>
      <c r="H489" s="19"/>
      <c r="I489" s="25" t="str">
        <f>IF(F489="","",IF(H489="",IFERROR(INDEX(Catalogue!$I$6:$I$55,MATCH(F489,Catalogue!$B$6:$B$55,0)),0),H489))</f>
        <v/>
      </c>
      <c r="J489" s="19"/>
      <c r="K489" s="25" t="str">
        <f t="shared" si="29"/>
        <v/>
      </c>
      <c r="L489" s="18"/>
      <c r="M489" s="18"/>
      <c r="N489" s="18"/>
      <c r="O489" s="19"/>
      <c r="P489" s="25" t="str">
        <f>IF(F489="","",IF(O489="",IFERROR(INDEX(Catalogue!$G$6:$G$55,MATCH(F489,Catalogue!$B$6:$B$55,0)),0),O489))</f>
        <v/>
      </c>
      <c r="Q489" s="25" t="str">
        <f>IF(F489="","",N(G489)*(IFERROR(INDEX(Catalogue!$E$6:$E$55,MATCH(F489,Catalogue!$B$6:$B$55,0)),0)+IFERROR(INDEX(Catalogue!$F$6:$F$55,MATCH(F489,Catalogue!$B$6:$B$55,0)),0)+IFERROR(INDEX(Catalogue!$H$6:$H$55,MATCH(F489,Catalogue!$B$6:$B$55,0)),0)))</f>
        <v/>
      </c>
      <c r="R489" s="25" t="str">
        <f t="shared" si="30"/>
        <v/>
      </c>
      <c r="S489" s="18"/>
      <c r="T489" s="24" t="str">
        <f t="shared" si="31"/>
        <v/>
      </c>
      <c r="U489" s="28" t="str">
        <f>IF(D489="","",IF(COUNTIF(D$6:D489,D489)=1,"Nouveau","Fidèle"))</f>
        <v/>
      </c>
    </row>
    <row r="490" spans="1:21" x14ac:dyDescent="0.25">
      <c r="A490" s="41" t="str">
        <f t="shared" si="28"/>
        <v/>
      </c>
      <c r="B490" s="38"/>
      <c r="C490" s="18"/>
      <c r="D490" s="18"/>
      <c r="E490" s="18"/>
      <c r="F490" s="18"/>
      <c r="G490" s="20"/>
      <c r="H490" s="19"/>
      <c r="I490" s="25" t="str">
        <f>IF(F490="","",IF(H490="",IFERROR(INDEX(Catalogue!$I$6:$I$55,MATCH(F490,Catalogue!$B$6:$B$55,0)),0),H490))</f>
        <v/>
      </c>
      <c r="J490" s="19"/>
      <c r="K490" s="25" t="str">
        <f t="shared" si="29"/>
        <v/>
      </c>
      <c r="L490" s="18"/>
      <c r="M490" s="18"/>
      <c r="N490" s="18"/>
      <c r="O490" s="19"/>
      <c r="P490" s="25" t="str">
        <f>IF(F490="","",IF(O490="",IFERROR(INDEX(Catalogue!$G$6:$G$55,MATCH(F490,Catalogue!$B$6:$B$55,0)),0),O490))</f>
        <v/>
      </c>
      <c r="Q490" s="25" t="str">
        <f>IF(F490="","",N(G490)*(IFERROR(INDEX(Catalogue!$E$6:$E$55,MATCH(F490,Catalogue!$B$6:$B$55,0)),0)+IFERROR(INDEX(Catalogue!$F$6:$F$55,MATCH(F490,Catalogue!$B$6:$B$55,0)),0)+IFERROR(INDEX(Catalogue!$H$6:$H$55,MATCH(F490,Catalogue!$B$6:$B$55,0)),0)))</f>
        <v/>
      </c>
      <c r="R490" s="25" t="str">
        <f t="shared" si="30"/>
        <v/>
      </c>
      <c r="S490" s="18"/>
      <c r="T490" s="24" t="str">
        <f t="shared" si="31"/>
        <v/>
      </c>
      <c r="U490" s="28" t="str">
        <f>IF(D490="","",IF(COUNTIF(D$6:D490,D490)=1,"Nouveau","Fidèle"))</f>
        <v/>
      </c>
    </row>
    <row r="491" spans="1:21" x14ac:dyDescent="0.25">
      <c r="A491" s="41" t="str">
        <f t="shared" si="28"/>
        <v/>
      </c>
      <c r="B491" s="38"/>
      <c r="C491" s="18"/>
      <c r="D491" s="18"/>
      <c r="E491" s="18"/>
      <c r="F491" s="18"/>
      <c r="G491" s="20"/>
      <c r="H491" s="19"/>
      <c r="I491" s="25" t="str">
        <f>IF(F491="","",IF(H491="",IFERROR(INDEX(Catalogue!$I$6:$I$55,MATCH(F491,Catalogue!$B$6:$B$55,0)),0),H491))</f>
        <v/>
      </c>
      <c r="J491" s="19"/>
      <c r="K491" s="25" t="str">
        <f t="shared" si="29"/>
        <v/>
      </c>
      <c r="L491" s="18"/>
      <c r="M491" s="18"/>
      <c r="N491" s="18"/>
      <c r="O491" s="19"/>
      <c r="P491" s="25" t="str">
        <f>IF(F491="","",IF(O491="",IFERROR(INDEX(Catalogue!$G$6:$G$55,MATCH(F491,Catalogue!$B$6:$B$55,0)),0),O491))</f>
        <v/>
      </c>
      <c r="Q491" s="25" t="str">
        <f>IF(F491="","",N(G491)*(IFERROR(INDEX(Catalogue!$E$6:$E$55,MATCH(F491,Catalogue!$B$6:$B$55,0)),0)+IFERROR(INDEX(Catalogue!$F$6:$F$55,MATCH(F491,Catalogue!$B$6:$B$55,0)),0)+IFERROR(INDEX(Catalogue!$H$6:$H$55,MATCH(F491,Catalogue!$B$6:$B$55,0)),0)))</f>
        <v/>
      </c>
      <c r="R491" s="25" t="str">
        <f t="shared" si="30"/>
        <v/>
      </c>
      <c r="S491" s="18"/>
      <c r="T491" s="24" t="str">
        <f t="shared" si="31"/>
        <v/>
      </c>
      <c r="U491" s="28" t="str">
        <f>IF(D491="","",IF(COUNTIF(D$6:D491,D491)=1,"Nouveau","Fidèle"))</f>
        <v/>
      </c>
    </row>
    <row r="492" spans="1:21" x14ac:dyDescent="0.25">
      <c r="A492" s="41" t="str">
        <f t="shared" si="28"/>
        <v/>
      </c>
      <c r="B492" s="38"/>
      <c r="C492" s="18"/>
      <c r="D492" s="18"/>
      <c r="E492" s="18"/>
      <c r="F492" s="18"/>
      <c r="G492" s="20"/>
      <c r="H492" s="19"/>
      <c r="I492" s="25" t="str">
        <f>IF(F492="","",IF(H492="",IFERROR(INDEX(Catalogue!$I$6:$I$55,MATCH(F492,Catalogue!$B$6:$B$55,0)),0),H492))</f>
        <v/>
      </c>
      <c r="J492" s="19"/>
      <c r="K492" s="25" t="str">
        <f t="shared" si="29"/>
        <v/>
      </c>
      <c r="L492" s="18"/>
      <c r="M492" s="18"/>
      <c r="N492" s="18"/>
      <c r="O492" s="19"/>
      <c r="P492" s="25" t="str">
        <f>IF(F492="","",IF(O492="",IFERROR(INDEX(Catalogue!$G$6:$G$55,MATCH(F492,Catalogue!$B$6:$B$55,0)),0),O492))</f>
        <v/>
      </c>
      <c r="Q492" s="25" t="str">
        <f>IF(F492="","",N(G492)*(IFERROR(INDEX(Catalogue!$E$6:$E$55,MATCH(F492,Catalogue!$B$6:$B$55,0)),0)+IFERROR(INDEX(Catalogue!$F$6:$F$55,MATCH(F492,Catalogue!$B$6:$B$55,0)),0)+IFERROR(INDEX(Catalogue!$H$6:$H$55,MATCH(F492,Catalogue!$B$6:$B$55,0)),0)))</f>
        <v/>
      </c>
      <c r="R492" s="25" t="str">
        <f t="shared" si="30"/>
        <v/>
      </c>
      <c r="S492" s="18"/>
      <c r="T492" s="24" t="str">
        <f t="shared" si="31"/>
        <v/>
      </c>
      <c r="U492" s="28" t="str">
        <f>IF(D492="","",IF(COUNTIF(D$6:D492,D492)=1,"Nouveau","Fidèle"))</f>
        <v/>
      </c>
    </row>
    <row r="493" spans="1:21" x14ac:dyDescent="0.25">
      <c r="A493" s="41" t="str">
        <f t="shared" si="28"/>
        <v/>
      </c>
      <c r="B493" s="38"/>
      <c r="C493" s="18"/>
      <c r="D493" s="18"/>
      <c r="E493" s="18"/>
      <c r="F493" s="18"/>
      <c r="G493" s="20"/>
      <c r="H493" s="19"/>
      <c r="I493" s="25" t="str">
        <f>IF(F493="","",IF(H493="",IFERROR(INDEX(Catalogue!$I$6:$I$55,MATCH(F493,Catalogue!$B$6:$B$55,0)),0),H493))</f>
        <v/>
      </c>
      <c r="J493" s="19"/>
      <c r="K493" s="25" t="str">
        <f t="shared" si="29"/>
        <v/>
      </c>
      <c r="L493" s="18"/>
      <c r="M493" s="18"/>
      <c r="N493" s="18"/>
      <c r="O493" s="19"/>
      <c r="P493" s="25" t="str">
        <f>IF(F493="","",IF(O493="",IFERROR(INDEX(Catalogue!$G$6:$G$55,MATCH(F493,Catalogue!$B$6:$B$55,0)),0),O493))</f>
        <v/>
      </c>
      <c r="Q493" s="25" t="str">
        <f>IF(F493="","",N(G493)*(IFERROR(INDEX(Catalogue!$E$6:$E$55,MATCH(F493,Catalogue!$B$6:$B$55,0)),0)+IFERROR(INDEX(Catalogue!$F$6:$F$55,MATCH(F493,Catalogue!$B$6:$B$55,0)),0)+IFERROR(INDEX(Catalogue!$H$6:$H$55,MATCH(F493,Catalogue!$B$6:$B$55,0)),0)))</f>
        <v/>
      </c>
      <c r="R493" s="25" t="str">
        <f t="shared" si="30"/>
        <v/>
      </c>
      <c r="S493" s="18"/>
      <c r="T493" s="24" t="str">
        <f t="shared" si="31"/>
        <v/>
      </c>
      <c r="U493" s="28" t="str">
        <f>IF(D493="","",IF(COUNTIF(D$6:D493,D493)=1,"Nouveau","Fidèle"))</f>
        <v/>
      </c>
    </row>
    <row r="494" spans="1:21" x14ac:dyDescent="0.25">
      <c r="A494" s="41" t="str">
        <f t="shared" si="28"/>
        <v/>
      </c>
      <c r="B494" s="38"/>
      <c r="C494" s="18"/>
      <c r="D494" s="18"/>
      <c r="E494" s="18"/>
      <c r="F494" s="18"/>
      <c r="G494" s="20"/>
      <c r="H494" s="19"/>
      <c r="I494" s="25" t="str">
        <f>IF(F494="","",IF(H494="",IFERROR(INDEX(Catalogue!$I$6:$I$55,MATCH(F494,Catalogue!$B$6:$B$55,0)),0),H494))</f>
        <v/>
      </c>
      <c r="J494" s="19"/>
      <c r="K494" s="25" t="str">
        <f t="shared" si="29"/>
        <v/>
      </c>
      <c r="L494" s="18"/>
      <c r="M494" s="18"/>
      <c r="N494" s="18"/>
      <c r="O494" s="19"/>
      <c r="P494" s="25" t="str">
        <f>IF(F494="","",IF(O494="",IFERROR(INDEX(Catalogue!$G$6:$G$55,MATCH(F494,Catalogue!$B$6:$B$55,0)),0),O494))</f>
        <v/>
      </c>
      <c r="Q494" s="25" t="str">
        <f>IF(F494="","",N(G494)*(IFERROR(INDEX(Catalogue!$E$6:$E$55,MATCH(F494,Catalogue!$B$6:$B$55,0)),0)+IFERROR(INDEX(Catalogue!$F$6:$F$55,MATCH(F494,Catalogue!$B$6:$B$55,0)),0)+IFERROR(INDEX(Catalogue!$H$6:$H$55,MATCH(F494,Catalogue!$B$6:$B$55,0)),0)))</f>
        <v/>
      </c>
      <c r="R494" s="25" t="str">
        <f t="shared" si="30"/>
        <v/>
      </c>
      <c r="S494" s="18"/>
      <c r="T494" s="24" t="str">
        <f t="shared" si="31"/>
        <v/>
      </c>
      <c r="U494" s="28" t="str">
        <f>IF(D494="","",IF(COUNTIF(D$6:D494,D494)=1,"Nouveau","Fidèle"))</f>
        <v/>
      </c>
    </row>
    <row r="495" spans="1:21" x14ac:dyDescent="0.25">
      <c r="A495" s="41" t="str">
        <f t="shared" si="28"/>
        <v/>
      </c>
      <c r="B495" s="38"/>
      <c r="C495" s="18"/>
      <c r="D495" s="18"/>
      <c r="E495" s="18"/>
      <c r="F495" s="18"/>
      <c r="G495" s="20"/>
      <c r="H495" s="19"/>
      <c r="I495" s="25" t="str">
        <f>IF(F495="","",IF(H495="",IFERROR(INDEX(Catalogue!$I$6:$I$55,MATCH(F495,Catalogue!$B$6:$B$55,0)),0),H495))</f>
        <v/>
      </c>
      <c r="J495" s="19"/>
      <c r="K495" s="25" t="str">
        <f t="shared" si="29"/>
        <v/>
      </c>
      <c r="L495" s="18"/>
      <c r="M495" s="18"/>
      <c r="N495" s="18"/>
      <c r="O495" s="19"/>
      <c r="P495" s="25" t="str">
        <f>IF(F495="","",IF(O495="",IFERROR(INDEX(Catalogue!$G$6:$G$55,MATCH(F495,Catalogue!$B$6:$B$55,0)),0),O495))</f>
        <v/>
      </c>
      <c r="Q495" s="25" t="str">
        <f>IF(F495="","",N(G495)*(IFERROR(INDEX(Catalogue!$E$6:$E$55,MATCH(F495,Catalogue!$B$6:$B$55,0)),0)+IFERROR(INDEX(Catalogue!$F$6:$F$55,MATCH(F495,Catalogue!$B$6:$B$55,0)),0)+IFERROR(INDEX(Catalogue!$H$6:$H$55,MATCH(F495,Catalogue!$B$6:$B$55,0)),0)))</f>
        <v/>
      </c>
      <c r="R495" s="25" t="str">
        <f t="shared" si="30"/>
        <v/>
      </c>
      <c r="S495" s="18"/>
      <c r="T495" s="24" t="str">
        <f t="shared" si="31"/>
        <v/>
      </c>
      <c r="U495" s="28" t="str">
        <f>IF(D495="","",IF(COUNTIF(D$6:D495,D495)=1,"Nouveau","Fidèle"))</f>
        <v/>
      </c>
    </row>
    <row r="496" spans="1:21" x14ac:dyDescent="0.25">
      <c r="A496" s="41" t="str">
        <f t="shared" si="28"/>
        <v/>
      </c>
      <c r="B496" s="38"/>
      <c r="C496" s="18"/>
      <c r="D496" s="18"/>
      <c r="E496" s="18"/>
      <c r="F496" s="18"/>
      <c r="G496" s="20"/>
      <c r="H496" s="19"/>
      <c r="I496" s="25" t="str">
        <f>IF(F496="","",IF(H496="",IFERROR(INDEX(Catalogue!$I$6:$I$55,MATCH(F496,Catalogue!$B$6:$B$55,0)),0),H496))</f>
        <v/>
      </c>
      <c r="J496" s="19"/>
      <c r="K496" s="25" t="str">
        <f t="shared" si="29"/>
        <v/>
      </c>
      <c r="L496" s="18"/>
      <c r="M496" s="18"/>
      <c r="N496" s="18"/>
      <c r="O496" s="19"/>
      <c r="P496" s="25" t="str">
        <f>IF(F496="","",IF(O496="",IFERROR(INDEX(Catalogue!$G$6:$G$55,MATCH(F496,Catalogue!$B$6:$B$55,0)),0),O496))</f>
        <v/>
      </c>
      <c r="Q496" s="25" t="str">
        <f>IF(F496="","",N(G496)*(IFERROR(INDEX(Catalogue!$E$6:$E$55,MATCH(F496,Catalogue!$B$6:$B$55,0)),0)+IFERROR(INDEX(Catalogue!$F$6:$F$55,MATCH(F496,Catalogue!$B$6:$B$55,0)),0)+IFERROR(INDEX(Catalogue!$H$6:$H$55,MATCH(F496,Catalogue!$B$6:$B$55,0)),0)))</f>
        <v/>
      </c>
      <c r="R496" s="25" t="str">
        <f t="shared" si="30"/>
        <v/>
      </c>
      <c r="S496" s="18"/>
      <c r="T496" s="24" t="str">
        <f t="shared" si="31"/>
        <v/>
      </c>
      <c r="U496" s="28" t="str">
        <f>IF(D496="","",IF(COUNTIF(D$6:D496,D496)=1,"Nouveau","Fidèle"))</f>
        <v/>
      </c>
    </row>
    <row r="497" spans="1:21" x14ac:dyDescent="0.25">
      <c r="A497" s="41" t="str">
        <f t="shared" si="28"/>
        <v/>
      </c>
      <c r="B497" s="38"/>
      <c r="C497" s="18"/>
      <c r="D497" s="18"/>
      <c r="E497" s="18"/>
      <c r="F497" s="18"/>
      <c r="G497" s="20"/>
      <c r="H497" s="19"/>
      <c r="I497" s="25" t="str">
        <f>IF(F497="","",IF(H497="",IFERROR(INDEX(Catalogue!$I$6:$I$55,MATCH(F497,Catalogue!$B$6:$B$55,0)),0),H497))</f>
        <v/>
      </c>
      <c r="J497" s="19"/>
      <c r="K497" s="25" t="str">
        <f t="shared" si="29"/>
        <v/>
      </c>
      <c r="L497" s="18"/>
      <c r="M497" s="18"/>
      <c r="N497" s="18"/>
      <c r="O497" s="19"/>
      <c r="P497" s="25" t="str">
        <f>IF(F497="","",IF(O497="",IFERROR(INDEX(Catalogue!$G$6:$G$55,MATCH(F497,Catalogue!$B$6:$B$55,0)),0),O497))</f>
        <v/>
      </c>
      <c r="Q497" s="25" t="str">
        <f>IF(F497="","",N(G497)*(IFERROR(INDEX(Catalogue!$E$6:$E$55,MATCH(F497,Catalogue!$B$6:$B$55,0)),0)+IFERROR(INDEX(Catalogue!$F$6:$F$55,MATCH(F497,Catalogue!$B$6:$B$55,0)),0)+IFERROR(INDEX(Catalogue!$H$6:$H$55,MATCH(F497,Catalogue!$B$6:$B$55,0)),0)))</f>
        <v/>
      </c>
      <c r="R497" s="25" t="str">
        <f t="shared" si="30"/>
        <v/>
      </c>
      <c r="S497" s="18"/>
      <c r="T497" s="24" t="str">
        <f t="shared" si="31"/>
        <v/>
      </c>
      <c r="U497" s="28" t="str">
        <f>IF(D497="","",IF(COUNTIF(D$6:D497,D497)=1,"Nouveau","Fidèle"))</f>
        <v/>
      </c>
    </row>
    <row r="498" spans="1:21" x14ac:dyDescent="0.25">
      <c r="A498" s="41" t="str">
        <f t="shared" si="28"/>
        <v/>
      </c>
      <c r="B498" s="38"/>
      <c r="C498" s="18"/>
      <c r="D498" s="18"/>
      <c r="E498" s="18"/>
      <c r="F498" s="18"/>
      <c r="G498" s="20"/>
      <c r="H498" s="19"/>
      <c r="I498" s="25" t="str">
        <f>IF(F498="","",IF(H498="",IFERROR(INDEX(Catalogue!$I$6:$I$55,MATCH(F498,Catalogue!$B$6:$B$55,0)),0),H498))</f>
        <v/>
      </c>
      <c r="J498" s="19"/>
      <c r="K498" s="25" t="str">
        <f t="shared" si="29"/>
        <v/>
      </c>
      <c r="L498" s="18"/>
      <c r="M498" s="18"/>
      <c r="N498" s="18"/>
      <c r="O498" s="19"/>
      <c r="P498" s="25" t="str">
        <f>IF(F498="","",IF(O498="",IFERROR(INDEX(Catalogue!$G$6:$G$55,MATCH(F498,Catalogue!$B$6:$B$55,0)),0),O498))</f>
        <v/>
      </c>
      <c r="Q498" s="25" t="str">
        <f>IF(F498="","",N(G498)*(IFERROR(INDEX(Catalogue!$E$6:$E$55,MATCH(F498,Catalogue!$B$6:$B$55,0)),0)+IFERROR(INDEX(Catalogue!$F$6:$F$55,MATCH(F498,Catalogue!$B$6:$B$55,0)),0)+IFERROR(INDEX(Catalogue!$H$6:$H$55,MATCH(F498,Catalogue!$B$6:$B$55,0)),0)))</f>
        <v/>
      </c>
      <c r="R498" s="25" t="str">
        <f t="shared" si="30"/>
        <v/>
      </c>
      <c r="S498" s="18"/>
      <c r="T498" s="24" t="str">
        <f t="shared" si="31"/>
        <v/>
      </c>
      <c r="U498" s="28" t="str">
        <f>IF(D498="","",IF(COUNTIF(D$6:D498,D498)=1,"Nouveau","Fidèle"))</f>
        <v/>
      </c>
    </row>
    <row r="499" spans="1:21" x14ac:dyDescent="0.25">
      <c r="A499" s="41" t="str">
        <f t="shared" si="28"/>
        <v/>
      </c>
      <c r="B499" s="38"/>
      <c r="C499" s="18"/>
      <c r="D499" s="18"/>
      <c r="E499" s="18"/>
      <c r="F499" s="18"/>
      <c r="G499" s="20"/>
      <c r="H499" s="19"/>
      <c r="I499" s="25" t="str">
        <f>IF(F499="","",IF(H499="",IFERROR(INDEX(Catalogue!$I$6:$I$55,MATCH(F499,Catalogue!$B$6:$B$55,0)),0),H499))</f>
        <v/>
      </c>
      <c r="J499" s="19"/>
      <c r="K499" s="25" t="str">
        <f t="shared" si="29"/>
        <v/>
      </c>
      <c r="L499" s="18"/>
      <c r="M499" s="18"/>
      <c r="N499" s="18"/>
      <c r="O499" s="19"/>
      <c r="P499" s="25" t="str">
        <f>IF(F499="","",IF(O499="",IFERROR(INDEX(Catalogue!$G$6:$G$55,MATCH(F499,Catalogue!$B$6:$B$55,0)),0),O499))</f>
        <v/>
      </c>
      <c r="Q499" s="25" t="str">
        <f>IF(F499="","",N(G499)*(IFERROR(INDEX(Catalogue!$E$6:$E$55,MATCH(F499,Catalogue!$B$6:$B$55,0)),0)+IFERROR(INDEX(Catalogue!$F$6:$F$55,MATCH(F499,Catalogue!$B$6:$B$55,0)),0)+IFERROR(INDEX(Catalogue!$H$6:$H$55,MATCH(F499,Catalogue!$B$6:$B$55,0)),0)))</f>
        <v/>
      </c>
      <c r="R499" s="25" t="str">
        <f t="shared" si="30"/>
        <v/>
      </c>
      <c r="S499" s="18"/>
      <c r="T499" s="24" t="str">
        <f t="shared" si="31"/>
        <v/>
      </c>
      <c r="U499" s="28" t="str">
        <f>IF(D499="","",IF(COUNTIF(D$6:D499,D499)=1,"Nouveau","Fidèle"))</f>
        <v/>
      </c>
    </row>
    <row r="500" spans="1:21" x14ac:dyDescent="0.25">
      <c r="A500" s="41" t="str">
        <f t="shared" si="28"/>
        <v/>
      </c>
      <c r="B500" s="38"/>
      <c r="C500" s="18"/>
      <c r="D500" s="18"/>
      <c r="E500" s="18"/>
      <c r="F500" s="18"/>
      <c r="G500" s="20"/>
      <c r="H500" s="19"/>
      <c r="I500" s="25" t="str">
        <f>IF(F500="","",IF(H500="",IFERROR(INDEX(Catalogue!$I$6:$I$55,MATCH(F500,Catalogue!$B$6:$B$55,0)),0),H500))</f>
        <v/>
      </c>
      <c r="J500" s="19"/>
      <c r="K500" s="25" t="str">
        <f t="shared" si="29"/>
        <v/>
      </c>
      <c r="L500" s="18"/>
      <c r="M500" s="18"/>
      <c r="N500" s="18"/>
      <c r="O500" s="19"/>
      <c r="P500" s="25" t="str">
        <f>IF(F500="","",IF(O500="",IFERROR(INDEX(Catalogue!$G$6:$G$55,MATCH(F500,Catalogue!$B$6:$B$55,0)),0),O500))</f>
        <v/>
      </c>
      <c r="Q500" s="25" t="str">
        <f>IF(F500="","",N(G500)*(IFERROR(INDEX(Catalogue!$E$6:$E$55,MATCH(F500,Catalogue!$B$6:$B$55,0)),0)+IFERROR(INDEX(Catalogue!$F$6:$F$55,MATCH(F500,Catalogue!$B$6:$B$55,0)),0)+IFERROR(INDEX(Catalogue!$H$6:$H$55,MATCH(F500,Catalogue!$B$6:$B$55,0)),0)))</f>
        <v/>
      </c>
      <c r="R500" s="25" t="str">
        <f t="shared" si="30"/>
        <v/>
      </c>
      <c r="S500" s="18"/>
      <c r="T500" s="24" t="str">
        <f t="shared" si="31"/>
        <v/>
      </c>
      <c r="U500" s="28" t="str">
        <f>IF(D500="","",IF(COUNTIF(D$6:D500,D500)=1,"Nouveau","Fidèle"))</f>
        <v/>
      </c>
    </row>
    <row r="501" spans="1:21" x14ac:dyDescent="0.25">
      <c r="A501" s="41" t="str">
        <f t="shared" si="28"/>
        <v/>
      </c>
      <c r="B501" s="38"/>
      <c r="C501" s="18"/>
      <c r="D501" s="18"/>
      <c r="E501" s="18"/>
      <c r="F501" s="18"/>
      <c r="G501" s="20"/>
      <c r="H501" s="19"/>
      <c r="I501" s="25" t="str">
        <f>IF(F501="","",IF(H501="",IFERROR(INDEX(Catalogue!$I$6:$I$55,MATCH(F501,Catalogue!$B$6:$B$55,0)),0),H501))</f>
        <v/>
      </c>
      <c r="J501" s="19"/>
      <c r="K501" s="25" t="str">
        <f t="shared" si="29"/>
        <v/>
      </c>
      <c r="L501" s="18"/>
      <c r="M501" s="18"/>
      <c r="N501" s="18"/>
      <c r="O501" s="19"/>
      <c r="P501" s="25" t="str">
        <f>IF(F501="","",IF(O501="",IFERROR(INDEX(Catalogue!$G$6:$G$55,MATCH(F501,Catalogue!$B$6:$B$55,0)),0),O501))</f>
        <v/>
      </c>
      <c r="Q501" s="25" t="str">
        <f>IF(F501="","",N(G501)*(IFERROR(INDEX(Catalogue!$E$6:$E$55,MATCH(F501,Catalogue!$B$6:$B$55,0)),0)+IFERROR(INDEX(Catalogue!$F$6:$F$55,MATCH(F501,Catalogue!$B$6:$B$55,0)),0)+IFERROR(INDEX(Catalogue!$H$6:$H$55,MATCH(F501,Catalogue!$B$6:$B$55,0)),0)))</f>
        <v/>
      </c>
      <c r="R501" s="25" t="str">
        <f t="shared" si="30"/>
        <v/>
      </c>
      <c r="S501" s="18"/>
      <c r="T501" s="24" t="str">
        <f t="shared" si="31"/>
        <v/>
      </c>
      <c r="U501" s="28" t="str">
        <f>IF(D501="","",IF(COUNTIF(D$6:D501,D501)=1,"Nouveau","Fidèle"))</f>
        <v/>
      </c>
    </row>
    <row r="502" spans="1:21" x14ac:dyDescent="0.25">
      <c r="A502" s="41" t="str">
        <f t="shared" si="28"/>
        <v/>
      </c>
      <c r="B502" s="38"/>
      <c r="C502" s="18"/>
      <c r="D502" s="18"/>
      <c r="E502" s="18"/>
      <c r="F502" s="18"/>
      <c r="G502" s="20"/>
      <c r="H502" s="19"/>
      <c r="I502" s="25" t="str">
        <f>IF(F502="","",IF(H502="",IFERROR(INDEX(Catalogue!$I$6:$I$55,MATCH(F502,Catalogue!$B$6:$B$55,0)),0),H502))</f>
        <v/>
      </c>
      <c r="J502" s="19"/>
      <c r="K502" s="25" t="str">
        <f t="shared" si="29"/>
        <v/>
      </c>
      <c r="L502" s="18"/>
      <c r="M502" s="18"/>
      <c r="N502" s="18"/>
      <c r="O502" s="19"/>
      <c r="P502" s="25" t="str">
        <f>IF(F502="","",IF(O502="",IFERROR(INDEX(Catalogue!$G$6:$G$55,MATCH(F502,Catalogue!$B$6:$B$55,0)),0),O502))</f>
        <v/>
      </c>
      <c r="Q502" s="25" t="str">
        <f>IF(F502="","",N(G502)*(IFERROR(INDEX(Catalogue!$E$6:$E$55,MATCH(F502,Catalogue!$B$6:$B$55,0)),0)+IFERROR(INDEX(Catalogue!$F$6:$F$55,MATCH(F502,Catalogue!$B$6:$B$55,0)),0)+IFERROR(INDEX(Catalogue!$H$6:$H$55,MATCH(F502,Catalogue!$B$6:$B$55,0)),0)))</f>
        <v/>
      </c>
      <c r="R502" s="25" t="str">
        <f t="shared" si="30"/>
        <v/>
      </c>
      <c r="S502" s="18"/>
      <c r="T502" s="24" t="str">
        <f t="shared" si="31"/>
        <v/>
      </c>
      <c r="U502" s="28" t="str">
        <f>IF(D502="","",IF(COUNTIF(D$6:D502,D502)=1,"Nouveau","Fidèle"))</f>
        <v/>
      </c>
    </row>
    <row r="503" spans="1:21" x14ac:dyDescent="0.25">
      <c r="A503" s="41" t="str">
        <f t="shared" si="28"/>
        <v/>
      </c>
      <c r="B503" s="38"/>
      <c r="C503" s="18"/>
      <c r="D503" s="18"/>
      <c r="E503" s="18"/>
      <c r="F503" s="18"/>
      <c r="G503" s="20"/>
      <c r="H503" s="19"/>
      <c r="I503" s="25" t="str">
        <f>IF(F503="","",IF(H503="",IFERROR(INDEX(Catalogue!$I$6:$I$55,MATCH(F503,Catalogue!$B$6:$B$55,0)),0),H503))</f>
        <v/>
      </c>
      <c r="J503" s="19"/>
      <c r="K503" s="25" t="str">
        <f t="shared" si="29"/>
        <v/>
      </c>
      <c r="L503" s="18"/>
      <c r="M503" s="18"/>
      <c r="N503" s="18"/>
      <c r="O503" s="19"/>
      <c r="P503" s="25" t="str">
        <f>IF(F503="","",IF(O503="",IFERROR(INDEX(Catalogue!$G$6:$G$55,MATCH(F503,Catalogue!$B$6:$B$55,0)),0),O503))</f>
        <v/>
      </c>
      <c r="Q503" s="25" t="str">
        <f>IF(F503="","",N(G503)*(IFERROR(INDEX(Catalogue!$E$6:$E$55,MATCH(F503,Catalogue!$B$6:$B$55,0)),0)+IFERROR(INDEX(Catalogue!$F$6:$F$55,MATCH(F503,Catalogue!$B$6:$B$55,0)),0)+IFERROR(INDEX(Catalogue!$H$6:$H$55,MATCH(F503,Catalogue!$B$6:$B$55,0)),0)))</f>
        <v/>
      </c>
      <c r="R503" s="25" t="str">
        <f t="shared" si="30"/>
        <v/>
      </c>
      <c r="S503" s="18"/>
      <c r="T503" s="24" t="str">
        <f t="shared" si="31"/>
        <v/>
      </c>
      <c r="U503" s="28" t="str">
        <f>IF(D503="","",IF(COUNTIF(D$6:D503,D503)=1,"Nouveau","Fidèle"))</f>
        <v/>
      </c>
    </row>
    <row r="504" spans="1:21" x14ac:dyDescent="0.25">
      <c r="A504" s="41" t="str">
        <f t="shared" si="28"/>
        <v/>
      </c>
      <c r="B504" s="38"/>
      <c r="C504" s="18"/>
      <c r="D504" s="18"/>
      <c r="E504" s="18"/>
      <c r="F504" s="18"/>
      <c r="G504" s="20"/>
      <c r="H504" s="19"/>
      <c r="I504" s="25" t="str">
        <f>IF(F504="","",IF(H504="",IFERROR(INDEX(Catalogue!$I$6:$I$55,MATCH(F504,Catalogue!$B$6:$B$55,0)),0),H504))</f>
        <v/>
      </c>
      <c r="J504" s="19"/>
      <c r="K504" s="25" t="str">
        <f t="shared" si="29"/>
        <v/>
      </c>
      <c r="L504" s="18"/>
      <c r="M504" s="18"/>
      <c r="N504" s="18"/>
      <c r="O504" s="19"/>
      <c r="P504" s="25" t="str">
        <f>IF(F504="","",IF(O504="",IFERROR(INDEX(Catalogue!$G$6:$G$55,MATCH(F504,Catalogue!$B$6:$B$55,0)),0),O504))</f>
        <v/>
      </c>
      <c r="Q504" s="25" t="str">
        <f>IF(F504="","",N(G504)*(IFERROR(INDEX(Catalogue!$E$6:$E$55,MATCH(F504,Catalogue!$B$6:$B$55,0)),0)+IFERROR(INDEX(Catalogue!$F$6:$F$55,MATCH(F504,Catalogue!$B$6:$B$55,0)),0)+IFERROR(INDEX(Catalogue!$H$6:$H$55,MATCH(F504,Catalogue!$B$6:$B$55,0)),0)))</f>
        <v/>
      </c>
      <c r="R504" s="25" t="str">
        <f t="shared" si="30"/>
        <v/>
      </c>
      <c r="S504" s="18"/>
      <c r="T504" s="24" t="str">
        <f t="shared" si="31"/>
        <v/>
      </c>
      <c r="U504" s="28" t="str">
        <f>IF(D504="","",IF(COUNTIF(D$6:D504,D504)=1,"Nouveau","Fidèle"))</f>
        <v/>
      </c>
    </row>
    <row r="505" spans="1:21" x14ac:dyDescent="0.25">
      <c r="A505" s="41" t="str">
        <f t="shared" si="28"/>
        <v/>
      </c>
      <c r="B505" s="38"/>
      <c r="C505" s="18"/>
      <c r="D505" s="18"/>
      <c r="E505" s="18"/>
      <c r="F505" s="18"/>
      <c r="G505" s="20"/>
      <c r="H505" s="19"/>
      <c r="I505" s="25" t="str">
        <f>IF(F505="","",IF(H505="",IFERROR(INDEX(Catalogue!$I$6:$I$55,MATCH(F505,Catalogue!$B$6:$B$55,0)),0),H505))</f>
        <v/>
      </c>
      <c r="J505" s="19"/>
      <c r="K505" s="25" t="str">
        <f t="shared" si="29"/>
        <v/>
      </c>
      <c r="L505" s="18"/>
      <c r="M505" s="18"/>
      <c r="N505" s="18"/>
      <c r="O505" s="19"/>
      <c r="P505" s="25" t="str">
        <f>IF(F505="","",IF(O505="",IFERROR(INDEX(Catalogue!$G$6:$G$55,MATCH(F505,Catalogue!$B$6:$B$55,0)),0),O505))</f>
        <v/>
      </c>
      <c r="Q505" s="25" t="str">
        <f>IF(F505="","",N(G505)*(IFERROR(INDEX(Catalogue!$E$6:$E$55,MATCH(F505,Catalogue!$B$6:$B$55,0)),0)+IFERROR(INDEX(Catalogue!$F$6:$F$55,MATCH(F505,Catalogue!$B$6:$B$55,0)),0)+IFERROR(INDEX(Catalogue!$H$6:$H$55,MATCH(F505,Catalogue!$B$6:$B$55,0)),0)))</f>
        <v/>
      </c>
      <c r="R505" s="25" t="str">
        <f t="shared" si="30"/>
        <v/>
      </c>
      <c r="S505" s="18"/>
      <c r="T505" s="24" t="str">
        <f t="shared" si="31"/>
        <v/>
      </c>
      <c r="U505" s="28" t="str">
        <f>IF(D505="","",IF(COUNTIF(D$6:D505,D505)=1,"Nouveau","Fidèle"))</f>
        <v/>
      </c>
    </row>
  </sheetData>
  <conditionalFormatting sqref="M6:M505">
    <cfRule type="cellIs" dxfId="26" priority="2" operator="equal">
      <formula>"Livrée et payée"</formula>
    </cfRule>
    <cfRule type="cellIs" dxfId="25" priority="3" operator="equal">
      <formula>"En attente"</formula>
    </cfRule>
    <cfRule type="cellIs" dxfId="24" priority="4" operator="equal">
      <formula>"Annulée"</formula>
    </cfRule>
    <cfRule type="cellIs" dxfId="23" priority="5" operator="equal">
      <formula>"Retournée"</formula>
    </cfRule>
  </conditionalFormatting>
  <dataValidations count="1">
    <dataValidation type="list" allowBlank="1" sqref="S6:S505" xr:uid="{00000000-0002-0000-0700-000005000000}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xr:uid="{00000000-0002-0000-0700-000000000000}">
          <x14:formula1>
            <xm:f>Paramètres!$J$6:$J$20</xm:f>
          </x14:formula1>
          <x14:formula2>
            <xm:f>0</xm:f>
          </x14:formula2>
          <xm:sqref>E6:E505</xm:sqref>
        </x14:dataValidation>
        <x14:dataValidation type="list" allowBlank="1" xr:uid="{00000000-0002-0000-0700-000001000000}">
          <x14:formula1>
            <xm:f>Catalogue!$B$6:$B$55</xm:f>
          </x14:formula1>
          <x14:formula2>
            <xm:f>0</xm:f>
          </x14:formula2>
          <xm:sqref>F6:F505</xm:sqref>
        </x14:dataValidation>
        <x14:dataValidation type="list" allowBlank="1" xr:uid="{00000000-0002-0000-0700-000002000000}">
          <x14:formula1>
            <xm:f>Paramètres!$D$6:$D$20</xm:f>
          </x14:formula1>
          <x14:formula2>
            <xm:f>0</xm:f>
          </x14:formula2>
          <xm:sqref>L6:L505</xm:sqref>
        </x14:dataValidation>
        <x14:dataValidation type="list" allowBlank="1" xr:uid="{00000000-0002-0000-0700-000003000000}">
          <x14:formula1>
            <xm:f>Paramètres!$F$6:$F$20</xm:f>
          </x14:formula1>
          <x14:formula2>
            <xm:f>0</xm:f>
          </x14:formula2>
          <xm:sqref>M6:M505</xm:sqref>
        </x14:dataValidation>
        <x14:dataValidation type="list" allowBlank="1" xr:uid="{00000000-0002-0000-0700-000004000000}">
          <x14:formula1>
            <xm:f>Paramètres!$H$6:$H$20</xm:f>
          </x14:formula1>
          <x14:formula2>
            <xm:f>0</xm:f>
          </x14:formula2>
          <xm:sqref>N6:N505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2F6DB5"/>
  </sheetPr>
  <dimension ref="A1:K305"/>
  <sheetViews>
    <sheetView showGridLines="0" zoomScaleNormal="100" workbookViewId="0">
      <pane xSplit="2" ySplit="5" topLeftCell="C6" activePane="bottomRight" state="frozen"/>
      <selection pane="topRight" activeCell="C1" sqref="C1"/>
      <selection pane="bottomLeft" activeCell="A6" sqref="A6"/>
      <selection pane="bottomRight"/>
    </sheetView>
  </sheetViews>
  <sheetFormatPr baseColWidth="10" defaultColWidth="8.7109375" defaultRowHeight="15" x14ac:dyDescent="0.25"/>
  <cols>
    <col min="1" max="1" width="15" customWidth="1"/>
    <col min="2" max="2" width="20" customWidth="1"/>
    <col min="3" max="3" width="18" customWidth="1"/>
    <col min="4" max="4" width="10" customWidth="1"/>
    <col min="5" max="6" width="13" customWidth="1"/>
    <col min="7" max="8" width="10" customWidth="1"/>
    <col min="9" max="9" width="13" customWidth="1"/>
    <col min="10" max="10" width="22" customWidth="1"/>
    <col min="11" max="11" width="30" customWidth="1"/>
  </cols>
  <sheetData>
    <row r="1" spans="1:11" ht="20.25" x14ac:dyDescent="0.3">
      <c r="A1" s="13" t="s">
        <v>237</v>
      </c>
    </row>
    <row r="2" spans="1:11" x14ac:dyDescent="0.25">
      <c r="A2" s="3" t="s">
        <v>238</v>
      </c>
    </row>
    <row r="3" spans="1:11" x14ac:dyDescent="0.25">
      <c r="A3" s="4" t="s">
        <v>2</v>
      </c>
    </row>
    <row r="5" spans="1:11" ht="39.75" customHeight="1" x14ac:dyDescent="0.25">
      <c r="A5" s="14" t="s">
        <v>202</v>
      </c>
      <c r="B5" s="14" t="s">
        <v>239</v>
      </c>
      <c r="C5" s="14" t="s">
        <v>203</v>
      </c>
      <c r="D5" s="14" t="s">
        <v>240</v>
      </c>
      <c r="E5" s="14" t="s">
        <v>241</v>
      </c>
      <c r="F5" s="14" t="s">
        <v>242</v>
      </c>
      <c r="G5" s="14" t="s">
        <v>243</v>
      </c>
      <c r="H5" s="14" t="s">
        <v>244</v>
      </c>
      <c r="I5" s="14" t="s">
        <v>245</v>
      </c>
      <c r="J5" s="14" t="s">
        <v>246</v>
      </c>
      <c r="K5" s="14" t="s">
        <v>247</v>
      </c>
    </row>
    <row r="6" spans="1:11" x14ac:dyDescent="0.25">
      <c r="A6" s="18" t="s">
        <v>220</v>
      </c>
      <c r="B6" s="18" t="s">
        <v>219</v>
      </c>
      <c r="C6" s="18" t="s">
        <v>58</v>
      </c>
      <c r="D6" s="29">
        <f>IF(A6="","",COUNTIFS(Ventes!$D$6:$D$505,A6,Ventes!$M$6:$M$505,"Livrée et payée"))</f>
        <v>3</v>
      </c>
      <c r="E6" s="25">
        <f>IF(A6="","",SUMIFS(Ventes!$K$6:$K$505,Ventes!$D$6:$D$505,A6,Ventes!$M$6:$M$505,"Livrée et payée"))</f>
        <v>43500</v>
      </c>
      <c r="F6" s="42">
        <f>IF(A6="","",IF(D6=0,"",_xlfn.MAXIFS(Ventes!$B$6:$B$505,Ventes!$D$6:$D$505,A6,Ventes!$M$6:$M$505,"Livrée et payée")))</f>
        <v>46305</v>
      </c>
      <c r="G6" s="29">
        <f t="shared" ref="G6:G69" ca="1" si="0">IF(OR(A6="",F6=""),"",TODAY()-F6)</f>
        <v>4</v>
      </c>
      <c r="H6" s="29">
        <f>IF(A6="","",COUNTIFS(Ventes!$D$6:$D$505,A6,Ventes!$M$6:$M$505,"Annulée"))</f>
        <v>0</v>
      </c>
      <c r="I6" s="28" t="str">
        <f t="shared" ref="I6:I69" ca="1" si="1">IF(A6="","",IF(D6=0,"Prospect",IF(G6&gt;60,"À relancer",IF(D6&gt;=3,"VIP",IF(D6=2,"Fidèle","Nouveau")))))</f>
        <v>VIP</v>
      </c>
      <c r="J6" s="28" t="str">
        <f t="shared" ref="J6:J69" si="2">IF(A6="","",IF(H6&gt;=1,"Oui (a déjà annulé)","Non"))</f>
        <v>Non</v>
      </c>
      <c r="K6" s="18"/>
    </row>
    <row r="7" spans="1:11" x14ac:dyDescent="0.25">
      <c r="A7" s="18" t="s">
        <v>223</v>
      </c>
      <c r="B7" s="18" t="s">
        <v>222</v>
      </c>
      <c r="C7" s="18" t="s">
        <v>72</v>
      </c>
      <c r="D7" s="29">
        <f>IF(A7="","",COUNTIFS(Ventes!$D$6:$D$505,A7,Ventes!$M$6:$M$505,"Livrée et payée"))</f>
        <v>2</v>
      </c>
      <c r="E7" s="25">
        <f>IF(A7="","",SUMIFS(Ventes!$K$6:$K$505,Ventes!$D$6:$D$505,A7,Ventes!$M$6:$M$505,"Livrée et payée"))</f>
        <v>27000</v>
      </c>
      <c r="F7" s="42">
        <f>IF(A7="","",IF(D7=0,"",_xlfn.MAXIFS(Ventes!$B$6:$B$505,Ventes!$D$6:$D$505,A7,Ventes!$M$6:$M$505,"Livrée et payée")))</f>
        <v>46297</v>
      </c>
      <c r="G7" s="29">
        <f t="shared" ca="1" si="0"/>
        <v>12</v>
      </c>
      <c r="H7" s="29">
        <f>IF(A7="","",COUNTIFS(Ventes!$D$6:$D$505,A7,Ventes!$M$6:$M$505,"Annulée"))</f>
        <v>0</v>
      </c>
      <c r="I7" s="28" t="str">
        <f t="shared" ca="1" si="1"/>
        <v>Fidèle</v>
      </c>
      <c r="J7" s="28" t="str">
        <f t="shared" si="2"/>
        <v>Non</v>
      </c>
      <c r="K7" s="18"/>
    </row>
    <row r="8" spans="1:11" x14ac:dyDescent="0.25">
      <c r="A8" s="18" t="s">
        <v>225</v>
      </c>
      <c r="B8" s="18" t="s">
        <v>224</v>
      </c>
      <c r="C8" s="18" t="s">
        <v>78</v>
      </c>
      <c r="D8" s="29">
        <f>IF(A8="","",COUNTIFS(Ventes!$D$6:$D$505,A8,Ventes!$M$6:$M$505,"Livrée et payée"))</f>
        <v>2</v>
      </c>
      <c r="E8" s="25">
        <f>IF(A8="","",SUMIFS(Ventes!$K$6:$K$505,Ventes!$D$6:$D$505,A8,Ventes!$M$6:$M$505,"Livrée et payée"))</f>
        <v>36000</v>
      </c>
      <c r="F8" s="42">
        <f>IF(A8="","",IF(D8=0,"",_xlfn.MAXIFS(Ventes!$B$6:$B$505,Ventes!$D$6:$D$505,A8,Ventes!$M$6:$M$505,"Livrée et payée")))</f>
        <v>46302</v>
      </c>
      <c r="G8" s="29">
        <f t="shared" ca="1" si="0"/>
        <v>7</v>
      </c>
      <c r="H8" s="29">
        <f>IF(A8="","",COUNTIFS(Ventes!$D$6:$D$505,A8,Ventes!$M$6:$M$505,"Annulée"))</f>
        <v>0</v>
      </c>
      <c r="I8" s="28" t="str">
        <f t="shared" ca="1" si="1"/>
        <v>Fidèle</v>
      </c>
      <c r="J8" s="28" t="str">
        <f t="shared" si="2"/>
        <v>Non</v>
      </c>
      <c r="K8" s="18"/>
    </row>
    <row r="9" spans="1:11" x14ac:dyDescent="0.25">
      <c r="A9" s="18" t="s">
        <v>228</v>
      </c>
      <c r="B9" s="18" t="s">
        <v>227</v>
      </c>
      <c r="C9" s="18" t="s">
        <v>65</v>
      </c>
      <c r="D9" s="29">
        <f>IF(A9="","",COUNTIFS(Ventes!$D$6:$D$505,A9,Ventes!$M$6:$M$505,"Livrée et payée"))</f>
        <v>3</v>
      </c>
      <c r="E9" s="25">
        <f>IF(A9="","",SUMIFS(Ventes!$K$6:$K$505,Ventes!$D$6:$D$505,A9,Ventes!$M$6:$M$505,"Livrée et payée"))</f>
        <v>46500</v>
      </c>
      <c r="F9" s="42">
        <f>IF(A9="","",IF(D9=0,"",_xlfn.MAXIFS(Ventes!$B$6:$B$505,Ventes!$D$6:$D$505,A9,Ventes!$M$6:$M$505,"Livrée et payée")))</f>
        <v>46304</v>
      </c>
      <c r="G9" s="29">
        <f t="shared" ca="1" si="0"/>
        <v>5</v>
      </c>
      <c r="H9" s="29">
        <f>IF(A9="","",COUNTIFS(Ventes!$D$6:$D$505,A9,Ventes!$M$6:$M$505,"Annulée"))</f>
        <v>0</v>
      </c>
      <c r="I9" s="28" t="str">
        <f t="shared" ca="1" si="1"/>
        <v>VIP</v>
      </c>
      <c r="J9" s="28" t="str">
        <f t="shared" si="2"/>
        <v>Non</v>
      </c>
      <c r="K9" s="18"/>
    </row>
    <row r="10" spans="1:11" x14ac:dyDescent="0.25">
      <c r="A10" s="18" t="s">
        <v>230</v>
      </c>
      <c r="B10" s="18" t="s">
        <v>229</v>
      </c>
      <c r="C10" s="18" t="s">
        <v>83</v>
      </c>
      <c r="D10" s="29">
        <f>IF(A10="","",COUNTIFS(Ventes!$D$6:$D$505,A10,Ventes!$M$6:$M$505,"Livrée et payée"))</f>
        <v>3</v>
      </c>
      <c r="E10" s="25">
        <f>IF(A10="","",SUMIFS(Ventes!$K$6:$K$505,Ventes!$D$6:$D$505,A10,Ventes!$M$6:$M$505,"Livrée et payée"))</f>
        <v>23500</v>
      </c>
      <c r="F10" s="42">
        <f>IF(A10="","",IF(D10=0,"",_xlfn.MAXIFS(Ventes!$B$6:$B$505,Ventes!$D$6:$D$505,A10,Ventes!$M$6:$M$505,"Livrée et payée")))</f>
        <v>46305</v>
      </c>
      <c r="G10" s="29">
        <f t="shared" ca="1" si="0"/>
        <v>4</v>
      </c>
      <c r="H10" s="29">
        <f>IF(A10="","",COUNTIFS(Ventes!$D$6:$D$505,A10,Ventes!$M$6:$M$505,"Annulée"))</f>
        <v>0</v>
      </c>
      <c r="I10" s="28" t="str">
        <f t="shared" ca="1" si="1"/>
        <v>VIP</v>
      </c>
      <c r="J10" s="28" t="str">
        <f t="shared" si="2"/>
        <v>Non</v>
      </c>
      <c r="K10" s="18"/>
    </row>
    <row r="11" spans="1:11" x14ac:dyDescent="0.25">
      <c r="A11" s="18" t="s">
        <v>232</v>
      </c>
      <c r="B11" s="18" t="s">
        <v>231</v>
      </c>
      <c r="C11" s="18" t="s">
        <v>58</v>
      </c>
      <c r="D11" s="29">
        <f>IF(A11="","",COUNTIFS(Ventes!$D$6:$D$505,A11,Ventes!$M$6:$M$505,"Livrée et payée"))</f>
        <v>1</v>
      </c>
      <c r="E11" s="25">
        <f>IF(A11="","",SUMIFS(Ventes!$K$6:$K$505,Ventes!$D$6:$D$505,A11,Ventes!$M$6:$M$505,"Livrée et payée"))</f>
        <v>10000</v>
      </c>
      <c r="F11" s="42">
        <f>IF(A11="","",IF(D11=0,"",_xlfn.MAXIFS(Ventes!$B$6:$B$505,Ventes!$D$6:$D$505,A11,Ventes!$M$6:$M$505,"Livrée et payée")))</f>
        <v>46303</v>
      </c>
      <c r="G11" s="29">
        <f t="shared" ca="1" si="0"/>
        <v>6</v>
      </c>
      <c r="H11" s="29">
        <f>IF(A11="","",COUNTIFS(Ventes!$D$6:$D$505,A11,Ventes!$M$6:$M$505,"Annulée"))</f>
        <v>1</v>
      </c>
      <c r="I11" s="28" t="str">
        <f t="shared" ca="1" si="1"/>
        <v>Nouveau</v>
      </c>
      <c r="J11" s="28" t="str">
        <f t="shared" si="2"/>
        <v>Oui (a déjà annulé)</v>
      </c>
      <c r="K11" s="18"/>
    </row>
    <row r="12" spans="1:11" x14ac:dyDescent="0.25">
      <c r="A12" s="18" t="s">
        <v>234</v>
      </c>
      <c r="B12" s="18" t="s">
        <v>233</v>
      </c>
      <c r="C12" s="18" t="s">
        <v>65</v>
      </c>
      <c r="D12" s="29">
        <f>IF(A12="","",COUNTIFS(Ventes!$D$6:$D$505,A12,Ventes!$M$6:$M$505,"Livrée et payée"))</f>
        <v>2</v>
      </c>
      <c r="E12" s="25">
        <f>IF(A12="","",SUMIFS(Ventes!$K$6:$K$505,Ventes!$D$6:$D$505,A12,Ventes!$M$6:$M$505,"Livrée et payée"))</f>
        <v>17500</v>
      </c>
      <c r="F12" s="42">
        <f>IF(A12="","",IF(D12=0,"",_xlfn.MAXIFS(Ventes!$B$6:$B$505,Ventes!$D$6:$D$505,A12,Ventes!$M$6:$M$505,"Livrée et payée")))</f>
        <v>46305</v>
      </c>
      <c r="G12" s="29">
        <f t="shared" ca="1" si="0"/>
        <v>4</v>
      </c>
      <c r="H12" s="29">
        <f>IF(A12="","",COUNTIFS(Ventes!$D$6:$D$505,A12,Ventes!$M$6:$M$505,"Annulée"))</f>
        <v>0</v>
      </c>
      <c r="I12" s="28" t="str">
        <f t="shared" ca="1" si="1"/>
        <v>Fidèle</v>
      </c>
      <c r="J12" s="28" t="str">
        <f t="shared" si="2"/>
        <v>Non</v>
      </c>
      <c r="K12" s="18"/>
    </row>
    <row r="13" spans="1:11" x14ac:dyDescent="0.25">
      <c r="A13" s="18" t="s">
        <v>236</v>
      </c>
      <c r="B13" s="18" t="s">
        <v>235</v>
      </c>
      <c r="C13" s="18" t="s">
        <v>72</v>
      </c>
      <c r="D13" s="29">
        <f>IF(A13="","",COUNTIFS(Ventes!$D$6:$D$505,A13,Ventes!$M$6:$M$505,"Livrée et payée"))</f>
        <v>1</v>
      </c>
      <c r="E13" s="25">
        <f>IF(A13="","",SUMIFS(Ventes!$K$6:$K$505,Ventes!$D$6:$D$505,A13,Ventes!$M$6:$M$505,"Livrée et payée"))</f>
        <v>10000</v>
      </c>
      <c r="F13" s="42">
        <f>IF(A13="","",IF(D13=0,"",_xlfn.MAXIFS(Ventes!$B$6:$B$505,Ventes!$D$6:$D$505,A13,Ventes!$M$6:$M$505,"Livrée et payée")))</f>
        <v>46301</v>
      </c>
      <c r="G13" s="29">
        <f t="shared" ca="1" si="0"/>
        <v>8</v>
      </c>
      <c r="H13" s="29">
        <f>IF(A13="","",COUNTIFS(Ventes!$D$6:$D$505,A13,Ventes!$M$6:$M$505,"Annulée"))</f>
        <v>1</v>
      </c>
      <c r="I13" s="28" t="str">
        <f t="shared" ca="1" si="1"/>
        <v>Nouveau</v>
      </c>
      <c r="J13" s="28" t="str">
        <f t="shared" si="2"/>
        <v>Oui (a déjà annulé)</v>
      </c>
      <c r="K13" s="18"/>
    </row>
    <row r="14" spans="1:11" x14ac:dyDescent="0.25">
      <c r="A14" s="18"/>
      <c r="B14" s="18"/>
      <c r="C14" s="18"/>
      <c r="D14" s="29" t="str">
        <f>IF(A14="","",COUNTIFS(Ventes!$D$6:$D$505,A14,Ventes!$M$6:$M$505,"Livrée et payée"))</f>
        <v/>
      </c>
      <c r="E14" s="25" t="str">
        <f>IF(A14="","",SUMIFS(Ventes!$K$6:$K$505,Ventes!$D$6:$D$505,A14,Ventes!$M$6:$M$505,"Livrée et payée"))</f>
        <v/>
      </c>
      <c r="F14" s="42" t="str">
        <f>IF(A14="","",IF(D14=0,"",_xlfn.MAXIFS(Ventes!$B$6:$B$505,Ventes!$D$6:$D$505,A14,Ventes!$M$6:$M$505,"Livrée et payée")))</f>
        <v/>
      </c>
      <c r="G14" s="29" t="str">
        <f t="shared" ca="1" si="0"/>
        <v/>
      </c>
      <c r="H14" s="29" t="str">
        <f>IF(A14="","",COUNTIFS(Ventes!$D$6:$D$505,A14,Ventes!$M$6:$M$505,"Annulée"))</f>
        <v/>
      </c>
      <c r="I14" s="28" t="str">
        <f t="shared" si="1"/>
        <v/>
      </c>
      <c r="J14" s="28" t="str">
        <f t="shared" si="2"/>
        <v/>
      </c>
      <c r="K14" s="18"/>
    </row>
    <row r="15" spans="1:11" x14ac:dyDescent="0.25">
      <c r="A15" s="18"/>
      <c r="B15" s="18"/>
      <c r="C15" s="18"/>
      <c r="D15" s="29" t="str">
        <f>IF(A15="","",COUNTIFS(Ventes!$D$6:$D$505,A15,Ventes!$M$6:$M$505,"Livrée et payée"))</f>
        <v/>
      </c>
      <c r="E15" s="25" t="str">
        <f>IF(A15="","",SUMIFS(Ventes!$K$6:$K$505,Ventes!$D$6:$D$505,A15,Ventes!$M$6:$M$505,"Livrée et payée"))</f>
        <v/>
      </c>
      <c r="F15" s="42" t="str">
        <f>IF(A15="","",IF(D15=0,"",_xlfn.MAXIFS(Ventes!$B$6:$B$505,Ventes!$D$6:$D$505,A15,Ventes!$M$6:$M$505,"Livrée et payée")))</f>
        <v/>
      </c>
      <c r="G15" s="29" t="str">
        <f t="shared" ca="1" si="0"/>
        <v/>
      </c>
      <c r="H15" s="29" t="str">
        <f>IF(A15="","",COUNTIFS(Ventes!$D$6:$D$505,A15,Ventes!$M$6:$M$505,"Annulée"))</f>
        <v/>
      </c>
      <c r="I15" s="28" t="str">
        <f t="shared" si="1"/>
        <v/>
      </c>
      <c r="J15" s="28" t="str">
        <f t="shared" si="2"/>
        <v/>
      </c>
      <c r="K15" s="18"/>
    </row>
    <row r="16" spans="1:11" x14ac:dyDescent="0.25">
      <c r="A16" s="18"/>
      <c r="B16" s="18"/>
      <c r="C16" s="18"/>
      <c r="D16" s="29" t="str">
        <f>IF(A16="","",COUNTIFS(Ventes!$D$6:$D$505,A16,Ventes!$M$6:$M$505,"Livrée et payée"))</f>
        <v/>
      </c>
      <c r="E16" s="25" t="str">
        <f>IF(A16="","",SUMIFS(Ventes!$K$6:$K$505,Ventes!$D$6:$D$505,A16,Ventes!$M$6:$M$505,"Livrée et payée"))</f>
        <v/>
      </c>
      <c r="F16" s="42" t="str">
        <f>IF(A16="","",IF(D16=0,"",_xlfn.MAXIFS(Ventes!$B$6:$B$505,Ventes!$D$6:$D$505,A16,Ventes!$M$6:$M$505,"Livrée et payée")))</f>
        <v/>
      </c>
      <c r="G16" s="29" t="str">
        <f t="shared" ca="1" si="0"/>
        <v/>
      </c>
      <c r="H16" s="29" t="str">
        <f>IF(A16="","",COUNTIFS(Ventes!$D$6:$D$505,A16,Ventes!$M$6:$M$505,"Annulée"))</f>
        <v/>
      </c>
      <c r="I16" s="28" t="str">
        <f t="shared" si="1"/>
        <v/>
      </c>
      <c r="J16" s="28" t="str">
        <f t="shared" si="2"/>
        <v/>
      </c>
      <c r="K16" s="18"/>
    </row>
    <row r="17" spans="1:11" x14ac:dyDescent="0.25">
      <c r="A17" s="18"/>
      <c r="B17" s="18"/>
      <c r="C17" s="18"/>
      <c r="D17" s="29" t="str">
        <f>IF(A17="","",COUNTIFS(Ventes!$D$6:$D$505,A17,Ventes!$M$6:$M$505,"Livrée et payée"))</f>
        <v/>
      </c>
      <c r="E17" s="25" t="str">
        <f>IF(A17="","",SUMIFS(Ventes!$K$6:$K$505,Ventes!$D$6:$D$505,A17,Ventes!$M$6:$M$505,"Livrée et payée"))</f>
        <v/>
      </c>
      <c r="F17" s="42" t="str">
        <f>IF(A17="","",IF(D17=0,"",_xlfn.MAXIFS(Ventes!$B$6:$B$505,Ventes!$D$6:$D$505,A17,Ventes!$M$6:$M$505,"Livrée et payée")))</f>
        <v/>
      </c>
      <c r="G17" s="29" t="str">
        <f t="shared" ca="1" si="0"/>
        <v/>
      </c>
      <c r="H17" s="29" t="str">
        <f>IF(A17="","",COUNTIFS(Ventes!$D$6:$D$505,A17,Ventes!$M$6:$M$505,"Annulée"))</f>
        <v/>
      </c>
      <c r="I17" s="28" t="str">
        <f t="shared" si="1"/>
        <v/>
      </c>
      <c r="J17" s="28" t="str">
        <f t="shared" si="2"/>
        <v/>
      </c>
      <c r="K17" s="18"/>
    </row>
    <row r="18" spans="1:11" x14ac:dyDescent="0.25">
      <c r="A18" s="18"/>
      <c r="B18" s="18"/>
      <c r="C18" s="18"/>
      <c r="D18" s="29" t="str">
        <f>IF(A18="","",COUNTIFS(Ventes!$D$6:$D$505,A18,Ventes!$M$6:$M$505,"Livrée et payée"))</f>
        <v/>
      </c>
      <c r="E18" s="25" t="str">
        <f>IF(A18="","",SUMIFS(Ventes!$K$6:$K$505,Ventes!$D$6:$D$505,A18,Ventes!$M$6:$M$505,"Livrée et payée"))</f>
        <v/>
      </c>
      <c r="F18" s="42" t="str">
        <f>IF(A18="","",IF(D18=0,"",_xlfn.MAXIFS(Ventes!$B$6:$B$505,Ventes!$D$6:$D$505,A18,Ventes!$M$6:$M$505,"Livrée et payée")))</f>
        <v/>
      </c>
      <c r="G18" s="29" t="str">
        <f t="shared" ca="1" si="0"/>
        <v/>
      </c>
      <c r="H18" s="29" t="str">
        <f>IF(A18="","",COUNTIFS(Ventes!$D$6:$D$505,A18,Ventes!$M$6:$M$505,"Annulée"))</f>
        <v/>
      </c>
      <c r="I18" s="28" t="str">
        <f t="shared" si="1"/>
        <v/>
      </c>
      <c r="J18" s="28" t="str">
        <f t="shared" si="2"/>
        <v/>
      </c>
      <c r="K18" s="18"/>
    </row>
    <row r="19" spans="1:11" x14ac:dyDescent="0.25">
      <c r="A19" s="18"/>
      <c r="B19" s="18"/>
      <c r="C19" s="18"/>
      <c r="D19" s="29" t="str">
        <f>IF(A19="","",COUNTIFS(Ventes!$D$6:$D$505,A19,Ventes!$M$6:$M$505,"Livrée et payée"))</f>
        <v/>
      </c>
      <c r="E19" s="25" t="str">
        <f>IF(A19="","",SUMIFS(Ventes!$K$6:$K$505,Ventes!$D$6:$D$505,A19,Ventes!$M$6:$M$505,"Livrée et payée"))</f>
        <v/>
      </c>
      <c r="F19" s="42" t="str">
        <f>IF(A19="","",IF(D19=0,"",_xlfn.MAXIFS(Ventes!$B$6:$B$505,Ventes!$D$6:$D$505,A19,Ventes!$M$6:$M$505,"Livrée et payée")))</f>
        <v/>
      </c>
      <c r="G19" s="29" t="str">
        <f t="shared" ca="1" si="0"/>
        <v/>
      </c>
      <c r="H19" s="29" t="str">
        <f>IF(A19="","",COUNTIFS(Ventes!$D$6:$D$505,A19,Ventes!$M$6:$M$505,"Annulée"))</f>
        <v/>
      </c>
      <c r="I19" s="28" t="str">
        <f t="shared" si="1"/>
        <v/>
      </c>
      <c r="J19" s="28" t="str">
        <f t="shared" si="2"/>
        <v/>
      </c>
      <c r="K19" s="18"/>
    </row>
    <row r="20" spans="1:11" x14ac:dyDescent="0.25">
      <c r="A20" s="18"/>
      <c r="B20" s="18"/>
      <c r="C20" s="18"/>
      <c r="D20" s="29" t="str">
        <f>IF(A20="","",COUNTIFS(Ventes!$D$6:$D$505,A20,Ventes!$M$6:$M$505,"Livrée et payée"))</f>
        <v/>
      </c>
      <c r="E20" s="25" t="str">
        <f>IF(A20="","",SUMIFS(Ventes!$K$6:$K$505,Ventes!$D$6:$D$505,A20,Ventes!$M$6:$M$505,"Livrée et payée"))</f>
        <v/>
      </c>
      <c r="F20" s="42" t="str">
        <f>IF(A20="","",IF(D20=0,"",_xlfn.MAXIFS(Ventes!$B$6:$B$505,Ventes!$D$6:$D$505,A20,Ventes!$M$6:$M$505,"Livrée et payée")))</f>
        <v/>
      </c>
      <c r="G20" s="29" t="str">
        <f t="shared" ca="1" si="0"/>
        <v/>
      </c>
      <c r="H20" s="29" t="str">
        <f>IF(A20="","",COUNTIFS(Ventes!$D$6:$D$505,A20,Ventes!$M$6:$M$505,"Annulée"))</f>
        <v/>
      </c>
      <c r="I20" s="28" t="str">
        <f t="shared" si="1"/>
        <v/>
      </c>
      <c r="J20" s="28" t="str">
        <f t="shared" si="2"/>
        <v/>
      </c>
      <c r="K20" s="18"/>
    </row>
    <row r="21" spans="1:11" x14ac:dyDescent="0.25">
      <c r="A21" s="18"/>
      <c r="B21" s="18"/>
      <c r="C21" s="18"/>
      <c r="D21" s="29" t="str">
        <f>IF(A21="","",COUNTIFS(Ventes!$D$6:$D$505,A21,Ventes!$M$6:$M$505,"Livrée et payée"))</f>
        <v/>
      </c>
      <c r="E21" s="25" t="str">
        <f>IF(A21="","",SUMIFS(Ventes!$K$6:$K$505,Ventes!$D$6:$D$505,A21,Ventes!$M$6:$M$505,"Livrée et payée"))</f>
        <v/>
      </c>
      <c r="F21" s="42" t="str">
        <f>IF(A21="","",IF(D21=0,"",_xlfn.MAXIFS(Ventes!$B$6:$B$505,Ventes!$D$6:$D$505,A21,Ventes!$M$6:$M$505,"Livrée et payée")))</f>
        <v/>
      </c>
      <c r="G21" s="29" t="str">
        <f t="shared" ca="1" si="0"/>
        <v/>
      </c>
      <c r="H21" s="29" t="str">
        <f>IF(A21="","",COUNTIFS(Ventes!$D$6:$D$505,A21,Ventes!$M$6:$M$505,"Annulée"))</f>
        <v/>
      </c>
      <c r="I21" s="28" t="str">
        <f t="shared" si="1"/>
        <v/>
      </c>
      <c r="J21" s="28" t="str">
        <f t="shared" si="2"/>
        <v/>
      </c>
      <c r="K21" s="18"/>
    </row>
    <row r="22" spans="1:11" x14ac:dyDescent="0.25">
      <c r="A22" s="18"/>
      <c r="B22" s="18"/>
      <c r="C22" s="18"/>
      <c r="D22" s="29" t="str">
        <f>IF(A22="","",COUNTIFS(Ventes!$D$6:$D$505,A22,Ventes!$M$6:$M$505,"Livrée et payée"))</f>
        <v/>
      </c>
      <c r="E22" s="25" t="str">
        <f>IF(A22="","",SUMIFS(Ventes!$K$6:$K$505,Ventes!$D$6:$D$505,A22,Ventes!$M$6:$M$505,"Livrée et payée"))</f>
        <v/>
      </c>
      <c r="F22" s="42" t="str">
        <f>IF(A22="","",IF(D22=0,"",_xlfn.MAXIFS(Ventes!$B$6:$B$505,Ventes!$D$6:$D$505,A22,Ventes!$M$6:$M$505,"Livrée et payée")))</f>
        <v/>
      </c>
      <c r="G22" s="29" t="str">
        <f t="shared" ca="1" si="0"/>
        <v/>
      </c>
      <c r="H22" s="29" t="str">
        <f>IF(A22="","",COUNTIFS(Ventes!$D$6:$D$505,A22,Ventes!$M$6:$M$505,"Annulée"))</f>
        <v/>
      </c>
      <c r="I22" s="28" t="str">
        <f t="shared" si="1"/>
        <v/>
      </c>
      <c r="J22" s="28" t="str">
        <f t="shared" si="2"/>
        <v/>
      </c>
      <c r="K22" s="18"/>
    </row>
    <row r="23" spans="1:11" x14ac:dyDescent="0.25">
      <c r="A23" s="18"/>
      <c r="B23" s="18"/>
      <c r="C23" s="18"/>
      <c r="D23" s="29" t="str">
        <f>IF(A23="","",COUNTIFS(Ventes!$D$6:$D$505,A23,Ventes!$M$6:$M$505,"Livrée et payée"))</f>
        <v/>
      </c>
      <c r="E23" s="25" t="str">
        <f>IF(A23="","",SUMIFS(Ventes!$K$6:$K$505,Ventes!$D$6:$D$505,A23,Ventes!$M$6:$M$505,"Livrée et payée"))</f>
        <v/>
      </c>
      <c r="F23" s="42" t="str">
        <f>IF(A23="","",IF(D23=0,"",_xlfn.MAXIFS(Ventes!$B$6:$B$505,Ventes!$D$6:$D$505,A23,Ventes!$M$6:$M$505,"Livrée et payée")))</f>
        <v/>
      </c>
      <c r="G23" s="29" t="str">
        <f t="shared" ca="1" si="0"/>
        <v/>
      </c>
      <c r="H23" s="29" t="str">
        <f>IF(A23="","",COUNTIFS(Ventes!$D$6:$D$505,A23,Ventes!$M$6:$M$505,"Annulée"))</f>
        <v/>
      </c>
      <c r="I23" s="28" t="str">
        <f t="shared" si="1"/>
        <v/>
      </c>
      <c r="J23" s="28" t="str">
        <f t="shared" si="2"/>
        <v/>
      </c>
      <c r="K23" s="18"/>
    </row>
    <row r="24" spans="1:11" x14ac:dyDescent="0.25">
      <c r="A24" s="18"/>
      <c r="B24" s="18"/>
      <c r="C24" s="18"/>
      <c r="D24" s="29" t="str">
        <f>IF(A24="","",COUNTIFS(Ventes!$D$6:$D$505,A24,Ventes!$M$6:$M$505,"Livrée et payée"))</f>
        <v/>
      </c>
      <c r="E24" s="25" t="str">
        <f>IF(A24="","",SUMIFS(Ventes!$K$6:$K$505,Ventes!$D$6:$D$505,A24,Ventes!$M$6:$M$505,"Livrée et payée"))</f>
        <v/>
      </c>
      <c r="F24" s="42" t="str">
        <f>IF(A24="","",IF(D24=0,"",_xlfn.MAXIFS(Ventes!$B$6:$B$505,Ventes!$D$6:$D$505,A24,Ventes!$M$6:$M$505,"Livrée et payée")))</f>
        <v/>
      </c>
      <c r="G24" s="29" t="str">
        <f t="shared" ca="1" si="0"/>
        <v/>
      </c>
      <c r="H24" s="29" t="str">
        <f>IF(A24="","",COUNTIFS(Ventes!$D$6:$D$505,A24,Ventes!$M$6:$M$505,"Annulée"))</f>
        <v/>
      </c>
      <c r="I24" s="28" t="str">
        <f t="shared" si="1"/>
        <v/>
      </c>
      <c r="J24" s="28" t="str">
        <f t="shared" si="2"/>
        <v/>
      </c>
      <c r="K24" s="18"/>
    </row>
    <row r="25" spans="1:11" x14ac:dyDescent="0.25">
      <c r="A25" s="18"/>
      <c r="B25" s="18"/>
      <c r="C25" s="18"/>
      <c r="D25" s="29" t="str">
        <f>IF(A25="","",COUNTIFS(Ventes!$D$6:$D$505,A25,Ventes!$M$6:$M$505,"Livrée et payée"))</f>
        <v/>
      </c>
      <c r="E25" s="25" t="str">
        <f>IF(A25="","",SUMIFS(Ventes!$K$6:$K$505,Ventes!$D$6:$D$505,A25,Ventes!$M$6:$M$505,"Livrée et payée"))</f>
        <v/>
      </c>
      <c r="F25" s="42" t="str">
        <f>IF(A25="","",IF(D25=0,"",_xlfn.MAXIFS(Ventes!$B$6:$B$505,Ventes!$D$6:$D$505,A25,Ventes!$M$6:$M$505,"Livrée et payée")))</f>
        <v/>
      </c>
      <c r="G25" s="29" t="str">
        <f t="shared" ca="1" si="0"/>
        <v/>
      </c>
      <c r="H25" s="29" t="str">
        <f>IF(A25="","",COUNTIFS(Ventes!$D$6:$D$505,A25,Ventes!$M$6:$M$505,"Annulée"))</f>
        <v/>
      </c>
      <c r="I25" s="28" t="str">
        <f t="shared" si="1"/>
        <v/>
      </c>
      <c r="J25" s="28" t="str">
        <f t="shared" si="2"/>
        <v/>
      </c>
      <c r="K25" s="18"/>
    </row>
    <row r="26" spans="1:11" x14ac:dyDescent="0.25">
      <c r="A26" s="18"/>
      <c r="B26" s="18"/>
      <c r="C26" s="18"/>
      <c r="D26" s="29" t="str">
        <f>IF(A26="","",COUNTIFS(Ventes!$D$6:$D$505,A26,Ventes!$M$6:$M$505,"Livrée et payée"))</f>
        <v/>
      </c>
      <c r="E26" s="25" t="str">
        <f>IF(A26="","",SUMIFS(Ventes!$K$6:$K$505,Ventes!$D$6:$D$505,A26,Ventes!$M$6:$M$505,"Livrée et payée"))</f>
        <v/>
      </c>
      <c r="F26" s="42" t="str">
        <f>IF(A26="","",IF(D26=0,"",_xlfn.MAXIFS(Ventes!$B$6:$B$505,Ventes!$D$6:$D$505,A26,Ventes!$M$6:$M$505,"Livrée et payée")))</f>
        <v/>
      </c>
      <c r="G26" s="29" t="str">
        <f t="shared" ca="1" si="0"/>
        <v/>
      </c>
      <c r="H26" s="29" t="str">
        <f>IF(A26="","",COUNTIFS(Ventes!$D$6:$D$505,A26,Ventes!$M$6:$M$505,"Annulée"))</f>
        <v/>
      </c>
      <c r="I26" s="28" t="str">
        <f t="shared" si="1"/>
        <v/>
      </c>
      <c r="J26" s="28" t="str">
        <f t="shared" si="2"/>
        <v/>
      </c>
      <c r="K26" s="18"/>
    </row>
    <row r="27" spans="1:11" x14ac:dyDescent="0.25">
      <c r="A27" s="18"/>
      <c r="B27" s="18"/>
      <c r="C27" s="18"/>
      <c r="D27" s="29" t="str">
        <f>IF(A27="","",COUNTIFS(Ventes!$D$6:$D$505,A27,Ventes!$M$6:$M$505,"Livrée et payée"))</f>
        <v/>
      </c>
      <c r="E27" s="25" t="str">
        <f>IF(A27="","",SUMIFS(Ventes!$K$6:$K$505,Ventes!$D$6:$D$505,A27,Ventes!$M$6:$M$505,"Livrée et payée"))</f>
        <v/>
      </c>
      <c r="F27" s="42" t="str">
        <f>IF(A27="","",IF(D27=0,"",_xlfn.MAXIFS(Ventes!$B$6:$B$505,Ventes!$D$6:$D$505,A27,Ventes!$M$6:$M$505,"Livrée et payée")))</f>
        <v/>
      </c>
      <c r="G27" s="29" t="str">
        <f t="shared" ca="1" si="0"/>
        <v/>
      </c>
      <c r="H27" s="29" t="str">
        <f>IF(A27="","",COUNTIFS(Ventes!$D$6:$D$505,A27,Ventes!$M$6:$M$505,"Annulée"))</f>
        <v/>
      </c>
      <c r="I27" s="28" t="str">
        <f t="shared" si="1"/>
        <v/>
      </c>
      <c r="J27" s="28" t="str">
        <f t="shared" si="2"/>
        <v/>
      </c>
      <c r="K27" s="18"/>
    </row>
    <row r="28" spans="1:11" x14ac:dyDescent="0.25">
      <c r="A28" s="18"/>
      <c r="B28" s="18"/>
      <c r="C28" s="18"/>
      <c r="D28" s="29" t="str">
        <f>IF(A28="","",COUNTIFS(Ventes!$D$6:$D$505,A28,Ventes!$M$6:$M$505,"Livrée et payée"))</f>
        <v/>
      </c>
      <c r="E28" s="25" t="str">
        <f>IF(A28="","",SUMIFS(Ventes!$K$6:$K$505,Ventes!$D$6:$D$505,A28,Ventes!$M$6:$M$505,"Livrée et payée"))</f>
        <v/>
      </c>
      <c r="F28" s="42" t="str">
        <f>IF(A28="","",IF(D28=0,"",_xlfn.MAXIFS(Ventes!$B$6:$B$505,Ventes!$D$6:$D$505,A28,Ventes!$M$6:$M$505,"Livrée et payée")))</f>
        <v/>
      </c>
      <c r="G28" s="29" t="str">
        <f t="shared" ca="1" si="0"/>
        <v/>
      </c>
      <c r="H28" s="29" t="str">
        <f>IF(A28="","",COUNTIFS(Ventes!$D$6:$D$505,A28,Ventes!$M$6:$M$505,"Annulée"))</f>
        <v/>
      </c>
      <c r="I28" s="28" t="str">
        <f t="shared" si="1"/>
        <v/>
      </c>
      <c r="J28" s="28" t="str">
        <f t="shared" si="2"/>
        <v/>
      </c>
      <c r="K28" s="18"/>
    </row>
    <row r="29" spans="1:11" x14ac:dyDescent="0.25">
      <c r="A29" s="18"/>
      <c r="B29" s="18"/>
      <c r="C29" s="18"/>
      <c r="D29" s="29" t="str">
        <f>IF(A29="","",COUNTIFS(Ventes!$D$6:$D$505,A29,Ventes!$M$6:$M$505,"Livrée et payée"))</f>
        <v/>
      </c>
      <c r="E29" s="25" t="str">
        <f>IF(A29="","",SUMIFS(Ventes!$K$6:$K$505,Ventes!$D$6:$D$505,A29,Ventes!$M$6:$M$505,"Livrée et payée"))</f>
        <v/>
      </c>
      <c r="F29" s="42" t="str">
        <f>IF(A29="","",IF(D29=0,"",_xlfn.MAXIFS(Ventes!$B$6:$B$505,Ventes!$D$6:$D$505,A29,Ventes!$M$6:$M$505,"Livrée et payée")))</f>
        <v/>
      </c>
      <c r="G29" s="29" t="str">
        <f t="shared" ca="1" si="0"/>
        <v/>
      </c>
      <c r="H29" s="29" t="str">
        <f>IF(A29="","",COUNTIFS(Ventes!$D$6:$D$505,A29,Ventes!$M$6:$M$505,"Annulée"))</f>
        <v/>
      </c>
      <c r="I29" s="28" t="str">
        <f t="shared" si="1"/>
        <v/>
      </c>
      <c r="J29" s="28" t="str">
        <f t="shared" si="2"/>
        <v/>
      </c>
      <c r="K29" s="18"/>
    </row>
    <row r="30" spans="1:11" x14ac:dyDescent="0.25">
      <c r="A30" s="18"/>
      <c r="B30" s="18"/>
      <c r="C30" s="18"/>
      <c r="D30" s="29" t="str">
        <f>IF(A30="","",COUNTIFS(Ventes!$D$6:$D$505,A30,Ventes!$M$6:$M$505,"Livrée et payée"))</f>
        <v/>
      </c>
      <c r="E30" s="25" t="str">
        <f>IF(A30="","",SUMIFS(Ventes!$K$6:$K$505,Ventes!$D$6:$D$505,A30,Ventes!$M$6:$M$505,"Livrée et payée"))</f>
        <v/>
      </c>
      <c r="F30" s="42" t="str">
        <f>IF(A30="","",IF(D30=0,"",_xlfn.MAXIFS(Ventes!$B$6:$B$505,Ventes!$D$6:$D$505,A30,Ventes!$M$6:$M$505,"Livrée et payée")))</f>
        <v/>
      </c>
      <c r="G30" s="29" t="str">
        <f t="shared" ca="1" si="0"/>
        <v/>
      </c>
      <c r="H30" s="29" t="str">
        <f>IF(A30="","",COUNTIFS(Ventes!$D$6:$D$505,A30,Ventes!$M$6:$M$505,"Annulée"))</f>
        <v/>
      </c>
      <c r="I30" s="28" t="str">
        <f t="shared" si="1"/>
        <v/>
      </c>
      <c r="J30" s="28" t="str">
        <f t="shared" si="2"/>
        <v/>
      </c>
      <c r="K30" s="18"/>
    </row>
    <row r="31" spans="1:11" x14ac:dyDescent="0.25">
      <c r="A31" s="18"/>
      <c r="B31" s="18"/>
      <c r="C31" s="18"/>
      <c r="D31" s="29" t="str">
        <f>IF(A31="","",COUNTIFS(Ventes!$D$6:$D$505,A31,Ventes!$M$6:$M$505,"Livrée et payée"))</f>
        <v/>
      </c>
      <c r="E31" s="25" t="str">
        <f>IF(A31="","",SUMIFS(Ventes!$K$6:$K$505,Ventes!$D$6:$D$505,A31,Ventes!$M$6:$M$505,"Livrée et payée"))</f>
        <v/>
      </c>
      <c r="F31" s="42" t="str">
        <f>IF(A31="","",IF(D31=0,"",_xlfn.MAXIFS(Ventes!$B$6:$B$505,Ventes!$D$6:$D$505,A31,Ventes!$M$6:$M$505,"Livrée et payée")))</f>
        <v/>
      </c>
      <c r="G31" s="29" t="str">
        <f t="shared" ca="1" si="0"/>
        <v/>
      </c>
      <c r="H31" s="29" t="str">
        <f>IF(A31="","",COUNTIFS(Ventes!$D$6:$D$505,A31,Ventes!$M$6:$M$505,"Annulée"))</f>
        <v/>
      </c>
      <c r="I31" s="28" t="str">
        <f t="shared" si="1"/>
        <v/>
      </c>
      <c r="J31" s="28" t="str">
        <f t="shared" si="2"/>
        <v/>
      </c>
      <c r="K31" s="18"/>
    </row>
    <row r="32" spans="1:11" x14ac:dyDescent="0.25">
      <c r="A32" s="18"/>
      <c r="B32" s="18"/>
      <c r="C32" s="18"/>
      <c r="D32" s="29" t="str">
        <f>IF(A32="","",COUNTIFS(Ventes!$D$6:$D$505,A32,Ventes!$M$6:$M$505,"Livrée et payée"))</f>
        <v/>
      </c>
      <c r="E32" s="25" t="str">
        <f>IF(A32="","",SUMIFS(Ventes!$K$6:$K$505,Ventes!$D$6:$D$505,A32,Ventes!$M$6:$M$505,"Livrée et payée"))</f>
        <v/>
      </c>
      <c r="F32" s="42" t="str">
        <f>IF(A32="","",IF(D32=0,"",_xlfn.MAXIFS(Ventes!$B$6:$B$505,Ventes!$D$6:$D$505,A32,Ventes!$M$6:$M$505,"Livrée et payée")))</f>
        <v/>
      </c>
      <c r="G32" s="29" t="str">
        <f t="shared" ca="1" si="0"/>
        <v/>
      </c>
      <c r="H32" s="29" t="str">
        <f>IF(A32="","",COUNTIFS(Ventes!$D$6:$D$505,A32,Ventes!$M$6:$M$505,"Annulée"))</f>
        <v/>
      </c>
      <c r="I32" s="28" t="str">
        <f t="shared" si="1"/>
        <v/>
      </c>
      <c r="J32" s="28" t="str">
        <f t="shared" si="2"/>
        <v/>
      </c>
      <c r="K32" s="18"/>
    </row>
    <row r="33" spans="1:11" x14ac:dyDescent="0.25">
      <c r="A33" s="18"/>
      <c r="B33" s="18"/>
      <c r="C33" s="18"/>
      <c r="D33" s="29" t="str">
        <f>IF(A33="","",COUNTIFS(Ventes!$D$6:$D$505,A33,Ventes!$M$6:$M$505,"Livrée et payée"))</f>
        <v/>
      </c>
      <c r="E33" s="25" t="str">
        <f>IF(A33="","",SUMIFS(Ventes!$K$6:$K$505,Ventes!$D$6:$D$505,A33,Ventes!$M$6:$M$505,"Livrée et payée"))</f>
        <v/>
      </c>
      <c r="F33" s="42" t="str">
        <f>IF(A33="","",IF(D33=0,"",_xlfn.MAXIFS(Ventes!$B$6:$B$505,Ventes!$D$6:$D$505,A33,Ventes!$M$6:$M$505,"Livrée et payée")))</f>
        <v/>
      </c>
      <c r="G33" s="29" t="str">
        <f t="shared" ca="1" si="0"/>
        <v/>
      </c>
      <c r="H33" s="29" t="str">
        <f>IF(A33="","",COUNTIFS(Ventes!$D$6:$D$505,A33,Ventes!$M$6:$M$505,"Annulée"))</f>
        <v/>
      </c>
      <c r="I33" s="28" t="str">
        <f t="shared" si="1"/>
        <v/>
      </c>
      <c r="J33" s="28" t="str">
        <f t="shared" si="2"/>
        <v/>
      </c>
      <c r="K33" s="18"/>
    </row>
    <row r="34" spans="1:11" x14ac:dyDescent="0.25">
      <c r="A34" s="18"/>
      <c r="B34" s="18"/>
      <c r="C34" s="18"/>
      <c r="D34" s="29" t="str">
        <f>IF(A34="","",COUNTIFS(Ventes!$D$6:$D$505,A34,Ventes!$M$6:$M$505,"Livrée et payée"))</f>
        <v/>
      </c>
      <c r="E34" s="25" t="str">
        <f>IF(A34="","",SUMIFS(Ventes!$K$6:$K$505,Ventes!$D$6:$D$505,A34,Ventes!$M$6:$M$505,"Livrée et payée"))</f>
        <v/>
      </c>
      <c r="F34" s="42" t="str">
        <f>IF(A34="","",IF(D34=0,"",_xlfn.MAXIFS(Ventes!$B$6:$B$505,Ventes!$D$6:$D$505,A34,Ventes!$M$6:$M$505,"Livrée et payée")))</f>
        <v/>
      </c>
      <c r="G34" s="29" t="str">
        <f t="shared" ca="1" si="0"/>
        <v/>
      </c>
      <c r="H34" s="29" t="str">
        <f>IF(A34="","",COUNTIFS(Ventes!$D$6:$D$505,A34,Ventes!$M$6:$M$505,"Annulée"))</f>
        <v/>
      </c>
      <c r="I34" s="28" t="str">
        <f t="shared" si="1"/>
        <v/>
      </c>
      <c r="J34" s="28" t="str">
        <f t="shared" si="2"/>
        <v/>
      </c>
      <c r="K34" s="18"/>
    </row>
    <row r="35" spans="1:11" x14ac:dyDescent="0.25">
      <c r="A35" s="18"/>
      <c r="B35" s="18"/>
      <c r="C35" s="18"/>
      <c r="D35" s="29" t="str">
        <f>IF(A35="","",COUNTIFS(Ventes!$D$6:$D$505,A35,Ventes!$M$6:$M$505,"Livrée et payée"))</f>
        <v/>
      </c>
      <c r="E35" s="25" t="str">
        <f>IF(A35="","",SUMIFS(Ventes!$K$6:$K$505,Ventes!$D$6:$D$505,A35,Ventes!$M$6:$M$505,"Livrée et payée"))</f>
        <v/>
      </c>
      <c r="F35" s="42" t="str">
        <f>IF(A35="","",IF(D35=0,"",_xlfn.MAXIFS(Ventes!$B$6:$B$505,Ventes!$D$6:$D$505,A35,Ventes!$M$6:$M$505,"Livrée et payée")))</f>
        <v/>
      </c>
      <c r="G35" s="29" t="str">
        <f t="shared" ca="1" si="0"/>
        <v/>
      </c>
      <c r="H35" s="29" t="str">
        <f>IF(A35="","",COUNTIFS(Ventes!$D$6:$D$505,A35,Ventes!$M$6:$M$505,"Annulée"))</f>
        <v/>
      </c>
      <c r="I35" s="28" t="str">
        <f t="shared" si="1"/>
        <v/>
      </c>
      <c r="J35" s="28" t="str">
        <f t="shared" si="2"/>
        <v/>
      </c>
      <c r="K35" s="18"/>
    </row>
    <row r="36" spans="1:11" x14ac:dyDescent="0.25">
      <c r="A36" s="18"/>
      <c r="B36" s="18"/>
      <c r="C36" s="18"/>
      <c r="D36" s="29" t="str">
        <f>IF(A36="","",COUNTIFS(Ventes!$D$6:$D$505,A36,Ventes!$M$6:$M$505,"Livrée et payée"))</f>
        <v/>
      </c>
      <c r="E36" s="25" t="str">
        <f>IF(A36="","",SUMIFS(Ventes!$K$6:$K$505,Ventes!$D$6:$D$505,A36,Ventes!$M$6:$M$505,"Livrée et payée"))</f>
        <v/>
      </c>
      <c r="F36" s="42" t="str">
        <f>IF(A36="","",IF(D36=0,"",_xlfn.MAXIFS(Ventes!$B$6:$B$505,Ventes!$D$6:$D$505,A36,Ventes!$M$6:$M$505,"Livrée et payée")))</f>
        <v/>
      </c>
      <c r="G36" s="29" t="str">
        <f t="shared" ca="1" si="0"/>
        <v/>
      </c>
      <c r="H36" s="29" t="str">
        <f>IF(A36="","",COUNTIFS(Ventes!$D$6:$D$505,A36,Ventes!$M$6:$M$505,"Annulée"))</f>
        <v/>
      </c>
      <c r="I36" s="28" t="str">
        <f t="shared" si="1"/>
        <v/>
      </c>
      <c r="J36" s="28" t="str">
        <f t="shared" si="2"/>
        <v/>
      </c>
      <c r="K36" s="18"/>
    </row>
    <row r="37" spans="1:11" x14ac:dyDescent="0.25">
      <c r="A37" s="18"/>
      <c r="B37" s="18"/>
      <c r="C37" s="18"/>
      <c r="D37" s="29" t="str">
        <f>IF(A37="","",COUNTIFS(Ventes!$D$6:$D$505,A37,Ventes!$M$6:$M$505,"Livrée et payée"))</f>
        <v/>
      </c>
      <c r="E37" s="25" t="str">
        <f>IF(A37="","",SUMIFS(Ventes!$K$6:$K$505,Ventes!$D$6:$D$505,A37,Ventes!$M$6:$M$505,"Livrée et payée"))</f>
        <v/>
      </c>
      <c r="F37" s="42" t="str">
        <f>IF(A37="","",IF(D37=0,"",_xlfn.MAXIFS(Ventes!$B$6:$B$505,Ventes!$D$6:$D$505,A37,Ventes!$M$6:$M$505,"Livrée et payée")))</f>
        <v/>
      </c>
      <c r="G37" s="29" t="str">
        <f t="shared" ca="1" si="0"/>
        <v/>
      </c>
      <c r="H37" s="29" t="str">
        <f>IF(A37="","",COUNTIFS(Ventes!$D$6:$D$505,A37,Ventes!$M$6:$M$505,"Annulée"))</f>
        <v/>
      </c>
      <c r="I37" s="28" t="str">
        <f t="shared" si="1"/>
        <v/>
      </c>
      <c r="J37" s="28" t="str">
        <f t="shared" si="2"/>
        <v/>
      </c>
      <c r="K37" s="18"/>
    </row>
    <row r="38" spans="1:11" x14ac:dyDescent="0.25">
      <c r="A38" s="18"/>
      <c r="B38" s="18"/>
      <c r="C38" s="18"/>
      <c r="D38" s="29" t="str">
        <f>IF(A38="","",COUNTIFS(Ventes!$D$6:$D$505,A38,Ventes!$M$6:$M$505,"Livrée et payée"))</f>
        <v/>
      </c>
      <c r="E38" s="25" t="str">
        <f>IF(A38="","",SUMIFS(Ventes!$K$6:$K$505,Ventes!$D$6:$D$505,A38,Ventes!$M$6:$M$505,"Livrée et payée"))</f>
        <v/>
      </c>
      <c r="F38" s="42" t="str">
        <f>IF(A38="","",IF(D38=0,"",_xlfn.MAXIFS(Ventes!$B$6:$B$505,Ventes!$D$6:$D$505,A38,Ventes!$M$6:$M$505,"Livrée et payée")))</f>
        <v/>
      </c>
      <c r="G38" s="29" t="str">
        <f t="shared" ca="1" si="0"/>
        <v/>
      </c>
      <c r="H38" s="29" t="str">
        <f>IF(A38="","",COUNTIFS(Ventes!$D$6:$D$505,A38,Ventes!$M$6:$M$505,"Annulée"))</f>
        <v/>
      </c>
      <c r="I38" s="28" t="str">
        <f t="shared" si="1"/>
        <v/>
      </c>
      <c r="J38" s="28" t="str">
        <f t="shared" si="2"/>
        <v/>
      </c>
      <c r="K38" s="18"/>
    </row>
    <row r="39" spans="1:11" x14ac:dyDescent="0.25">
      <c r="A39" s="18"/>
      <c r="B39" s="18"/>
      <c r="C39" s="18"/>
      <c r="D39" s="29" t="str">
        <f>IF(A39="","",COUNTIFS(Ventes!$D$6:$D$505,A39,Ventes!$M$6:$M$505,"Livrée et payée"))</f>
        <v/>
      </c>
      <c r="E39" s="25" t="str">
        <f>IF(A39="","",SUMIFS(Ventes!$K$6:$K$505,Ventes!$D$6:$D$505,A39,Ventes!$M$6:$M$505,"Livrée et payée"))</f>
        <v/>
      </c>
      <c r="F39" s="42" t="str">
        <f>IF(A39="","",IF(D39=0,"",_xlfn.MAXIFS(Ventes!$B$6:$B$505,Ventes!$D$6:$D$505,A39,Ventes!$M$6:$M$505,"Livrée et payée")))</f>
        <v/>
      </c>
      <c r="G39" s="29" t="str">
        <f t="shared" ca="1" si="0"/>
        <v/>
      </c>
      <c r="H39" s="29" t="str">
        <f>IF(A39="","",COUNTIFS(Ventes!$D$6:$D$505,A39,Ventes!$M$6:$M$505,"Annulée"))</f>
        <v/>
      </c>
      <c r="I39" s="28" t="str">
        <f t="shared" si="1"/>
        <v/>
      </c>
      <c r="J39" s="28" t="str">
        <f t="shared" si="2"/>
        <v/>
      </c>
      <c r="K39" s="18"/>
    </row>
    <row r="40" spans="1:11" x14ac:dyDescent="0.25">
      <c r="A40" s="18"/>
      <c r="B40" s="18"/>
      <c r="C40" s="18"/>
      <c r="D40" s="29" t="str">
        <f>IF(A40="","",COUNTIFS(Ventes!$D$6:$D$505,A40,Ventes!$M$6:$M$505,"Livrée et payée"))</f>
        <v/>
      </c>
      <c r="E40" s="25" t="str">
        <f>IF(A40="","",SUMIFS(Ventes!$K$6:$K$505,Ventes!$D$6:$D$505,A40,Ventes!$M$6:$M$505,"Livrée et payée"))</f>
        <v/>
      </c>
      <c r="F40" s="42" t="str">
        <f>IF(A40="","",IF(D40=0,"",_xlfn.MAXIFS(Ventes!$B$6:$B$505,Ventes!$D$6:$D$505,A40,Ventes!$M$6:$M$505,"Livrée et payée")))</f>
        <v/>
      </c>
      <c r="G40" s="29" t="str">
        <f t="shared" ca="1" si="0"/>
        <v/>
      </c>
      <c r="H40" s="29" t="str">
        <f>IF(A40="","",COUNTIFS(Ventes!$D$6:$D$505,A40,Ventes!$M$6:$M$505,"Annulée"))</f>
        <v/>
      </c>
      <c r="I40" s="28" t="str">
        <f t="shared" si="1"/>
        <v/>
      </c>
      <c r="J40" s="28" t="str">
        <f t="shared" si="2"/>
        <v/>
      </c>
      <c r="K40" s="18"/>
    </row>
    <row r="41" spans="1:11" x14ac:dyDescent="0.25">
      <c r="A41" s="18"/>
      <c r="B41" s="18"/>
      <c r="C41" s="18"/>
      <c r="D41" s="29" t="str">
        <f>IF(A41="","",COUNTIFS(Ventes!$D$6:$D$505,A41,Ventes!$M$6:$M$505,"Livrée et payée"))</f>
        <v/>
      </c>
      <c r="E41" s="25" t="str">
        <f>IF(A41="","",SUMIFS(Ventes!$K$6:$K$505,Ventes!$D$6:$D$505,A41,Ventes!$M$6:$M$505,"Livrée et payée"))</f>
        <v/>
      </c>
      <c r="F41" s="42" t="str">
        <f>IF(A41="","",IF(D41=0,"",_xlfn.MAXIFS(Ventes!$B$6:$B$505,Ventes!$D$6:$D$505,A41,Ventes!$M$6:$M$505,"Livrée et payée")))</f>
        <v/>
      </c>
      <c r="G41" s="29" t="str">
        <f t="shared" ca="1" si="0"/>
        <v/>
      </c>
      <c r="H41" s="29" t="str">
        <f>IF(A41="","",COUNTIFS(Ventes!$D$6:$D$505,A41,Ventes!$M$6:$M$505,"Annulée"))</f>
        <v/>
      </c>
      <c r="I41" s="28" t="str">
        <f t="shared" si="1"/>
        <v/>
      </c>
      <c r="J41" s="28" t="str">
        <f t="shared" si="2"/>
        <v/>
      </c>
      <c r="K41" s="18"/>
    </row>
    <row r="42" spans="1:11" x14ac:dyDescent="0.25">
      <c r="A42" s="18"/>
      <c r="B42" s="18"/>
      <c r="C42" s="18"/>
      <c r="D42" s="29" t="str">
        <f>IF(A42="","",COUNTIFS(Ventes!$D$6:$D$505,A42,Ventes!$M$6:$M$505,"Livrée et payée"))</f>
        <v/>
      </c>
      <c r="E42" s="25" t="str">
        <f>IF(A42="","",SUMIFS(Ventes!$K$6:$K$505,Ventes!$D$6:$D$505,A42,Ventes!$M$6:$M$505,"Livrée et payée"))</f>
        <v/>
      </c>
      <c r="F42" s="42" t="str">
        <f>IF(A42="","",IF(D42=0,"",_xlfn.MAXIFS(Ventes!$B$6:$B$505,Ventes!$D$6:$D$505,A42,Ventes!$M$6:$M$505,"Livrée et payée")))</f>
        <v/>
      </c>
      <c r="G42" s="29" t="str">
        <f t="shared" ca="1" si="0"/>
        <v/>
      </c>
      <c r="H42" s="29" t="str">
        <f>IF(A42="","",COUNTIFS(Ventes!$D$6:$D$505,A42,Ventes!$M$6:$M$505,"Annulée"))</f>
        <v/>
      </c>
      <c r="I42" s="28" t="str">
        <f t="shared" si="1"/>
        <v/>
      </c>
      <c r="J42" s="28" t="str">
        <f t="shared" si="2"/>
        <v/>
      </c>
      <c r="K42" s="18"/>
    </row>
    <row r="43" spans="1:11" x14ac:dyDescent="0.25">
      <c r="A43" s="18"/>
      <c r="B43" s="18"/>
      <c r="C43" s="18"/>
      <c r="D43" s="29" t="str">
        <f>IF(A43="","",COUNTIFS(Ventes!$D$6:$D$505,A43,Ventes!$M$6:$M$505,"Livrée et payée"))</f>
        <v/>
      </c>
      <c r="E43" s="25" t="str">
        <f>IF(A43="","",SUMIFS(Ventes!$K$6:$K$505,Ventes!$D$6:$D$505,A43,Ventes!$M$6:$M$505,"Livrée et payée"))</f>
        <v/>
      </c>
      <c r="F43" s="42" t="str">
        <f>IF(A43="","",IF(D43=0,"",_xlfn.MAXIFS(Ventes!$B$6:$B$505,Ventes!$D$6:$D$505,A43,Ventes!$M$6:$M$505,"Livrée et payée")))</f>
        <v/>
      </c>
      <c r="G43" s="29" t="str">
        <f t="shared" ca="1" si="0"/>
        <v/>
      </c>
      <c r="H43" s="29" t="str">
        <f>IF(A43="","",COUNTIFS(Ventes!$D$6:$D$505,A43,Ventes!$M$6:$M$505,"Annulée"))</f>
        <v/>
      </c>
      <c r="I43" s="28" t="str">
        <f t="shared" si="1"/>
        <v/>
      </c>
      <c r="J43" s="28" t="str">
        <f t="shared" si="2"/>
        <v/>
      </c>
      <c r="K43" s="18"/>
    </row>
    <row r="44" spans="1:11" x14ac:dyDescent="0.25">
      <c r="A44" s="18"/>
      <c r="B44" s="18"/>
      <c r="C44" s="18"/>
      <c r="D44" s="29" t="str">
        <f>IF(A44="","",COUNTIFS(Ventes!$D$6:$D$505,A44,Ventes!$M$6:$M$505,"Livrée et payée"))</f>
        <v/>
      </c>
      <c r="E44" s="25" t="str">
        <f>IF(A44="","",SUMIFS(Ventes!$K$6:$K$505,Ventes!$D$6:$D$505,A44,Ventes!$M$6:$M$505,"Livrée et payée"))</f>
        <v/>
      </c>
      <c r="F44" s="42" t="str">
        <f>IF(A44="","",IF(D44=0,"",_xlfn.MAXIFS(Ventes!$B$6:$B$505,Ventes!$D$6:$D$505,A44,Ventes!$M$6:$M$505,"Livrée et payée")))</f>
        <v/>
      </c>
      <c r="G44" s="29" t="str">
        <f t="shared" ca="1" si="0"/>
        <v/>
      </c>
      <c r="H44" s="29" t="str">
        <f>IF(A44="","",COUNTIFS(Ventes!$D$6:$D$505,A44,Ventes!$M$6:$M$505,"Annulée"))</f>
        <v/>
      </c>
      <c r="I44" s="28" t="str">
        <f t="shared" si="1"/>
        <v/>
      </c>
      <c r="J44" s="28" t="str">
        <f t="shared" si="2"/>
        <v/>
      </c>
      <c r="K44" s="18"/>
    </row>
    <row r="45" spans="1:11" x14ac:dyDescent="0.25">
      <c r="A45" s="18"/>
      <c r="B45" s="18"/>
      <c r="C45" s="18"/>
      <c r="D45" s="29" t="str">
        <f>IF(A45="","",COUNTIFS(Ventes!$D$6:$D$505,A45,Ventes!$M$6:$M$505,"Livrée et payée"))</f>
        <v/>
      </c>
      <c r="E45" s="25" t="str">
        <f>IF(A45="","",SUMIFS(Ventes!$K$6:$K$505,Ventes!$D$6:$D$505,A45,Ventes!$M$6:$M$505,"Livrée et payée"))</f>
        <v/>
      </c>
      <c r="F45" s="42" t="str">
        <f>IF(A45="","",IF(D45=0,"",_xlfn.MAXIFS(Ventes!$B$6:$B$505,Ventes!$D$6:$D$505,A45,Ventes!$M$6:$M$505,"Livrée et payée")))</f>
        <v/>
      </c>
      <c r="G45" s="29" t="str">
        <f t="shared" ca="1" si="0"/>
        <v/>
      </c>
      <c r="H45" s="29" t="str">
        <f>IF(A45="","",COUNTIFS(Ventes!$D$6:$D$505,A45,Ventes!$M$6:$M$505,"Annulée"))</f>
        <v/>
      </c>
      <c r="I45" s="28" t="str">
        <f t="shared" si="1"/>
        <v/>
      </c>
      <c r="J45" s="28" t="str">
        <f t="shared" si="2"/>
        <v/>
      </c>
      <c r="K45" s="18"/>
    </row>
    <row r="46" spans="1:11" x14ac:dyDescent="0.25">
      <c r="A46" s="18"/>
      <c r="B46" s="18"/>
      <c r="C46" s="18"/>
      <c r="D46" s="29" t="str">
        <f>IF(A46="","",COUNTIFS(Ventes!$D$6:$D$505,A46,Ventes!$M$6:$M$505,"Livrée et payée"))</f>
        <v/>
      </c>
      <c r="E46" s="25" t="str">
        <f>IF(A46="","",SUMIFS(Ventes!$K$6:$K$505,Ventes!$D$6:$D$505,A46,Ventes!$M$6:$M$505,"Livrée et payée"))</f>
        <v/>
      </c>
      <c r="F46" s="42" t="str">
        <f>IF(A46="","",IF(D46=0,"",_xlfn.MAXIFS(Ventes!$B$6:$B$505,Ventes!$D$6:$D$505,A46,Ventes!$M$6:$M$505,"Livrée et payée")))</f>
        <v/>
      </c>
      <c r="G46" s="29" t="str">
        <f t="shared" ca="1" si="0"/>
        <v/>
      </c>
      <c r="H46" s="29" t="str">
        <f>IF(A46="","",COUNTIFS(Ventes!$D$6:$D$505,A46,Ventes!$M$6:$M$505,"Annulée"))</f>
        <v/>
      </c>
      <c r="I46" s="28" t="str">
        <f t="shared" si="1"/>
        <v/>
      </c>
      <c r="J46" s="28" t="str">
        <f t="shared" si="2"/>
        <v/>
      </c>
      <c r="K46" s="18"/>
    </row>
    <row r="47" spans="1:11" x14ac:dyDescent="0.25">
      <c r="A47" s="18"/>
      <c r="B47" s="18"/>
      <c r="C47" s="18"/>
      <c r="D47" s="29" t="str">
        <f>IF(A47="","",COUNTIFS(Ventes!$D$6:$D$505,A47,Ventes!$M$6:$M$505,"Livrée et payée"))</f>
        <v/>
      </c>
      <c r="E47" s="25" t="str">
        <f>IF(A47="","",SUMIFS(Ventes!$K$6:$K$505,Ventes!$D$6:$D$505,A47,Ventes!$M$6:$M$505,"Livrée et payée"))</f>
        <v/>
      </c>
      <c r="F47" s="42" t="str">
        <f>IF(A47="","",IF(D47=0,"",_xlfn.MAXIFS(Ventes!$B$6:$B$505,Ventes!$D$6:$D$505,A47,Ventes!$M$6:$M$505,"Livrée et payée")))</f>
        <v/>
      </c>
      <c r="G47" s="29" t="str">
        <f t="shared" ca="1" si="0"/>
        <v/>
      </c>
      <c r="H47" s="29" t="str">
        <f>IF(A47="","",COUNTIFS(Ventes!$D$6:$D$505,A47,Ventes!$M$6:$M$505,"Annulée"))</f>
        <v/>
      </c>
      <c r="I47" s="28" t="str">
        <f t="shared" si="1"/>
        <v/>
      </c>
      <c r="J47" s="28" t="str">
        <f t="shared" si="2"/>
        <v/>
      </c>
      <c r="K47" s="18"/>
    </row>
    <row r="48" spans="1:11" x14ac:dyDescent="0.25">
      <c r="A48" s="18"/>
      <c r="B48" s="18"/>
      <c r="C48" s="18"/>
      <c r="D48" s="29" t="str">
        <f>IF(A48="","",COUNTIFS(Ventes!$D$6:$D$505,A48,Ventes!$M$6:$M$505,"Livrée et payée"))</f>
        <v/>
      </c>
      <c r="E48" s="25" t="str">
        <f>IF(A48="","",SUMIFS(Ventes!$K$6:$K$505,Ventes!$D$6:$D$505,A48,Ventes!$M$6:$M$505,"Livrée et payée"))</f>
        <v/>
      </c>
      <c r="F48" s="42" t="str">
        <f>IF(A48="","",IF(D48=0,"",_xlfn.MAXIFS(Ventes!$B$6:$B$505,Ventes!$D$6:$D$505,A48,Ventes!$M$6:$M$505,"Livrée et payée")))</f>
        <v/>
      </c>
      <c r="G48" s="29" t="str">
        <f t="shared" ca="1" si="0"/>
        <v/>
      </c>
      <c r="H48" s="29" t="str">
        <f>IF(A48="","",COUNTIFS(Ventes!$D$6:$D$505,A48,Ventes!$M$6:$M$505,"Annulée"))</f>
        <v/>
      </c>
      <c r="I48" s="28" t="str">
        <f t="shared" si="1"/>
        <v/>
      </c>
      <c r="J48" s="28" t="str">
        <f t="shared" si="2"/>
        <v/>
      </c>
      <c r="K48" s="18"/>
    </row>
    <row r="49" spans="1:11" x14ac:dyDescent="0.25">
      <c r="A49" s="18"/>
      <c r="B49" s="18"/>
      <c r="C49" s="18"/>
      <c r="D49" s="29" t="str">
        <f>IF(A49="","",COUNTIFS(Ventes!$D$6:$D$505,A49,Ventes!$M$6:$M$505,"Livrée et payée"))</f>
        <v/>
      </c>
      <c r="E49" s="25" t="str">
        <f>IF(A49="","",SUMIFS(Ventes!$K$6:$K$505,Ventes!$D$6:$D$505,A49,Ventes!$M$6:$M$505,"Livrée et payée"))</f>
        <v/>
      </c>
      <c r="F49" s="42" t="str">
        <f>IF(A49="","",IF(D49=0,"",_xlfn.MAXIFS(Ventes!$B$6:$B$505,Ventes!$D$6:$D$505,A49,Ventes!$M$6:$M$505,"Livrée et payée")))</f>
        <v/>
      </c>
      <c r="G49" s="29" t="str">
        <f t="shared" ca="1" si="0"/>
        <v/>
      </c>
      <c r="H49" s="29" t="str">
        <f>IF(A49="","",COUNTIFS(Ventes!$D$6:$D$505,A49,Ventes!$M$6:$M$505,"Annulée"))</f>
        <v/>
      </c>
      <c r="I49" s="28" t="str">
        <f t="shared" si="1"/>
        <v/>
      </c>
      <c r="J49" s="28" t="str">
        <f t="shared" si="2"/>
        <v/>
      </c>
      <c r="K49" s="18"/>
    </row>
    <row r="50" spans="1:11" x14ac:dyDescent="0.25">
      <c r="A50" s="18"/>
      <c r="B50" s="18"/>
      <c r="C50" s="18"/>
      <c r="D50" s="29" t="str">
        <f>IF(A50="","",COUNTIFS(Ventes!$D$6:$D$505,A50,Ventes!$M$6:$M$505,"Livrée et payée"))</f>
        <v/>
      </c>
      <c r="E50" s="25" t="str">
        <f>IF(A50="","",SUMIFS(Ventes!$K$6:$K$505,Ventes!$D$6:$D$505,A50,Ventes!$M$6:$M$505,"Livrée et payée"))</f>
        <v/>
      </c>
      <c r="F50" s="42" t="str">
        <f>IF(A50="","",IF(D50=0,"",_xlfn.MAXIFS(Ventes!$B$6:$B$505,Ventes!$D$6:$D$505,A50,Ventes!$M$6:$M$505,"Livrée et payée")))</f>
        <v/>
      </c>
      <c r="G50" s="29" t="str">
        <f t="shared" ca="1" si="0"/>
        <v/>
      </c>
      <c r="H50" s="29" t="str">
        <f>IF(A50="","",COUNTIFS(Ventes!$D$6:$D$505,A50,Ventes!$M$6:$M$505,"Annulée"))</f>
        <v/>
      </c>
      <c r="I50" s="28" t="str">
        <f t="shared" si="1"/>
        <v/>
      </c>
      <c r="J50" s="28" t="str">
        <f t="shared" si="2"/>
        <v/>
      </c>
      <c r="K50" s="18"/>
    </row>
    <row r="51" spans="1:11" x14ac:dyDescent="0.25">
      <c r="A51" s="18"/>
      <c r="B51" s="18"/>
      <c r="C51" s="18"/>
      <c r="D51" s="29" t="str">
        <f>IF(A51="","",COUNTIFS(Ventes!$D$6:$D$505,A51,Ventes!$M$6:$M$505,"Livrée et payée"))</f>
        <v/>
      </c>
      <c r="E51" s="25" t="str">
        <f>IF(A51="","",SUMIFS(Ventes!$K$6:$K$505,Ventes!$D$6:$D$505,A51,Ventes!$M$6:$M$505,"Livrée et payée"))</f>
        <v/>
      </c>
      <c r="F51" s="42" t="str">
        <f>IF(A51="","",IF(D51=0,"",_xlfn.MAXIFS(Ventes!$B$6:$B$505,Ventes!$D$6:$D$505,A51,Ventes!$M$6:$M$505,"Livrée et payée")))</f>
        <v/>
      </c>
      <c r="G51" s="29" t="str">
        <f t="shared" ca="1" si="0"/>
        <v/>
      </c>
      <c r="H51" s="29" t="str">
        <f>IF(A51="","",COUNTIFS(Ventes!$D$6:$D$505,A51,Ventes!$M$6:$M$505,"Annulée"))</f>
        <v/>
      </c>
      <c r="I51" s="28" t="str">
        <f t="shared" si="1"/>
        <v/>
      </c>
      <c r="J51" s="28" t="str">
        <f t="shared" si="2"/>
        <v/>
      </c>
      <c r="K51" s="18"/>
    </row>
    <row r="52" spans="1:11" x14ac:dyDescent="0.25">
      <c r="A52" s="18"/>
      <c r="B52" s="18"/>
      <c r="C52" s="18"/>
      <c r="D52" s="29" t="str">
        <f>IF(A52="","",COUNTIFS(Ventes!$D$6:$D$505,A52,Ventes!$M$6:$M$505,"Livrée et payée"))</f>
        <v/>
      </c>
      <c r="E52" s="25" t="str">
        <f>IF(A52="","",SUMIFS(Ventes!$K$6:$K$505,Ventes!$D$6:$D$505,A52,Ventes!$M$6:$M$505,"Livrée et payée"))</f>
        <v/>
      </c>
      <c r="F52" s="42" t="str">
        <f>IF(A52="","",IF(D52=0,"",_xlfn.MAXIFS(Ventes!$B$6:$B$505,Ventes!$D$6:$D$505,A52,Ventes!$M$6:$M$505,"Livrée et payée")))</f>
        <v/>
      </c>
      <c r="G52" s="29" t="str">
        <f t="shared" ca="1" si="0"/>
        <v/>
      </c>
      <c r="H52" s="29" t="str">
        <f>IF(A52="","",COUNTIFS(Ventes!$D$6:$D$505,A52,Ventes!$M$6:$M$505,"Annulée"))</f>
        <v/>
      </c>
      <c r="I52" s="28" t="str">
        <f t="shared" si="1"/>
        <v/>
      </c>
      <c r="J52" s="28" t="str">
        <f t="shared" si="2"/>
        <v/>
      </c>
      <c r="K52" s="18"/>
    </row>
    <row r="53" spans="1:11" x14ac:dyDescent="0.25">
      <c r="A53" s="18"/>
      <c r="B53" s="18"/>
      <c r="C53" s="18"/>
      <c r="D53" s="29" t="str">
        <f>IF(A53="","",COUNTIFS(Ventes!$D$6:$D$505,A53,Ventes!$M$6:$M$505,"Livrée et payée"))</f>
        <v/>
      </c>
      <c r="E53" s="25" t="str">
        <f>IF(A53="","",SUMIFS(Ventes!$K$6:$K$505,Ventes!$D$6:$D$505,A53,Ventes!$M$6:$M$505,"Livrée et payée"))</f>
        <v/>
      </c>
      <c r="F53" s="42" t="str">
        <f>IF(A53="","",IF(D53=0,"",_xlfn.MAXIFS(Ventes!$B$6:$B$505,Ventes!$D$6:$D$505,A53,Ventes!$M$6:$M$505,"Livrée et payée")))</f>
        <v/>
      </c>
      <c r="G53" s="29" t="str">
        <f t="shared" ca="1" si="0"/>
        <v/>
      </c>
      <c r="H53" s="29" t="str">
        <f>IF(A53="","",COUNTIFS(Ventes!$D$6:$D$505,A53,Ventes!$M$6:$M$505,"Annulée"))</f>
        <v/>
      </c>
      <c r="I53" s="28" t="str">
        <f t="shared" si="1"/>
        <v/>
      </c>
      <c r="J53" s="28" t="str">
        <f t="shared" si="2"/>
        <v/>
      </c>
      <c r="K53" s="18"/>
    </row>
    <row r="54" spans="1:11" x14ac:dyDescent="0.25">
      <c r="A54" s="18"/>
      <c r="B54" s="18"/>
      <c r="C54" s="18"/>
      <c r="D54" s="29" t="str">
        <f>IF(A54="","",COUNTIFS(Ventes!$D$6:$D$505,A54,Ventes!$M$6:$M$505,"Livrée et payée"))</f>
        <v/>
      </c>
      <c r="E54" s="25" t="str">
        <f>IF(A54="","",SUMIFS(Ventes!$K$6:$K$505,Ventes!$D$6:$D$505,A54,Ventes!$M$6:$M$505,"Livrée et payée"))</f>
        <v/>
      </c>
      <c r="F54" s="42" t="str">
        <f>IF(A54="","",IF(D54=0,"",_xlfn.MAXIFS(Ventes!$B$6:$B$505,Ventes!$D$6:$D$505,A54,Ventes!$M$6:$M$505,"Livrée et payée")))</f>
        <v/>
      </c>
      <c r="G54" s="29" t="str">
        <f t="shared" ca="1" si="0"/>
        <v/>
      </c>
      <c r="H54" s="29" t="str">
        <f>IF(A54="","",COUNTIFS(Ventes!$D$6:$D$505,A54,Ventes!$M$6:$M$505,"Annulée"))</f>
        <v/>
      </c>
      <c r="I54" s="28" t="str">
        <f t="shared" si="1"/>
        <v/>
      </c>
      <c r="J54" s="28" t="str">
        <f t="shared" si="2"/>
        <v/>
      </c>
      <c r="K54" s="18"/>
    </row>
    <row r="55" spans="1:11" x14ac:dyDescent="0.25">
      <c r="A55" s="18"/>
      <c r="B55" s="18"/>
      <c r="C55" s="18"/>
      <c r="D55" s="29" t="str">
        <f>IF(A55="","",COUNTIFS(Ventes!$D$6:$D$505,A55,Ventes!$M$6:$M$505,"Livrée et payée"))</f>
        <v/>
      </c>
      <c r="E55" s="25" t="str">
        <f>IF(A55="","",SUMIFS(Ventes!$K$6:$K$505,Ventes!$D$6:$D$505,A55,Ventes!$M$6:$M$505,"Livrée et payée"))</f>
        <v/>
      </c>
      <c r="F55" s="42" t="str">
        <f>IF(A55="","",IF(D55=0,"",_xlfn.MAXIFS(Ventes!$B$6:$B$505,Ventes!$D$6:$D$505,A55,Ventes!$M$6:$M$505,"Livrée et payée")))</f>
        <v/>
      </c>
      <c r="G55" s="29" t="str">
        <f t="shared" ca="1" si="0"/>
        <v/>
      </c>
      <c r="H55" s="29" t="str">
        <f>IF(A55="","",COUNTIFS(Ventes!$D$6:$D$505,A55,Ventes!$M$6:$M$505,"Annulée"))</f>
        <v/>
      </c>
      <c r="I55" s="28" t="str">
        <f t="shared" si="1"/>
        <v/>
      </c>
      <c r="J55" s="28" t="str">
        <f t="shared" si="2"/>
        <v/>
      </c>
      <c r="K55" s="18"/>
    </row>
    <row r="56" spans="1:11" x14ac:dyDescent="0.25">
      <c r="A56" s="18"/>
      <c r="B56" s="18"/>
      <c r="C56" s="18"/>
      <c r="D56" s="29" t="str">
        <f>IF(A56="","",COUNTIFS(Ventes!$D$6:$D$505,A56,Ventes!$M$6:$M$505,"Livrée et payée"))</f>
        <v/>
      </c>
      <c r="E56" s="25" t="str">
        <f>IF(A56="","",SUMIFS(Ventes!$K$6:$K$505,Ventes!$D$6:$D$505,A56,Ventes!$M$6:$M$505,"Livrée et payée"))</f>
        <v/>
      </c>
      <c r="F56" s="42" t="str">
        <f>IF(A56="","",IF(D56=0,"",_xlfn.MAXIFS(Ventes!$B$6:$B$505,Ventes!$D$6:$D$505,A56,Ventes!$M$6:$M$505,"Livrée et payée")))</f>
        <v/>
      </c>
      <c r="G56" s="29" t="str">
        <f t="shared" ca="1" si="0"/>
        <v/>
      </c>
      <c r="H56" s="29" t="str">
        <f>IF(A56="","",COUNTIFS(Ventes!$D$6:$D$505,A56,Ventes!$M$6:$M$505,"Annulée"))</f>
        <v/>
      </c>
      <c r="I56" s="28" t="str">
        <f t="shared" si="1"/>
        <v/>
      </c>
      <c r="J56" s="28" t="str">
        <f t="shared" si="2"/>
        <v/>
      </c>
      <c r="K56" s="18"/>
    </row>
    <row r="57" spans="1:11" x14ac:dyDescent="0.25">
      <c r="A57" s="18"/>
      <c r="B57" s="18"/>
      <c r="C57" s="18"/>
      <c r="D57" s="29" t="str">
        <f>IF(A57="","",COUNTIFS(Ventes!$D$6:$D$505,A57,Ventes!$M$6:$M$505,"Livrée et payée"))</f>
        <v/>
      </c>
      <c r="E57" s="25" t="str">
        <f>IF(A57="","",SUMIFS(Ventes!$K$6:$K$505,Ventes!$D$6:$D$505,A57,Ventes!$M$6:$M$505,"Livrée et payée"))</f>
        <v/>
      </c>
      <c r="F57" s="42" t="str">
        <f>IF(A57="","",IF(D57=0,"",_xlfn.MAXIFS(Ventes!$B$6:$B$505,Ventes!$D$6:$D$505,A57,Ventes!$M$6:$M$505,"Livrée et payée")))</f>
        <v/>
      </c>
      <c r="G57" s="29" t="str">
        <f t="shared" ca="1" si="0"/>
        <v/>
      </c>
      <c r="H57" s="29" t="str">
        <f>IF(A57="","",COUNTIFS(Ventes!$D$6:$D$505,A57,Ventes!$M$6:$M$505,"Annulée"))</f>
        <v/>
      </c>
      <c r="I57" s="28" t="str">
        <f t="shared" si="1"/>
        <v/>
      </c>
      <c r="J57" s="28" t="str">
        <f t="shared" si="2"/>
        <v/>
      </c>
      <c r="K57" s="18"/>
    </row>
    <row r="58" spans="1:11" x14ac:dyDescent="0.25">
      <c r="A58" s="18"/>
      <c r="B58" s="18"/>
      <c r="C58" s="18"/>
      <c r="D58" s="29" t="str">
        <f>IF(A58="","",COUNTIFS(Ventes!$D$6:$D$505,A58,Ventes!$M$6:$M$505,"Livrée et payée"))</f>
        <v/>
      </c>
      <c r="E58" s="25" t="str">
        <f>IF(A58="","",SUMIFS(Ventes!$K$6:$K$505,Ventes!$D$6:$D$505,A58,Ventes!$M$6:$M$505,"Livrée et payée"))</f>
        <v/>
      </c>
      <c r="F58" s="42" t="str">
        <f>IF(A58="","",IF(D58=0,"",_xlfn.MAXIFS(Ventes!$B$6:$B$505,Ventes!$D$6:$D$505,A58,Ventes!$M$6:$M$505,"Livrée et payée")))</f>
        <v/>
      </c>
      <c r="G58" s="29" t="str">
        <f t="shared" ca="1" si="0"/>
        <v/>
      </c>
      <c r="H58" s="29" t="str">
        <f>IF(A58="","",COUNTIFS(Ventes!$D$6:$D$505,A58,Ventes!$M$6:$M$505,"Annulée"))</f>
        <v/>
      </c>
      <c r="I58" s="28" t="str">
        <f t="shared" si="1"/>
        <v/>
      </c>
      <c r="J58" s="28" t="str">
        <f t="shared" si="2"/>
        <v/>
      </c>
      <c r="K58" s="18"/>
    </row>
    <row r="59" spans="1:11" x14ac:dyDescent="0.25">
      <c r="A59" s="18"/>
      <c r="B59" s="18"/>
      <c r="C59" s="18"/>
      <c r="D59" s="29" t="str">
        <f>IF(A59="","",COUNTIFS(Ventes!$D$6:$D$505,A59,Ventes!$M$6:$M$505,"Livrée et payée"))</f>
        <v/>
      </c>
      <c r="E59" s="25" t="str">
        <f>IF(A59="","",SUMIFS(Ventes!$K$6:$K$505,Ventes!$D$6:$D$505,A59,Ventes!$M$6:$M$505,"Livrée et payée"))</f>
        <v/>
      </c>
      <c r="F59" s="42" t="str">
        <f>IF(A59="","",IF(D59=0,"",_xlfn.MAXIFS(Ventes!$B$6:$B$505,Ventes!$D$6:$D$505,A59,Ventes!$M$6:$M$505,"Livrée et payée")))</f>
        <v/>
      </c>
      <c r="G59" s="29" t="str">
        <f t="shared" ca="1" si="0"/>
        <v/>
      </c>
      <c r="H59" s="29" t="str">
        <f>IF(A59="","",COUNTIFS(Ventes!$D$6:$D$505,A59,Ventes!$M$6:$M$505,"Annulée"))</f>
        <v/>
      </c>
      <c r="I59" s="28" t="str">
        <f t="shared" si="1"/>
        <v/>
      </c>
      <c r="J59" s="28" t="str">
        <f t="shared" si="2"/>
        <v/>
      </c>
      <c r="K59" s="18"/>
    </row>
    <row r="60" spans="1:11" x14ac:dyDescent="0.25">
      <c r="A60" s="18"/>
      <c r="B60" s="18"/>
      <c r="C60" s="18"/>
      <c r="D60" s="29" t="str">
        <f>IF(A60="","",COUNTIFS(Ventes!$D$6:$D$505,A60,Ventes!$M$6:$M$505,"Livrée et payée"))</f>
        <v/>
      </c>
      <c r="E60" s="25" t="str">
        <f>IF(A60="","",SUMIFS(Ventes!$K$6:$K$505,Ventes!$D$6:$D$505,A60,Ventes!$M$6:$M$505,"Livrée et payée"))</f>
        <v/>
      </c>
      <c r="F60" s="42" t="str">
        <f>IF(A60="","",IF(D60=0,"",_xlfn.MAXIFS(Ventes!$B$6:$B$505,Ventes!$D$6:$D$505,A60,Ventes!$M$6:$M$505,"Livrée et payée")))</f>
        <v/>
      </c>
      <c r="G60" s="29" t="str">
        <f t="shared" ca="1" si="0"/>
        <v/>
      </c>
      <c r="H60" s="29" t="str">
        <f>IF(A60="","",COUNTIFS(Ventes!$D$6:$D$505,A60,Ventes!$M$6:$M$505,"Annulée"))</f>
        <v/>
      </c>
      <c r="I60" s="28" t="str">
        <f t="shared" si="1"/>
        <v/>
      </c>
      <c r="J60" s="28" t="str">
        <f t="shared" si="2"/>
        <v/>
      </c>
      <c r="K60" s="18"/>
    </row>
    <row r="61" spans="1:11" x14ac:dyDescent="0.25">
      <c r="A61" s="18"/>
      <c r="B61" s="18"/>
      <c r="C61" s="18"/>
      <c r="D61" s="29" t="str">
        <f>IF(A61="","",COUNTIFS(Ventes!$D$6:$D$505,A61,Ventes!$M$6:$M$505,"Livrée et payée"))</f>
        <v/>
      </c>
      <c r="E61" s="25" t="str">
        <f>IF(A61="","",SUMIFS(Ventes!$K$6:$K$505,Ventes!$D$6:$D$505,A61,Ventes!$M$6:$M$505,"Livrée et payée"))</f>
        <v/>
      </c>
      <c r="F61" s="42" t="str">
        <f>IF(A61="","",IF(D61=0,"",_xlfn.MAXIFS(Ventes!$B$6:$B$505,Ventes!$D$6:$D$505,A61,Ventes!$M$6:$M$505,"Livrée et payée")))</f>
        <v/>
      </c>
      <c r="G61" s="29" t="str">
        <f t="shared" ca="1" si="0"/>
        <v/>
      </c>
      <c r="H61" s="29" t="str">
        <f>IF(A61="","",COUNTIFS(Ventes!$D$6:$D$505,A61,Ventes!$M$6:$M$505,"Annulée"))</f>
        <v/>
      </c>
      <c r="I61" s="28" t="str">
        <f t="shared" si="1"/>
        <v/>
      </c>
      <c r="J61" s="28" t="str">
        <f t="shared" si="2"/>
        <v/>
      </c>
      <c r="K61" s="18"/>
    </row>
    <row r="62" spans="1:11" x14ac:dyDescent="0.25">
      <c r="A62" s="18"/>
      <c r="B62" s="18"/>
      <c r="C62" s="18"/>
      <c r="D62" s="29" t="str">
        <f>IF(A62="","",COUNTIFS(Ventes!$D$6:$D$505,A62,Ventes!$M$6:$M$505,"Livrée et payée"))</f>
        <v/>
      </c>
      <c r="E62" s="25" t="str">
        <f>IF(A62="","",SUMIFS(Ventes!$K$6:$K$505,Ventes!$D$6:$D$505,A62,Ventes!$M$6:$M$505,"Livrée et payée"))</f>
        <v/>
      </c>
      <c r="F62" s="42" t="str">
        <f>IF(A62="","",IF(D62=0,"",_xlfn.MAXIFS(Ventes!$B$6:$B$505,Ventes!$D$6:$D$505,A62,Ventes!$M$6:$M$505,"Livrée et payée")))</f>
        <v/>
      </c>
      <c r="G62" s="29" t="str">
        <f t="shared" ca="1" si="0"/>
        <v/>
      </c>
      <c r="H62" s="29" t="str">
        <f>IF(A62="","",COUNTIFS(Ventes!$D$6:$D$505,A62,Ventes!$M$6:$M$505,"Annulée"))</f>
        <v/>
      </c>
      <c r="I62" s="28" t="str">
        <f t="shared" si="1"/>
        <v/>
      </c>
      <c r="J62" s="28" t="str">
        <f t="shared" si="2"/>
        <v/>
      </c>
      <c r="K62" s="18"/>
    </row>
    <row r="63" spans="1:11" x14ac:dyDescent="0.25">
      <c r="A63" s="18"/>
      <c r="B63" s="18"/>
      <c r="C63" s="18"/>
      <c r="D63" s="29" t="str">
        <f>IF(A63="","",COUNTIFS(Ventes!$D$6:$D$505,A63,Ventes!$M$6:$M$505,"Livrée et payée"))</f>
        <v/>
      </c>
      <c r="E63" s="25" t="str">
        <f>IF(A63="","",SUMIFS(Ventes!$K$6:$K$505,Ventes!$D$6:$D$505,A63,Ventes!$M$6:$M$505,"Livrée et payée"))</f>
        <v/>
      </c>
      <c r="F63" s="42" t="str">
        <f>IF(A63="","",IF(D63=0,"",_xlfn.MAXIFS(Ventes!$B$6:$B$505,Ventes!$D$6:$D$505,A63,Ventes!$M$6:$M$505,"Livrée et payée")))</f>
        <v/>
      </c>
      <c r="G63" s="29" t="str">
        <f t="shared" ca="1" si="0"/>
        <v/>
      </c>
      <c r="H63" s="29" t="str">
        <f>IF(A63="","",COUNTIFS(Ventes!$D$6:$D$505,A63,Ventes!$M$6:$M$505,"Annulée"))</f>
        <v/>
      </c>
      <c r="I63" s="28" t="str">
        <f t="shared" si="1"/>
        <v/>
      </c>
      <c r="J63" s="28" t="str">
        <f t="shared" si="2"/>
        <v/>
      </c>
      <c r="K63" s="18"/>
    </row>
    <row r="64" spans="1:11" x14ac:dyDescent="0.25">
      <c r="A64" s="18"/>
      <c r="B64" s="18"/>
      <c r="C64" s="18"/>
      <c r="D64" s="29" t="str">
        <f>IF(A64="","",COUNTIFS(Ventes!$D$6:$D$505,A64,Ventes!$M$6:$M$505,"Livrée et payée"))</f>
        <v/>
      </c>
      <c r="E64" s="25" t="str">
        <f>IF(A64="","",SUMIFS(Ventes!$K$6:$K$505,Ventes!$D$6:$D$505,A64,Ventes!$M$6:$M$505,"Livrée et payée"))</f>
        <v/>
      </c>
      <c r="F64" s="42" t="str">
        <f>IF(A64="","",IF(D64=0,"",_xlfn.MAXIFS(Ventes!$B$6:$B$505,Ventes!$D$6:$D$505,A64,Ventes!$M$6:$M$505,"Livrée et payée")))</f>
        <v/>
      </c>
      <c r="G64" s="29" t="str">
        <f t="shared" ca="1" si="0"/>
        <v/>
      </c>
      <c r="H64" s="29" t="str">
        <f>IF(A64="","",COUNTIFS(Ventes!$D$6:$D$505,A64,Ventes!$M$6:$M$505,"Annulée"))</f>
        <v/>
      </c>
      <c r="I64" s="28" t="str">
        <f t="shared" si="1"/>
        <v/>
      </c>
      <c r="J64" s="28" t="str">
        <f t="shared" si="2"/>
        <v/>
      </c>
      <c r="K64" s="18"/>
    </row>
    <row r="65" spans="1:11" x14ac:dyDescent="0.25">
      <c r="A65" s="18"/>
      <c r="B65" s="18"/>
      <c r="C65" s="18"/>
      <c r="D65" s="29" t="str">
        <f>IF(A65="","",COUNTIFS(Ventes!$D$6:$D$505,A65,Ventes!$M$6:$M$505,"Livrée et payée"))</f>
        <v/>
      </c>
      <c r="E65" s="25" t="str">
        <f>IF(A65="","",SUMIFS(Ventes!$K$6:$K$505,Ventes!$D$6:$D$505,A65,Ventes!$M$6:$M$505,"Livrée et payée"))</f>
        <v/>
      </c>
      <c r="F65" s="42" t="str">
        <f>IF(A65="","",IF(D65=0,"",_xlfn.MAXIFS(Ventes!$B$6:$B$505,Ventes!$D$6:$D$505,A65,Ventes!$M$6:$M$505,"Livrée et payée")))</f>
        <v/>
      </c>
      <c r="G65" s="29" t="str">
        <f t="shared" ca="1" si="0"/>
        <v/>
      </c>
      <c r="H65" s="29" t="str">
        <f>IF(A65="","",COUNTIFS(Ventes!$D$6:$D$505,A65,Ventes!$M$6:$M$505,"Annulée"))</f>
        <v/>
      </c>
      <c r="I65" s="28" t="str">
        <f t="shared" si="1"/>
        <v/>
      </c>
      <c r="J65" s="28" t="str">
        <f t="shared" si="2"/>
        <v/>
      </c>
      <c r="K65" s="18"/>
    </row>
    <row r="66" spans="1:11" x14ac:dyDescent="0.25">
      <c r="A66" s="18"/>
      <c r="B66" s="18"/>
      <c r="C66" s="18"/>
      <c r="D66" s="29" t="str">
        <f>IF(A66="","",COUNTIFS(Ventes!$D$6:$D$505,A66,Ventes!$M$6:$M$505,"Livrée et payée"))</f>
        <v/>
      </c>
      <c r="E66" s="25" t="str">
        <f>IF(A66="","",SUMIFS(Ventes!$K$6:$K$505,Ventes!$D$6:$D$505,A66,Ventes!$M$6:$M$505,"Livrée et payée"))</f>
        <v/>
      </c>
      <c r="F66" s="42" t="str">
        <f>IF(A66="","",IF(D66=0,"",_xlfn.MAXIFS(Ventes!$B$6:$B$505,Ventes!$D$6:$D$505,A66,Ventes!$M$6:$M$505,"Livrée et payée")))</f>
        <v/>
      </c>
      <c r="G66" s="29" t="str">
        <f t="shared" ca="1" si="0"/>
        <v/>
      </c>
      <c r="H66" s="29" t="str">
        <f>IF(A66="","",COUNTIFS(Ventes!$D$6:$D$505,A66,Ventes!$M$6:$M$505,"Annulée"))</f>
        <v/>
      </c>
      <c r="I66" s="28" t="str">
        <f t="shared" si="1"/>
        <v/>
      </c>
      <c r="J66" s="28" t="str">
        <f t="shared" si="2"/>
        <v/>
      </c>
      <c r="K66" s="18"/>
    </row>
    <row r="67" spans="1:11" x14ac:dyDescent="0.25">
      <c r="A67" s="18"/>
      <c r="B67" s="18"/>
      <c r="C67" s="18"/>
      <c r="D67" s="29" t="str">
        <f>IF(A67="","",COUNTIFS(Ventes!$D$6:$D$505,A67,Ventes!$M$6:$M$505,"Livrée et payée"))</f>
        <v/>
      </c>
      <c r="E67" s="25" t="str">
        <f>IF(A67="","",SUMIFS(Ventes!$K$6:$K$505,Ventes!$D$6:$D$505,A67,Ventes!$M$6:$M$505,"Livrée et payée"))</f>
        <v/>
      </c>
      <c r="F67" s="42" t="str">
        <f>IF(A67="","",IF(D67=0,"",_xlfn.MAXIFS(Ventes!$B$6:$B$505,Ventes!$D$6:$D$505,A67,Ventes!$M$6:$M$505,"Livrée et payée")))</f>
        <v/>
      </c>
      <c r="G67" s="29" t="str">
        <f t="shared" ca="1" si="0"/>
        <v/>
      </c>
      <c r="H67" s="29" t="str">
        <f>IF(A67="","",COUNTIFS(Ventes!$D$6:$D$505,A67,Ventes!$M$6:$M$505,"Annulée"))</f>
        <v/>
      </c>
      <c r="I67" s="28" t="str">
        <f t="shared" si="1"/>
        <v/>
      </c>
      <c r="J67" s="28" t="str">
        <f t="shared" si="2"/>
        <v/>
      </c>
      <c r="K67" s="18"/>
    </row>
    <row r="68" spans="1:11" x14ac:dyDescent="0.25">
      <c r="A68" s="18"/>
      <c r="B68" s="18"/>
      <c r="C68" s="18"/>
      <c r="D68" s="29" t="str">
        <f>IF(A68="","",COUNTIFS(Ventes!$D$6:$D$505,A68,Ventes!$M$6:$M$505,"Livrée et payée"))</f>
        <v/>
      </c>
      <c r="E68" s="25" t="str">
        <f>IF(A68="","",SUMIFS(Ventes!$K$6:$K$505,Ventes!$D$6:$D$505,A68,Ventes!$M$6:$M$505,"Livrée et payée"))</f>
        <v/>
      </c>
      <c r="F68" s="42" t="str">
        <f>IF(A68="","",IF(D68=0,"",_xlfn.MAXIFS(Ventes!$B$6:$B$505,Ventes!$D$6:$D$505,A68,Ventes!$M$6:$M$505,"Livrée et payée")))</f>
        <v/>
      </c>
      <c r="G68" s="29" t="str">
        <f t="shared" ca="1" si="0"/>
        <v/>
      </c>
      <c r="H68" s="29" t="str">
        <f>IF(A68="","",COUNTIFS(Ventes!$D$6:$D$505,A68,Ventes!$M$6:$M$505,"Annulée"))</f>
        <v/>
      </c>
      <c r="I68" s="28" t="str">
        <f t="shared" si="1"/>
        <v/>
      </c>
      <c r="J68" s="28" t="str">
        <f t="shared" si="2"/>
        <v/>
      </c>
      <c r="K68" s="18"/>
    </row>
    <row r="69" spans="1:11" x14ac:dyDescent="0.25">
      <c r="A69" s="18"/>
      <c r="B69" s="18"/>
      <c r="C69" s="18"/>
      <c r="D69" s="29" t="str">
        <f>IF(A69="","",COUNTIFS(Ventes!$D$6:$D$505,A69,Ventes!$M$6:$M$505,"Livrée et payée"))</f>
        <v/>
      </c>
      <c r="E69" s="25" t="str">
        <f>IF(A69="","",SUMIFS(Ventes!$K$6:$K$505,Ventes!$D$6:$D$505,A69,Ventes!$M$6:$M$505,"Livrée et payée"))</f>
        <v/>
      </c>
      <c r="F69" s="42" t="str">
        <f>IF(A69="","",IF(D69=0,"",_xlfn.MAXIFS(Ventes!$B$6:$B$505,Ventes!$D$6:$D$505,A69,Ventes!$M$6:$M$505,"Livrée et payée")))</f>
        <v/>
      </c>
      <c r="G69" s="29" t="str">
        <f t="shared" ca="1" si="0"/>
        <v/>
      </c>
      <c r="H69" s="29" t="str">
        <f>IF(A69="","",COUNTIFS(Ventes!$D$6:$D$505,A69,Ventes!$M$6:$M$505,"Annulée"))</f>
        <v/>
      </c>
      <c r="I69" s="28" t="str">
        <f t="shared" si="1"/>
        <v/>
      </c>
      <c r="J69" s="28" t="str">
        <f t="shared" si="2"/>
        <v/>
      </c>
      <c r="K69" s="18"/>
    </row>
    <row r="70" spans="1:11" x14ac:dyDescent="0.25">
      <c r="A70" s="18"/>
      <c r="B70" s="18"/>
      <c r="C70" s="18"/>
      <c r="D70" s="29" t="str">
        <f>IF(A70="","",COUNTIFS(Ventes!$D$6:$D$505,A70,Ventes!$M$6:$M$505,"Livrée et payée"))</f>
        <v/>
      </c>
      <c r="E70" s="25" t="str">
        <f>IF(A70="","",SUMIFS(Ventes!$K$6:$K$505,Ventes!$D$6:$D$505,A70,Ventes!$M$6:$M$505,"Livrée et payée"))</f>
        <v/>
      </c>
      <c r="F70" s="42" t="str">
        <f>IF(A70="","",IF(D70=0,"",_xlfn.MAXIFS(Ventes!$B$6:$B$505,Ventes!$D$6:$D$505,A70,Ventes!$M$6:$M$505,"Livrée et payée")))</f>
        <v/>
      </c>
      <c r="G70" s="29" t="str">
        <f t="shared" ref="G70:G133" ca="1" si="3">IF(OR(A70="",F70=""),"",TODAY()-F70)</f>
        <v/>
      </c>
      <c r="H70" s="29" t="str">
        <f>IF(A70="","",COUNTIFS(Ventes!$D$6:$D$505,A70,Ventes!$M$6:$M$505,"Annulée"))</f>
        <v/>
      </c>
      <c r="I70" s="28" t="str">
        <f t="shared" ref="I70:I133" si="4">IF(A70="","",IF(D70=0,"Prospect",IF(G70&gt;60,"À relancer",IF(D70&gt;=3,"VIP",IF(D70=2,"Fidèle","Nouveau")))))</f>
        <v/>
      </c>
      <c r="J70" s="28" t="str">
        <f t="shared" ref="J70:J133" si="5">IF(A70="","",IF(H70&gt;=1,"Oui (a déjà annulé)","Non"))</f>
        <v/>
      </c>
      <c r="K70" s="18"/>
    </row>
    <row r="71" spans="1:11" x14ac:dyDescent="0.25">
      <c r="A71" s="18"/>
      <c r="B71" s="18"/>
      <c r="C71" s="18"/>
      <c r="D71" s="29" t="str">
        <f>IF(A71="","",COUNTIFS(Ventes!$D$6:$D$505,A71,Ventes!$M$6:$M$505,"Livrée et payée"))</f>
        <v/>
      </c>
      <c r="E71" s="25" t="str">
        <f>IF(A71="","",SUMIFS(Ventes!$K$6:$K$505,Ventes!$D$6:$D$505,A71,Ventes!$M$6:$M$505,"Livrée et payée"))</f>
        <v/>
      </c>
      <c r="F71" s="42" t="str">
        <f>IF(A71="","",IF(D71=0,"",_xlfn.MAXIFS(Ventes!$B$6:$B$505,Ventes!$D$6:$D$505,A71,Ventes!$M$6:$M$505,"Livrée et payée")))</f>
        <v/>
      </c>
      <c r="G71" s="29" t="str">
        <f t="shared" ca="1" si="3"/>
        <v/>
      </c>
      <c r="H71" s="29" t="str">
        <f>IF(A71="","",COUNTIFS(Ventes!$D$6:$D$505,A71,Ventes!$M$6:$M$505,"Annulée"))</f>
        <v/>
      </c>
      <c r="I71" s="28" t="str">
        <f t="shared" si="4"/>
        <v/>
      </c>
      <c r="J71" s="28" t="str">
        <f t="shared" si="5"/>
        <v/>
      </c>
      <c r="K71" s="18"/>
    </row>
    <row r="72" spans="1:11" x14ac:dyDescent="0.25">
      <c r="A72" s="18"/>
      <c r="B72" s="18"/>
      <c r="C72" s="18"/>
      <c r="D72" s="29" t="str">
        <f>IF(A72="","",COUNTIFS(Ventes!$D$6:$D$505,A72,Ventes!$M$6:$M$505,"Livrée et payée"))</f>
        <v/>
      </c>
      <c r="E72" s="25" t="str">
        <f>IF(A72="","",SUMIFS(Ventes!$K$6:$K$505,Ventes!$D$6:$D$505,A72,Ventes!$M$6:$M$505,"Livrée et payée"))</f>
        <v/>
      </c>
      <c r="F72" s="42" t="str">
        <f>IF(A72="","",IF(D72=0,"",_xlfn.MAXIFS(Ventes!$B$6:$B$505,Ventes!$D$6:$D$505,A72,Ventes!$M$6:$M$505,"Livrée et payée")))</f>
        <v/>
      </c>
      <c r="G72" s="29" t="str">
        <f t="shared" ca="1" si="3"/>
        <v/>
      </c>
      <c r="H72" s="29" t="str">
        <f>IF(A72="","",COUNTIFS(Ventes!$D$6:$D$505,A72,Ventes!$M$6:$M$505,"Annulée"))</f>
        <v/>
      </c>
      <c r="I72" s="28" t="str">
        <f t="shared" si="4"/>
        <v/>
      </c>
      <c r="J72" s="28" t="str">
        <f t="shared" si="5"/>
        <v/>
      </c>
      <c r="K72" s="18"/>
    </row>
    <row r="73" spans="1:11" x14ac:dyDescent="0.25">
      <c r="A73" s="18"/>
      <c r="B73" s="18"/>
      <c r="C73" s="18"/>
      <c r="D73" s="29" t="str">
        <f>IF(A73="","",COUNTIFS(Ventes!$D$6:$D$505,A73,Ventes!$M$6:$M$505,"Livrée et payée"))</f>
        <v/>
      </c>
      <c r="E73" s="25" t="str">
        <f>IF(A73="","",SUMIFS(Ventes!$K$6:$K$505,Ventes!$D$6:$D$505,A73,Ventes!$M$6:$M$505,"Livrée et payée"))</f>
        <v/>
      </c>
      <c r="F73" s="42" t="str">
        <f>IF(A73="","",IF(D73=0,"",_xlfn.MAXIFS(Ventes!$B$6:$B$505,Ventes!$D$6:$D$505,A73,Ventes!$M$6:$M$505,"Livrée et payée")))</f>
        <v/>
      </c>
      <c r="G73" s="29" t="str">
        <f t="shared" ca="1" si="3"/>
        <v/>
      </c>
      <c r="H73" s="29" t="str">
        <f>IF(A73="","",COUNTIFS(Ventes!$D$6:$D$505,A73,Ventes!$M$6:$M$505,"Annulée"))</f>
        <v/>
      </c>
      <c r="I73" s="28" t="str">
        <f t="shared" si="4"/>
        <v/>
      </c>
      <c r="J73" s="28" t="str">
        <f t="shared" si="5"/>
        <v/>
      </c>
      <c r="K73" s="18"/>
    </row>
    <row r="74" spans="1:11" x14ac:dyDescent="0.25">
      <c r="A74" s="18"/>
      <c r="B74" s="18"/>
      <c r="C74" s="18"/>
      <c r="D74" s="29" t="str">
        <f>IF(A74="","",COUNTIFS(Ventes!$D$6:$D$505,A74,Ventes!$M$6:$M$505,"Livrée et payée"))</f>
        <v/>
      </c>
      <c r="E74" s="25" t="str">
        <f>IF(A74="","",SUMIFS(Ventes!$K$6:$K$505,Ventes!$D$6:$D$505,A74,Ventes!$M$6:$M$505,"Livrée et payée"))</f>
        <v/>
      </c>
      <c r="F74" s="42" t="str">
        <f>IF(A74="","",IF(D74=0,"",_xlfn.MAXIFS(Ventes!$B$6:$B$505,Ventes!$D$6:$D$505,A74,Ventes!$M$6:$M$505,"Livrée et payée")))</f>
        <v/>
      </c>
      <c r="G74" s="29" t="str">
        <f t="shared" ca="1" si="3"/>
        <v/>
      </c>
      <c r="H74" s="29" t="str">
        <f>IF(A74="","",COUNTIFS(Ventes!$D$6:$D$505,A74,Ventes!$M$6:$M$505,"Annulée"))</f>
        <v/>
      </c>
      <c r="I74" s="28" t="str">
        <f t="shared" si="4"/>
        <v/>
      </c>
      <c r="J74" s="28" t="str">
        <f t="shared" si="5"/>
        <v/>
      </c>
      <c r="K74" s="18"/>
    </row>
    <row r="75" spans="1:11" x14ac:dyDescent="0.25">
      <c r="A75" s="18"/>
      <c r="B75" s="18"/>
      <c r="C75" s="18"/>
      <c r="D75" s="29" t="str">
        <f>IF(A75="","",COUNTIFS(Ventes!$D$6:$D$505,A75,Ventes!$M$6:$M$505,"Livrée et payée"))</f>
        <v/>
      </c>
      <c r="E75" s="25" t="str">
        <f>IF(A75="","",SUMIFS(Ventes!$K$6:$K$505,Ventes!$D$6:$D$505,A75,Ventes!$M$6:$M$505,"Livrée et payée"))</f>
        <v/>
      </c>
      <c r="F75" s="42" t="str">
        <f>IF(A75="","",IF(D75=0,"",_xlfn.MAXIFS(Ventes!$B$6:$B$505,Ventes!$D$6:$D$505,A75,Ventes!$M$6:$M$505,"Livrée et payée")))</f>
        <v/>
      </c>
      <c r="G75" s="29" t="str">
        <f t="shared" ca="1" si="3"/>
        <v/>
      </c>
      <c r="H75" s="29" t="str">
        <f>IF(A75="","",COUNTIFS(Ventes!$D$6:$D$505,A75,Ventes!$M$6:$M$505,"Annulée"))</f>
        <v/>
      </c>
      <c r="I75" s="28" t="str">
        <f t="shared" si="4"/>
        <v/>
      </c>
      <c r="J75" s="28" t="str">
        <f t="shared" si="5"/>
        <v/>
      </c>
      <c r="K75" s="18"/>
    </row>
    <row r="76" spans="1:11" x14ac:dyDescent="0.25">
      <c r="A76" s="18"/>
      <c r="B76" s="18"/>
      <c r="C76" s="18"/>
      <c r="D76" s="29" t="str">
        <f>IF(A76="","",COUNTIFS(Ventes!$D$6:$D$505,A76,Ventes!$M$6:$M$505,"Livrée et payée"))</f>
        <v/>
      </c>
      <c r="E76" s="25" t="str">
        <f>IF(A76="","",SUMIFS(Ventes!$K$6:$K$505,Ventes!$D$6:$D$505,A76,Ventes!$M$6:$M$505,"Livrée et payée"))</f>
        <v/>
      </c>
      <c r="F76" s="42" t="str">
        <f>IF(A76="","",IF(D76=0,"",_xlfn.MAXIFS(Ventes!$B$6:$B$505,Ventes!$D$6:$D$505,A76,Ventes!$M$6:$M$505,"Livrée et payée")))</f>
        <v/>
      </c>
      <c r="G76" s="29" t="str">
        <f t="shared" ca="1" si="3"/>
        <v/>
      </c>
      <c r="H76" s="29" t="str">
        <f>IF(A76="","",COUNTIFS(Ventes!$D$6:$D$505,A76,Ventes!$M$6:$M$505,"Annulée"))</f>
        <v/>
      </c>
      <c r="I76" s="28" t="str">
        <f t="shared" si="4"/>
        <v/>
      </c>
      <c r="J76" s="28" t="str">
        <f t="shared" si="5"/>
        <v/>
      </c>
      <c r="K76" s="18"/>
    </row>
    <row r="77" spans="1:11" x14ac:dyDescent="0.25">
      <c r="A77" s="18"/>
      <c r="B77" s="18"/>
      <c r="C77" s="18"/>
      <c r="D77" s="29" t="str">
        <f>IF(A77="","",COUNTIFS(Ventes!$D$6:$D$505,A77,Ventes!$M$6:$M$505,"Livrée et payée"))</f>
        <v/>
      </c>
      <c r="E77" s="25" t="str">
        <f>IF(A77="","",SUMIFS(Ventes!$K$6:$K$505,Ventes!$D$6:$D$505,A77,Ventes!$M$6:$M$505,"Livrée et payée"))</f>
        <v/>
      </c>
      <c r="F77" s="42" t="str">
        <f>IF(A77="","",IF(D77=0,"",_xlfn.MAXIFS(Ventes!$B$6:$B$505,Ventes!$D$6:$D$505,A77,Ventes!$M$6:$M$505,"Livrée et payée")))</f>
        <v/>
      </c>
      <c r="G77" s="29" t="str">
        <f t="shared" ca="1" si="3"/>
        <v/>
      </c>
      <c r="H77" s="29" t="str">
        <f>IF(A77="","",COUNTIFS(Ventes!$D$6:$D$505,A77,Ventes!$M$6:$M$505,"Annulée"))</f>
        <v/>
      </c>
      <c r="I77" s="28" t="str">
        <f t="shared" si="4"/>
        <v/>
      </c>
      <c r="J77" s="28" t="str">
        <f t="shared" si="5"/>
        <v/>
      </c>
      <c r="K77" s="18"/>
    </row>
    <row r="78" spans="1:11" x14ac:dyDescent="0.25">
      <c r="A78" s="18"/>
      <c r="B78" s="18"/>
      <c r="C78" s="18"/>
      <c r="D78" s="29" t="str">
        <f>IF(A78="","",COUNTIFS(Ventes!$D$6:$D$505,A78,Ventes!$M$6:$M$505,"Livrée et payée"))</f>
        <v/>
      </c>
      <c r="E78" s="25" t="str">
        <f>IF(A78="","",SUMIFS(Ventes!$K$6:$K$505,Ventes!$D$6:$D$505,A78,Ventes!$M$6:$M$505,"Livrée et payée"))</f>
        <v/>
      </c>
      <c r="F78" s="42" t="str">
        <f>IF(A78="","",IF(D78=0,"",_xlfn.MAXIFS(Ventes!$B$6:$B$505,Ventes!$D$6:$D$505,A78,Ventes!$M$6:$M$505,"Livrée et payée")))</f>
        <v/>
      </c>
      <c r="G78" s="29" t="str">
        <f t="shared" ca="1" si="3"/>
        <v/>
      </c>
      <c r="H78" s="29" t="str">
        <f>IF(A78="","",COUNTIFS(Ventes!$D$6:$D$505,A78,Ventes!$M$6:$M$505,"Annulée"))</f>
        <v/>
      </c>
      <c r="I78" s="28" t="str">
        <f t="shared" si="4"/>
        <v/>
      </c>
      <c r="J78" s="28" t="str">
        <f t="shared" si="5"/>
        <v/>
      </c>
      <c r="K78" s="18"/>
    </row>
    <row r="79" spans="1:11" x14ac:dyDescent="0.25">
      <c r="A79" s="18"/>
      <c r="B79" s="18"/>
      <c r="C79" s="18"/>
      <c r="D79" s="29" t="str">
        <f>IF(A79="","",COUNTIFS(Ventes!$D$6:$D$505,A79,Ventes!$M$6:$M$505,"Livrée et payée"))</f>
        <v/>
      </c>
      <c r="E79" s="25" t="str">
        <f>IF(A79="","",SUMIFS(Ventes!$K$6:$K$505,Ventes!$D$6:$D$505,A79,Ventes!$M$6:$M$505,"Livrée et payée"))</f>
        <v/>
      </c>
      <c r="F79" s="42" t="str">
        <f>IF(A79="","",IF(D79=0,"",_xlfn.MAXIFS(Ventes!$B$6:$B$505,Ventes!$D$6:$D$505,A79,Ventes!$M$6:$M$505,"Livrée et payée")))</f>
        <v/>
      </c>
      <c r="G79" s="29" t="str">
        <f t="shared" ca="1" si="3"/>
        <v/>
      </c>
      <c r="H79" s="29" t="str">
        <f>IF(A79="","",COUNTIFS(Ventes!$D$6:$D$505,A79,Ventes!$M$6:$M$505,"Annulée"))</f>
        <v/>
      </c>
      <c r="I79" s="28" t="str">
        <f t="shared" si="4"/>
        <v/>
      </c>
      <c r="J79" s="28" t="str">
        <f t="shared" si="5"/>
        <v/>
      </c>
      <c r="K79" s="18"/>
    </row>
    <row r="80" spans="1:11" x14ac:dyDescent="0.25">
      <c r="A80" s="18"/>
      <c r="B80" s="18"/>
      <c r="C80" s="18"/>
      <c r="D80" s="29" t="str">
        <f>IF(A80="","",COUNTIFS(Ventes!$D$6:$D$505,A80,Ventes!$M$6:$M$505,"Livrée et payée"))</f>
        <v/>
      </c>
      <c r="E80" s="25" t="str">
        <f>IF(A80="","",SUMIFS(Ventes!$K$6:$K$505,Ventes!$D$6:$D$505,A80,Ventes!$M$6:$M$505,"Livrée et payée"))</f>
        <v/>
      </c>
      <c r="F80" s="42" t="str">
        <f>IF(A80="","",IF(D80=0,"",_xlfn.MAXIFS(Ventes!$B$6:$B$505,Ventes!$D$6:$D$505,A80,Ventes!$M$6:$M$505,"Livrée et payée")))</f>
        <v/>
      </c>
      <c r="G80" s="29" t="str">
        <f t="shared" ca="1" si="3"/>
        <v/>
      </c>
      <c r="H80" s="29" t="str">
        <f>IF(A80="","",COUNTIFS(Ventes!$D$6:$D$505,A80,Ventes!$M$6:$M$505,"Annulée"))</f>
        <v/>
      </c>
      <c r="I80" s="28" t="str">
        <f t="shared" si="4"/>
        <v/>
      </c>
      <c r="J80" s="28" t="str">
        <f t="shared" si="5"/>
        <v/>
      </c>
      <c r="K80" s="18"/>
    </row>
    <row r="81" spans="1:11" x14ac:dyDescent="0.25">
      <c r="A81" s="18"/>
      <c r="B81" s="18"/>
      <c r="C81" s="18"/>
      <c r="D81" s="29" t="str">
        <f>IF(A81="","",COUNTIFS(Ventes!$D$6:$D$505,A81,Ventes!$M$6:$M$505,"Livrée et payée"))</f>
        <v/>
      </c>
      <c r="E81" s="25" t="str">
        <f>IF(A81="","",SUMIFS(Ventes!$K$6:$K$505,Ventes!$D$6:$D$505,A81,Ventes!$M$6:$M$505,"Livrée et payée"))</f>
        <v/>
      </c>
      <c r="F81" s="42" t="str">
        <f>IF(A81="","",IF(D81=0,"",_xlfn.MAXIFS(Ventes!$B$6:$B$505,Ventes!$D$6:$D$505,A81,Ventes!$M$6:$M$505,"Livrée et payée")))</f>
        <v/>
      </c>
      <c r="G81" s="29" t="str">
        <f t="shared" ca="1" si="3"/>
        <v/>
      </c>
      <c r="H81" s="29" t="str">
        <f>IF(A81="","",COUNTIFS(Ventes!$D$6:$D$505,A81,Ventes!$M$6:$M$505,"Annulée"))</f>
        <v/>
      </c>
      <c r="I81" s="28" t="str">
        <f t="shared" si="4"/>
        <v/>
      </c>
      <c r="J81" s="28" t="str">
        <f t="shared" si="5"/>
        <v/>
      </c>
      <c r="K81" s="18"/>
    </row>
    <row r="82" spans="1:11" x14ac:dyDescent="0.25">
      <c r="A82" s="18"/>
      <c r="B82" s="18"/>
      <c r="C82" s="18"/>
      <c r="D82" s="29" t="str">
        <f>IF(A82="","",COUNTIFS(Ventes!$D$6:$D$505,A82,Ventes!$M$6:$M$505,"Livrée et payée"))</f>
        <v/>
      </c>
      <c r="E82" s="25" t="str">
        <f>IF(A82="","",SUMIFS(Ventes!$K$6:$K$505,Ventes!$D$6:$D$505,A82,Ventes!$M$6:$M$505,"Livrée et payée"))</f>
        <v/>
      </c>
      <c r="F82" s="42" t="str">
        <f>IF(A82="","",IF(D82=0,"",_xlfn.MAXIFS(Ventes!$B$6:$B$505,Ventes!$D$6:$D$505,A82,Ventes!$M$6:$M$505,"Livrée et payée")))</f>
        <v/>
      </c>
      <c r="G82" s="29" t="str">
        <f t="shared" ca="1" si="3"/>
        <v/>
      </c>
      <c r="H82" s="29" t="str">
        <f>IF(A82="","",COUNTIFS(Ventes!$D$6:$D$505,A82,Ventes!$M$6:$M$505,"Annulée"))</f>
        <v/>
      </c>
      <c r="I82" s="28" t="str">
        <f t="shared" si="4"/>
        <v/>
      </c>
      <c r="J82" s="28" t="str">
        <f t="shared" si="5"/>
        <v/>
      </c>
      <c r="K82" s="18"/>
    </row>
    <row r="83" spans="1:11" x14ac:dyDescent="0.25">
      <c r="A83" s="18"/>
      <c r="B83" s="18"/>
      <c r="C83" s="18"/>
      <c r="D83" s="29" t="str">
        <f>IF(A83="","",COUNTIFS(Ventes!$D$6:$D$505,A83,Ventes!$M$6:$M$505,"Livrée et payée"))</f>
        <v/>
      </c>
      <c r="E83" s="25" t="str">
        <f>IF(A83="","",SUMIFS(Ventes!$K$6:$K$505,Ventes!$D$6:$D$505,A83,Ventes!$M$6:$M$505,"Livrée et payée"))</f>
        <v/>
      </c>
      <c r="F83" s="42" t="str">
        <f>IF(A83="","",IF(D83=0,"",_xlfn.MAXIFS(Ventes!$B$6:$B$505,Ventes!$D$6:$D$505,A83,Ventes!$M$6:$M$505,"Livrée et payée")))</f>
        <v/>
      </c>
      <c r="G83" s="29" t="str">
        <f t="shared" ca="1" si="3"/>
        <v/>
      </c>
      <c r="H83" s="29" t="str">
        <f>IF(A83="","",COUNTIFS(Ventes!$D$6:$D$505,A83,Ventes!$M$6:$M$505,"Annulée"))</f>
        <v/>
      </c>
      <c r="I83" s="28" t="str">
        <f t="shared" si="4"/>
        <v/>
      </c>
      <c r="J83" s="28" t="str">
        <f t="shared" si="5"/>
        <v/>
      </c>
      <c r="K83" s="18"/>
    </row>
    <row r="84" spans="1:11" x14ac:dyDescent="0.25">
      <c r="A84" s="18"/>
      <c r="B84" s="18"/>
      <c r="C84" s="18"/>
      <c r="D84" s="29" t="str">
        <f>IF(A84="","",COUNTIFS(Ventes!$D$6:$D$505,A84,Ventes!$M$6:$M$505,"Livrée et payée"))</f>
        <v/>
      </c>
      <c r="E84" s="25" t="str">
        <f>IF(A84="","",SUMIFS(Ventes!$K$6:$K$505,Ventes!$D$6:$D$505,A84,Ventes!$M$6:$M$505,"Livrée et payée"))</f>
        <v/>
      </c>
      <c r="F84" s="42" t="str">
        <f>IF(A84="","",IF(D84=0,"",_xlfn.MAXIFS(Ventes!$B$6:$B$505,Ventes!$D$6:$D$505,A84,Ventes!$M$6:$M$505,"Livrée et payée")))</f>
        <v/>
      </c>
      <c r="G84" s="29" t="str">
        <f t="shared" ca="1" si="3"/>
        <v/>
      </c>
      <c r="H84" s="29" t="str">
        <f>IF(A84="","",COUNTIFS(Ventes!$D$6:$D$505,A84,Ventes!$M$6:$M$505,"Annulée"))</f>
        <v/>
      </c>
      <c r="I84" s="28" t="str">
        <f t="shared" si="4"/>
        <v/>
      </c>
      <c r="J84" s="28" t="str">
        <f t="shared" si="5"/>
        <v/>
      </c>
      <c r="K84" s="18"/>
    </row>
    <row r="85" spans="1:11" x14ac:dyDescent="0.25">
      <c r="A85" s="18"/>
      <c r="B85" s="18"/>
      <c r="C85" s="18"/>
      <c r="D85" s="29" t="str">
        <f>IF(A85="","",COUNTIFS(Ventes!$D$6:$D$505,A85,Ventes!$M$6:$M$505,"Livrée et payée"))</f>
        <v/>
      </c>
      <c r="E85" s="25" t="str">
        <f>IF(A85="","",SUMIFS(Ventes!$K$6:$K$505,Ventes!$D$6:$D$505,A85,Ventes!$M$6:$M$505,"Livrée et payée"))</f>
        <v/>
      </c>
      <c r="F85" s="42" t="str">
        <f>IF(A85="","",IF(D85=0,"",_xlfn.MAXIFS(Ventes!$B$6:$B$505,Ventes!$D$6:$D$505,A85,Ventes!$M$6:$M$505,"Livrée et payée")))</f>
        <v/>
      </c>
      <c r="G85" s="29" t="str">
        <f t="shared" ca="1" si="3"/>
        <v/>
      </c>
      <c r="H85" s="29" t="str">
        <f>IF(A85="","",COUNTIFS(Ventes!$D$6:$D$505,A85,Ventes!$M$6:$M$505,"Annulée"))</f>
        <v/>
      </c>
      <c r="I85" s="28" t="str">
        <f t="shared" si="4"/>
        <v/>
      </c>
      <c r="J85" s="28" t="str">
        <f t="shared" si="5"/>
        <v/>
      </c>
      <c r="K85" s="18"/>
    </row>
    <row r="86" spans="1:11" x14ac:dyDescent="0.25">
      <c r="A86" s="18"/>
      <c r="B86" s="18"/>
      <c r="C86" s="18"/>
      <c r="D86" s="29" t="str">
        <f>IF(A86="","",COUNTIFS(Ventes!$D$6:$D$505,A86,Ventes!$M$6:$M$505,"Livrée et payée"))</f>
        <v/>
      </c>
      <c r="E86" s="25" t="str">
        <f>IF(A86="","",SUMIFS(Ventes!$K$6:$K$505,Ventes!$D$6:$D$505,A86,Ventes!$M$6:$M$505,"Livrée et payée"))</f>
        <v/>
      </c>
      <c r="F86" s="42" t="str">
        <f>IF(A86="","",IF(D86=0,"",_xlfn.MAXIFS(Ventes!$B$6:$B$505,Ventes!$D$6:$D$505,A86,Ventes!$M$6:$M$505,"Livrée et payée")))</f>
        <v/>
      </c>
      <c r="G86" s="29" t="str">
        <f t="shared" ca="1" si="3"/>
        <v/>
      </c>
      <c r="H86" s="29" t="str">
        <f>IF(A86="","",COUNTIFS(Ventes!$D$6:$D$505,A86,Ventes!$M$6:$M$505,"Annulée"))</f>
        <v/>
      </c>
      <c r="I86" s="28" t="str">
        <f t="shared" si="4"/>
        <v/>
      </c>
      <c r="J86" s="28" t="str">
        <f t="shared" si="5"/>
        <v/>
      </c>
      <c r="K86" s="18"/>
    </row>
    <row r="87" spans="1:11" x14ac:dyDescent="0.25">
      <c r="A87" s="18"/>
      <c r="B87" s="18"/>
      <c r="C87" s="18"/>
      <c r="D87" s="29" t="str">
        <f>IF(A87="","",COUNTIFS(Ventes!$D$6:$D$505,A87,Ventes!$M$6:$M$505,"Livrée et payée"))</f>
        <v/>
      </c>
      <c r="E87" s="25" t="str">
        <f>IF(A87="","",SUMIFS(Ventes!$K$6:$K$505,Ventes!$D$6:$D$505,A87,Ventes!$M$6:$M$505,"Livrée et payée"))</f>
        <v/>
      </c>
      <c r="F87" s="42" t="str">
        <f>IF(A87="","",IF(D87=0,"",_xlfn.MAXIFS(Ventes!$B$6:$B$505,Ventes!$D$6:$D$505,A87,Ventes!$M$6:$M$505,"Livrée et payée")))</f>
        <v/>
      </c>
      <c r="G87" s="29" t="str">
        <f t="shared" ca="1" si="3"/>
        <v/>
      </c>
      <c r="H87" s="29" t="str">
        <f>IF(A87="","",COUNTIFS(Ventes!$D$6:$D$505,A87,Ventes!$M$6:$M$505,"Annulée"))</f>
        <v/>
      </c>
      <c r="I87" s="28" t="str">
        <f t="shared" si="4"/>
        <v/>
      </c>
      <c r="J87" s="28" t="str">
        <f t="shared" si="5"/>
        <v/>
      </c>
      <c r="K87" s="18"/>
    </row>
    <row r="88" spans="1:11" x14ac:dyDescent="0.25">
      <c r="A88" s="18"/>
      <c r="B88" s="18"/>
      <c r="C88" s="18"/>
      <c r="D88" s="29" t="str">
        <f>IF(A88="","",COUNTIFS(Ventes!$D$6:$D$505,A88,Ventes!$M$6:$M$505,"Livrée et payée"))</f>
        <v/>
      </c>
      <c r="E88" s="25" t="str">
        <f>IF(A88="","",SUMIFS(Ventes!$K$6:$K$505,Ventes!$D$6:$D$505,A88,Ventes!$M$6:$M$505,"Livrée et payée"))</f>
        <v/>
      </c>
      <c r="F88" s="42" t="str">
        <f>IF(A88="","",IF(D88=0,"",_xlfn.MAXIFS(Ventes!$B$6:$B$505,Ventes!$D$6:$D$505,A88,Ventes!$M$6:$M$505,"Livrée et payée")))</f>
        <v/>
      </c>
      <c r="G88" s="29" t="str">
        <f t="shared" ca="1" si="3"/>
        <v/>
      </c>
      <c r="H88" s="29" t="str">
        <f>IF(A88="","",COUNTIFS(Ventes!$D$6:$D$505,A88,Ventes!$M$6:$M$505,"Annulée"))</f>
        <v/>
      </c>
      <c r="I88" s="28" t="str">
        <f t="shared" si="4"/>
        <v/>
      </c>
      <c r="J88" s="28" t="str">
        <f t="shared" si="5"/>
        <v/>
      </c>
      <c r="K88" s="18"/>
    </row>
    <row r="89" spans="1:11" x14ac:dyDescent="0.25">
      <c r="A89" s="18"/>
      <c r="B89" s="18"/>
      <c r="C89" s="18"/>
      <c r="D89" s="29" t="str">
        <f>IF(A89="","",COUNTIFS(Ventes!$D$6:$D$505,A89,Ventes!$M$6:$M$505,"Livrée et payée"))</f>
        <v/>
      </c>
      <c r="E89" s="25" t="str">
        <f>IF(A89="","",SUMIFS(Ventes!$K$6:$K$505,Ventes!$D$6:$D$505,A89,Ventes!$M$6:$M$505,"Livrée et payée"))</f>
        <v/>
      </c>
      <c r="F89" s="42" t="str">
        <f>IF(A89="","",IF(D89=0,"",_xlfn.MAXIFS(Ventes!$B$6:$B$505,Ventes!$D$6:$D$505,A89,Ventes!$M$6:$M$505,"Livrée et payée")))</f>
        <v/>
      </c>
      <c r="G89" s="29" t="str">
        <f t="shared" ca="1" si="3"/>
        <v/>
      </c>
      <c r="H89" s="29" t="str">
        <f>IF(A89="","",COUNTIFS(Ventes!$D$6:$D$505,A89,Ventes!$M$6:$M$505,"Annulée"))</f>
        <v/>
      </c>
      <c r="I89" s="28" t="str">
        <f t="shared" si="4"/>
        <v/>
      </c>
      <c r="J89" s="28" t="str">
        <f t="shared" si="5"/>
        <v/>
      </c>
      <c r="K89" s="18"/>
    </row>
    <row r="90" spans="1:11" x14ac:dyDescent="0.25">
      <c r="A90" s="18"/>
      <c r="B90" s="18"/>
      <c r="C90" s="18"/>
      <c r="D90" s="29" t="str">
        <f>IF(A90="","",COUNTIFS(Ventes!$D$6:$D$505,A90,Ventes!$M$6:$M$505,"Livrée et payée"))</f>
        <v/>
      </c>
      <c r="E90" s="25" t="str">
        <f>IF(A90="","",SUMIFS(Ventes!$K$6:$K$505,Ventes!$D$6:$D$505,A90,Ventes!$M$6:$M$505,"Livrée et payée"))</f>
        <v/>
      </c>
      <c r="F90" s="42" t="str">
        <f>IF(A90="","",IF(D90=0,"",_xlfn.MAXIFS(Ventes!$B$6:$B$505,Ventes!$D$6:$D$505,A90,Ventes!$M$6:$M$505,"Livrée et payée")))</f>
        <v/>
      </c>
      <c r="G90" s="29" t="str">
        <f t="shared" ca="1" si="3"/>
        <v/>
      </c>
      <c r="H90" s="29" t="str">
        <f>IF(A90="","",COUNTIFS(Ventes!$D$6:$D$505,A90,Ventes!$M$6:$M$505,"Annulée"))</f>
        <v/>
      </c>
      <c r="I90" s="28" t="str">
        <f t="shared" si="4"/>
        <v/>
      </c>
      <c r="J90" s="28" t="str">
        <f t="shared" si="5"/>
        <v/>
      </c>
      <c r="K90" s="18"/>
    </row>
    <row r="91" spans="1:11" x14ac:dyDescent="0.25">
      <c r="A91" s="18"/>
      <c r="B91" s="18"/>
      <c r="C91" s="18"/>
      <c r="D91" s="29" t="str">
        <f>IF(A91="","",COUNTIFS(Ventes!$D$6:$D$505,A91,Ventes!$M$6:$M$505,"Livrée et payée"))</f>
        <v/>
      </c>
      <c r="E91" s="25" t="str">
        <f>IF(A91="","",SUMIFS(Ventes!$K$6:$K$505,Ventes!$D$6:$D$505,A91,Ventes!$M$6:$M$505,"Livrée et payée"))</f>
        <v/>
      </c>
      <c r="F91" s="42" t="str">
        <f>IF(A91="","",IF(D91=0,"",_xlfn.MAXIFS(Ventes!$B$6:$B$505,Ventes!$D$6:$D$505,A91,Ventes!$M$6:$M$505,"Livrée et payée")))</f>
        <v/>
      </c>
      <c r="G91" s="29" t="str">
        <f t="shared" ca="1" si="3"/>
        <v/>
      </c>
      <c r="H91" s="29" t="str">
        <f>IF(A91="","",COUNTIFS(Ventes!$D$6:$D$505,A91,Ventes!$M$6:$M$505,"Annulée"))</f>
        <v/>
      </c>
      <c r="I91" s="28" t="str">
        <f t="shared" si="4"/>
        <v/>
      </c>
      <c r="J91" s="28" t="str">
        <f t="shared" si="5"/>
        <v/>
      </c>
      <c r="K91" s="18"/>
    </row>
    <row r="92" spans="1:11" x14ac:dyDescent="0.25">
      <c r="A92" s="18"/>
      <c r="B92" s="18"/>
      <c r="C92" s="18"/>
      <c r="D92" s="29" t="str">
        <f>IF(A92="","",COUNTIFS(Ventes!$D$6:$D$505,A92,Ventes!$M$6:$M$505,"Livrée et payée"))</f>
        <v/>
      </c>
      <c r="E92" s="25" t="str">
        <f>IF(A92="","",SUMIFS(Ventes!$K$6:$K$505,Ventes!$D$6:$D$505,A92,Ventes!$M$6:$M$505,"Livrée et payée"))</f>
        <v/>
      </c>
      <c r="F92" s="42" t="str">
        <f>IF(A92="","",IF(D92=0,"",_xlfn.MAXIFS(Ventes!$B$6:$B$505,Ventes!$D$6:$D$505,A92,Ventes!$M$6:$M$505,"Livrée et payée")))</f>
        <v/>
      </c>
      <c r="G92" s="29" t="str">
        <f t="shared" ca="1" si="3"/>
        <v/>
      </c>
      <c r="H92" s="29" t="str">
        <f>IF(A92="","",COUNTIFS(Ventes!$D$6:$D$505,A92,Ventes!$M$6:$M$505,"Annulée"))</f>
        <v/>
      </c>
      <c r="I92" s="28" t="str">
        <f t="shared" si="4"/>
        <v/>
      </c>
      <c r="J92" s="28" t="str">
        <f t="shared" si="5"/>
        <v/>
      </c>
      <c r="K92" s="18"/>
    </row>
    <row r="93" spans="1:11" x14ac:dyDescent="0.25">
      <c r="A93" s="18"/>
      <c r="B93" s="18"/>
      <c r="C93" s="18"/>
      <c r="D93" s="29" t="str">
        <f>IF(A93="","",COUNTIFS(Ventes!$D$6:$D$505,A93,Ventes!$M$6:$M$505,"Livrée et payée"))</f>
        <v/>
      </c>
      <c r="E93" s="25" t="str">
        <f>IF(A93="","",SUMIFS(Ventes!$K$6:$K$505,Ventes!$D$6:$D$505,A93,Ventes!$M$6:$M$505,"Livrée et payée"))</f>
        <v/>
      </c>
      <c r="F93" s="42" t="str">
        <f>IF(A93="","",IF(D93=0,"",_xlfn.MAXIFS(Ventes!$B$6:$B$505,Ventes!$D$6:$D$505,A93,Ventes!$M$6:$M$505,"Livrée et payée")))</f>
        <v/>
      </c>
      <c r="G93" s="29" t="str">
        <f t="shared" ca="1" si="3"/>
        <v/>
      </c>
      <c r="H93" s="29" t="str">
        <f>IF(A93="","",COUNTIFS(Ventes!$D$6:$D$505,A93,Ventes!$M$6:$M$505,"Annulée"))</f>
        <v/>
      </c>
      <c r="I93" s="28" t="str">
        <f t="shared" si="4"/>
        <v/>
      </c>
      <c r="J93" s="28" t="str">
        <f t="shared" si="5"/>
        <v/>
      </c>
      <c r="K93" s="18"/>
    </row>
    <row r="94" spans="1:11" x14ac:dyDescent="0.25">
      <c r="A94" s="18"/>
      <c r="B94" s="18"/>
      <c r="C94" s="18"/>
      <c r="D94" s="29" t="str">
        <f>IF(A94="","",COUNTIFS(Ventes!$D$6:$D$505,A94,Ventes!$M$6:$M$505,"Livrée et payée"))</f>
        <v/>
      </c>
      <c r="E94" s="25" t="str">
        <f>IF(A94="","",SUMIFS(Ventes!$K$6:$K$505,Ventes!$D$6:$D$505,A94,Ventes!$M$6:$M$505,"Livrée et payée"))</f>
        <v/>
      </c>
      <c r="F94" s="42" t="str">
        <f>IF(A94="","",IF(D94=0,"",_xlfn.MAXIFS(Ventes!$B$6:$B$505,Ventes!$D$6:$D$505,A94,Ventes!$M$6:$M$505,"Livrée et payée")))</f>
        <v/>
      </c>
      <c r="G94" s="29" t="str">
        <f t="shared" ca="1" si="3"/>
        <v/>
      </c>
      <c r="H94" s="29" t="str">
        <f>IF(A94="","",COUNTIFS(Ventes!$D$6:$D$505,A94,Ventes!$M$6:$M$505,"Annulée"))</f>
        <v/>
      </c>
      <c r="I94" s="28" t="str">
        <f t="shared" si="4"/>
        <v/>
      </c>
      <c r="J94" s="28" t="str">
        <f t="shared" si="5"/>
        <v/>
      </c>
      <c r="K94" s="18"/>
    </row>
    <row r="95" spans="1:11" x14ac:dyDescent="0.25">
      <c r="A95" s="18"/>
      <c r="B95" s="18"/>
      <c r="C95" s="18"/>
      <c r="D95" s="29" t="str">
        <f>IF(A95="","",COUNTIFS(Ventes!$D$6:$D$505,A95,Ventes!$M$6:$M$505,"Livrée et payée"))</f>
        <v/>
      </c>
      <c r="E95" s="25" t="str">
        <f>IF(A95="","",SUMIFS(Ventes!$K$6:$K$505,Ventes!$D$6:$D$505,A95,Ventes!$M$6:$M$505,"Livrée et payée"))</f>
        <v/>
      </c>
      <c r="F95" s="42" t="str">
        <f>IF(A95="","",IF(D95=0,"",_xlfn.MAXIFS(Ventes!$B$6:$B$505,Ventes!$D$6:$D$505,A95,Ventes!$M$6:$M$505,"Livrée et payée")))</f>
        <v/>
      </c>
      <c r="G95" s="29" t="str">
        <f t="shared" ca="1" si="3"/>
        <v/>
      </c>
      <c r="H95" s="29" t="str">
        <f>IF(A95="","",COUNTIFS(Ventes!$D$6:$D$505,A95,Ventes!$M$6:$M$505,"Annulée"))</f>
        <v/>
      </c>
      <c r="I95" s="28" t="str">
        <f t="shared" si="4"/>
        <v/>
      </c>
      <c r="J95" s="28" t="str">
        <f t="shared" si="5"/>
        <v/>
      </c>
      <c r="K95" s="18"/>
    </row>
    <row r="96" spans="1:11" x14ac:dyDescent="0.25">
      <c r="A96" s="18"/>
      <c r="B96" s="18"/>
      <c r="C96" s="18"/>
      <c r="D96" s="29" t="str">
        <f>IF(A96="","",COUNTIFS(Ventes!$D$6:$D$505,A96,Ventes!$M$6:$M$505,"Livrée et payée"))</f>
        <v/>
      </c>
      <c r="E96" s="25" t="str">
        <f>IF(A96="","",SUMIFS(Ventes!$K$6:$K$505,Ventes!$D$6:$D$505,A96,Ventes!$M$6:$M$505,"Livrée et payée"))</f>
        <v/>
      </c>
      <c r="F96" s="42" t="str">
        <f>IF(A96="","",IF(D96=0,"",_xlfn.MAXIFS(Ventes!$B$6:$B$505,Ventes!$D$6:$D$505,A96,Ventes!$M$6:$M$505,"Livrée et payée")))</f>
        <v/>
      </c>
      <c r="G96" s="29" t="str">
        <f t="shared" ca="1" si="3"/>
        <v/>
      </c>
      <c r="H96" s="29" t="str">
        <f>IF(A96="","",COUNTIFS(Ventes!$D$6:$D$505,A96,Ventes!$M$6:$M$505,"Annulée"))</f>
        <v/>
      </c>
      <c r="I96" s="28" t="str">
        <f t="shared" si="4"/>
        <v/>
      </c>
      <c r="J96" s="28" t="str">
        <f t="shared" si="5"/>
        <v/>
      </c>
      <c r="K96" s="18"/>
    </row>
    <row r="97" spans="1:11" x14ac:dyDescent="0.25">
      <c r="A97" s="18"/>
      <c r="B97" s="18"/>
      <c r="C97" s="18"/>
      <c r="D97" s="29" t="str">
        <f>IF(A97="","",COUNTIFS(Ventes!$D$6:$D$505,A97,Ventes!$M$6:$M$505,"Livrée et payée"))</f>
        <v/>
      </c>
      <c r="E97" s="25" t="str">
        <f>IF(A97="","",SUMIFS(Ventes!$K$6:$K$505,Ventes!$D$6:$D$505,A97,Ventes!$M$6:$M$505,"Livrée et payée"))</f>
        <v/>
      </c>
      <c r="F97" s="42" t="str">
        <f>IF(A97="","",IF(D97=0,"",_xlfn.MAXIFS(Ventes!$B$6:$B$505,Ventes!$D$6:$D$505,A97,Ventes!$M$6:$M$505,"Livrée et payée")))</f>
        <v/>
      </c>
      <c r="G97" s="29" t="str">
        <f t="shared" ca="1" si="3"/>
        <v/>
      </c>
      <c r="H97" s="29" t="str">
        <f>IF(A97="","",COUNTIFS(Ventes!$D$6:$D$505,A97,Ventes!$M$6:$M$505,"Annulée"))</f>
        <v/>
      </c>
      <c r="I97" s="28" t="str">
        <f t="shared" si="4"/>
        <v/>
      </c>
      <c r="J97" s="28" t="str">
        <f t="shared" si="5"/>
        <v/>
      </c>
      <c r="K97" s="18"/>
    </row>
    <row r="98" spans="1:11" x14ac:dyDescent="0.25">
      <c r="A98" s="18"/>
      <c r="B98" s="18"/>
      <c r="C98" s="18"/>
      <c r="D98" s="29" t="str">
        <f>IF(A98="","",COUNTIFS(Ventes!$D$6:$D$505,A98,Ventes!$M$6:$M$505,"Livrée et payée"))</f>
        <v/>
      </c>
      <c r="E98" s="25" t="str">
        <f>IF(A98="","",SUMIFS(Ventes!$K$6:$K$505,Ventes!$D$6:$D$505,A98,Ventes!$M$6:$M$505,"Livrée et payée"))</f>
        <v/>
      </c>
      <c r="F98" s="42" t="str">
        <f>IF(A98="","",IF(D98=0,"",_xlfn.MAXIFS(Ventes!$B$6:$B$505,Ventes!$D$6:$D$505,A98,Ventes!$M$6:$M$505,"Livrée et payée")))</f>
        <v/>
      </c>
      <c r="G98" s="29" t="str">
        <f t="shared" ca="1" si="3"/>
        <v/>
      </c>
      <c r="H98" s="29" t="str">
        <f>IF(A98="","",COUNTIFS(Ventes!$D$6:$D$505,A98,Ventes!$M$6:$M$505,"Annulée"))</f>
        <v/>
      </c>
      <c r="I98" s="28" t="str">
        <f t="shared" si="4"/>
        <v/>
      </c>
      <c r="J98" s="28" t="str">
        <f t="shared" si="5"/>
        <v/>
      </c>
      <c r="K98" s="18"/>
    </row>
    <row r="99" spans="1:11" x14ac:dyDescent="0.25">
      <c r="A99" s="18"/>
      <c r="B99" s="18"/>
      <c r="C99" s="18"/>
      <c r="D99" s="29" t="str">
        <f>IF(A99="","",COUNTIFS(Ventes!$D$6:$D$505,A99,Ventes!$M$6:$M$505,"Livrée et payée"))</f>
        <v/>
      </c>
      <c r="E99" s="25" t="str">
        <f>IF(A99="","",SUMIFS(Ventes!$K$6:$K$505,Ventes!$D$6:$D$505,A99,Ventes!$M$6:$M$505,"Livrée et payée"))</f>
        <v/>
      </c>
      <c r="F99" s="42" t="str">
        <f>IF(A99="","",IF(D99=0,"",_xlfn.MAXIFS(Ventes!$B$6:$B$505,Ventes!$D$6:$D$505,A99,Ventes!$M$6:$M$505,"Livrée et payée")))</f>
        <v/>
      </c>
      <c r="G99" s="29" t="str">
        <f t="shared" ca="1" si="3"/>
        <v/>
      </c>
      <c r="H99" s="29" t="str">
        <f>IF(A99="","",COUNTIFS(Ventes!$D$6:$D$505,A99,Ventes!$M$6:$M$505,"Annulée"))</f>
        <v/>
      </c>
      <c r="I99" s="28" t="str">
        <f t="shared" si="4"/>
        <v/>
      </c>
      <c r="J99" s="28" t="str">
        <f t="shared" si="5"/>
        <v/>
      </c>
      <c r="K99" s="18"/>
    </row>
    <row r="100" spans="1:11" x14ac:dyDescent="0.25">
      <c r="A100" s="18"/>
      <c r="B100" s="18"/>
      <c r="C100" s="18"/>
      <c r="D100" s="29" t="str">
        <f>IF(A100="","",COUNTIFS(Ventes!$D$6:$D$505,A100,Ventes!$M$6:$M$505,"Livrée et payée"))</f>
        <v/>
      </c>
      <c r="E100" s="25" t="str">
        <f>IF(A100="","",SUMIFS(Ventes!$K$6:$K$505,Ventes!$D$6:$D$505,A100,Ventes!$M$6:$M$505,"Livrée et payée"))</f>
        <v/>
      </c>
      <c r="F100" s="42" t="str">
        <f>IF(A100="","",IF(D100=0,"",_xlfn.MAXIFS(Ventes!$B$6:$B$505,Ventes!$D$6:$D$505,A100,Ventes!$M$6:$M$505,"Livrée et payée")))</f>
        <v/>
      </c>
      <c r="G100" s="29" t="str">
        <f t="shared" ca="1" si="3"/>
        <v/>
      </c>
      <c r="H100" s="29" t="str">
        <f>IF(A100="","",COUNTIFS(Ventes!$D$6:$D$505,A100,Ventes!$M$6:$M$505,"Annulée"))</f>
        <v/>
      </c>
      <c r="I100" s="28" t="str">
        <f t="shared" si="4"/>
        <v/>
      </c>
      <c r="J100" s="28" t="str">
        <f t="shared" si="5"/>
        <v/>
      </c>
      <c r="K100" s="18"/>
    </row>
    <row r="101" spans="1:11" x14ac:dyDescent="0.25">
      <c r="A101" s="18"/>
      <c r="B101" s="18"/>
      <c r="C101" s="18"/>
      <c r="D101" s="29" t="str">
        <f>IF(A101="","",COUNTIFS(Ventes!$D$6:$D$505,A101,Ventes!$M$6:$M$505,"Livrée et payée"))</f>
        <v/>
      </c>
      <c r="E101" s="25" t="str">
        <f>IF(A101="","",SUMIFS(Ventes!$K$6:$K$505,Ventes!$D$6:$D$505,A101,Ventes!$M$6:$M$505,"Livrée et payée"))</f>
        <v/>
      </c>
      <c r="F101" s="42" t="str">
        <f>IF(A101="","",IF(D101=0,"",_xlfn.MAXIFS(Ventes!$B$6:$B$505,Ventes!$D$6:$D$505,A101,Ventes!$M$6:$M$505,"Livrée et payée")))</f>
        <v/>
      </c>
      <c r="G101" s="29" t="str">
        <f t="shared" ca="1" si="3"/>
        <v/>
      </c>
      <c r="H101" s="29" t="str">
        <f>IF(A101="","",COUNTIFS(Ventes!$D$6:$D$505,A101,Ventes!$M$6:$M$505,"Annulée"))</f>
        <v/>
      </c>
      <c r="I101" s="28" t="str">
        <f t="shared" si="4"/>
        <v/>
      </c>
      <c r="J101" s="28" t="str">
        <f t="shared" si="5"/>
        <v/>
      </c>
      <c r="K101" s="18"/>
    </row>
    <row r="102" spans="1:11" x14ac:dyDescent="0.25">
      <c r="A102" s="18"/>
      <c r="B102" s="18"/>
      <c r="C102" s="18"/>
      <c r="D102" s="29" t="str">
        <f>IF(A102="","",COUNTIFS(Ventes!$D$6:$D$505,A102,Ventes!$M$6:$M$505,"Livrée et payée"))</f>
        <v/>
      </c>
      <c r="E102" s="25" t="str">
        <f>IF(A102="","",SUMIFS(Ventes!$K$6:$K$505,Ventes!$D$6:$D$505,A102,Ventes!$M$6:$M$505,"Livrée et payée"))</f>
        <v/>
      </c>
      <c r="F102" s="42" t="str">
        <f>IF(A102="","",IF(D102=0,"",_xlfn.MAXIFS(Ventes!$B$6:$B$505,Ventes!$D$6:$D$505,A102,Ventes!$M$6:$M$505,"Livrée et payée")))</f>
        <v/>
      </c>
      <c r="G102" s="29" t="str">
        <f t="shared" ca="1" si="3"/>
        <v/>
      </c>
      <c r="H102" s="29" t="str">
        <f>IF(A102="","",COUNTIFS(Ventes!$D$6:$D$505,A102,Ventes!$M$6:$M$505,"Annulée"))</f>
        <v/>
      </c>
      <c r="I102" s="28" t="str">
        <f t="shared" si="4"/>
        <v/>
      </c>
      <c r="J102" s="28" t="str">
        <f t="shared" si="5"/>
        <v/>
      </c>
      <c r="K102" s="18"/>
    </row>
    <row r="103" spans="1:11" x14ac:dyDescent="0.25">
      <c r="A103" s="18"/>
      <c r="B103" s="18"/>
      <c r="C103" s="18"/>
      <c r="D103" s="29" t="str">
        <f>IF(A103="","",COUNTIFS(Ventes!$D$6:$D$505,A103,Ventes!$M$6:$M$505,"Livrée et payée"))</f>
        <v/>
      </c>
      <c r="E103" s="25" t="str">
        <f>IF(A103="","",SUMIFS(Ventes!$K$6:$K$505,Ventes!$D$6:$D$505,A103,Ventes!$M$6:$M$505,"Livrée et payée"))</f>
        <v/>
      </c>
      <c r="F103" s="42" t="str">
        <f>IF(A103="","",IF(D103=0,"",_xlfn.MAXIFS(Ventes!$B$6:$B$505,Ventes!$D$6:$D$505,A103,Ventes!$M$6:$M$505,"Livrée et payée")))</f>
        <v/>
      </c>
      <c r="G103" s="29" t="str">
        <f t="shared" ca="1" si="3"/>
        <v/>
      </c>
      <c r="H103" s="29" t="str">
        <f>IF(A103="","",COUNTIFS(Ventes!$D$6:$D$505,A103,Ventes!$M$6:$M$505,"Annulée"))</f>
        <v/>
      </c>
      <c r="I103" s="28" t="str">
        <f t="shared" si="4"/>
        <v/>
      </c>
      <c r="J103" s="28" t="str">
        <f t="shared" si="5"/>
        <v/>
      </c>
      <c r="K103" s="18"/>
    </row>
    <row r="104" spans="1:11" x14ac:dyDescent="0.25">
      <c r="A104" s="18"/>
      <c r="B104" s="18"/>
      <c r="C104" s="18"/>
      <c r="D104" s="29" t="str">
        <f>IF(A104="","",COUNTIFS(Ventes!$D$6:$D$505,A104,Ventes!$M$6:$M$505,"Livrée et payée"))</f>
        <v/>
      </c>
      <c r="E104" s="25" t="str">
        <f>IF(A104="","",SUMIFS(Ventes!$K$6:$K$505,Ventes!$D$6:$D$505,A104,Ventes!$M$6:$M$505,"Livrée et payée"))</f>
        <v/>
      </c>
      <c r="F104" s="42" t="str">
        <f>IF(A104="","",IF(D104=0,"",_xlfn.MAXIFS(Ventes!$B$6:$B$505,Ventes!$D$6:$D$505,A104,Ventes!$M$6:$M$505,"Livrée et payée")))</f>
        <v/>
      </c>
      <c r="G104" s="29" t="str">
        <f t="shared" ca="1" si="3"/>
        <v/>
      </c>
      <c r="H104" s="29" t="str">
        <f>IF(A104="","",COUNTIFS(Ventes!$D$6:$D$505,A104,Ventes!$M$6:$M$505,"Annulée"))</f>
        <v/>
      </c>
      <c r="I104" s="28" t="str">
        <f t="shared" si="4"/>
        <v/>
      </c>
      <c r="J104" s="28" t="str">
        <f t="shared" si="5"/>
        <v/>
      </c>
      <c r="K104" s="18"/>
    </row>
    <row r="105" spans="1:11" x14ac:dyDescent="0.25">
      <c r="A105" s="18"/>
      <c r="B105" s="18"/>
      <c r="C105" s="18"/>
      <c r="D105" s="29" t="str">
        <f>IF(A105="","",COUNTIFS(Ventes!$D$6:$D$505,A105,Ventes!$M$6:$M$505,"Livrée et payée"))</f>
        <v/>
      </c>
      <c r="E105" s="25" t="str">
        <f>IF(A105="","",SUMIFS(Ventes!$K$6:$K$505,Ventes!$D$6:$D$505,A105,Ventes!$M$6:$M$505,"Livrée et payée"))</f>
        <v/>
      </c>
      <c r="F105" s="42" t="str">
        <f>IF(A105="","",IF(D105=0,"",_xlfn.MAXIFS(Ventes!$B$6:$B$505,Ventes!$D$6:$D$505,A105,Ventes!$M$6:$M$505,"Livrée et payée")))</f>
        <v/>
      </c>
      <c r="G105" s="29" t="str">
        <f t="shared" ca="1" si="3"/>
        <v/>
      </c>
      <c r="H105" s="29" t="str">
        <f>IF(A105="","",COUNTIFS(Ventes!$D$6:$D$505,A105,Ventes!$M$6:$M$505,"Annulée"))</f>
        <v/>
      </c>
      <c r="I105" s="28" t="str">
        <f t="shared" si="4"/>
        <v/>
      </c>
      <c r="J105" s="28" t="str">
        <f t="shared" si="5"/>
        <v/>
      </c>
      <c r="K105" s="18"/>
    </row>
    <row r="106" spans="1:11" x14ac:dyDescent="0.25">
      <c r="A106" s="18"/>
      <c r="B106" s="18"/>
      <c r="C106" s="18"/>
      <c r="D106" s="29" t="str">
        <f>IF(A106="","",COUNTIFS(Ventes!$D$6:$D$505,A106,Ventes!$M$6:$M$505,"Livrée et payée"))</f>
        <v/>
      </c>
      <c r="E106" s="25" t="str">
        <f>IF(A106="","",SUMIFS(Ventes!$K$6:$K$505,Ventes!$D$6:$D$505,A106,Ventes!$M$6:$M$505,"Livrée et payée"))</f>
        <v/>
      </c>
      <c r="F106" s="42" t="str">
        <f>IF(A106="","",IF(D106=0,"",_xlfn.MAXIFS(Ventes!$B$6:$B$505,Ventes!$D$6:$D$505,A106,Ventes!$M$6:$M$505,"Livrée et payée")))</f>
        <v/>
      </c>
      <c r="G106" s="29" t="str">
        <f t="shared" ca="1" si="3"/>
        <v/>
      </c>
      <c r="H106" s="29" t="str">
        <f>IF(A106="","",COUNTIFS(Ventes!$D$6:$D$505,A106,Ventes!$M$6:$M$505,"Annulée"))</f>
        <v/>
      </c>
      <c r="I106" s="28" t="str">
        <f t="shared" si="4"/>
        <v/>
      </c>
      <c r="J106" s="28" t="str">
        <f t="shared" si="5"/>
        <v/>
      </c>
      <c r="K106" s="18"/>
    </row>
    <row r="107" spans="1:11" x14ac:dyDescent="0.25">
      <c r="A107" s="18"/>
      <c r="B107" s="18"/>
      <c r="C107" s="18"/>
      <c r="D107" s="29" t="str">
        <f>IF(A107="","",COUNTIFS(Ventes!$D$6:$D$505,A107,Ventes!$M$6:$M$505,"Livrée et payée"))</f>
        <v/>
      </c>
      <c r="E107" s="25" t="str">
        <f>IF(A107="","",SUMIFS(Ventes!$K$6:$K$505,Ventes!$D$6:$D$505,A107,Ventes!$M$6:$M$505,"Livrée et payée"))</f>
        <v/>
      </c>
      <c r="F107" s="42" t="str">
        <f>IF(A107="","",IF(D107=0,"",_xlfn.MAXIFS(Ventes!$B$6:$B$505,Ventes!$D$6:$D$505,A107,Ventes!$M$6:$M$505,"Livrée et payée")))</f>
        <v/>
      </c>
      <c r="G107" s="29" t="str">
        <f t="shared" ca="1" si="3"/>
        <v/>
      </c>
      <c r="H107" s="29" t="str">
        <f>IF(A107="","",COUNTIFS(Ventes!$D$6:$D$505,A107,Ventes!$M$6:$M$505,"Annulée"))</f>
        <v/>
      </c>
      <c r="I107" s="28" t="str">
        <f t="shared" si="4"/>
        <v/>
      </c>
      <c r="J107" s="28" t="str">
        <f t="shared" si="5"/>
        <v/>
      </c>
      <c r="K107" s="18"/>
    </row>
    <row r="108" spans="1:11" x14ac:dyDescent="0.25">
      <c r="A108" s="18"/>
      <c r="B108" s="18"/>
      <c r="C108" s="18"/>
      <c r="D108" s="29" t="str">
        <f>IF(A108="","",COUNTIFS(Ventes!$D$6:$D$505,A108,Ventes!$M$6:$M$505,"Livrée et payée"))</f>
        <v/>
      </c>
      <c r="E108" s="25" t="str">
        <f>IF(A108="","",SUMIFS(Ventes!$K$6:$K$505,Ventes!$D$6:$D$505,A108,Ventes!$M$6:$M$505,"Livrée et payée"))</f>
        <v/>
      </c>
      <c r="F108" s="42" t="str">
        <f>IF(A108="","",IF(D108=0,"",_xlfn.MAXIFS(Ventes!$B$6:$B$505,Ventes!$D$6:$D$505,A108,Ventes!$M$6:$M$505,"Livrée et payée")))</f>
        <v/>
      </c>
      <c r="G108" s="29" t="str">
        <f t="shared" ca="1" si="3"/>
        <v/>
      </c>
      <c r="H108" s="29" t="str">
        <f>IF(A108="","",COUNTIFS(Ventes!$D$6:$D$505,A108,Ventes!$M$6:$M$505,"Annulée"))</f>
        <v/>
      </c>
      <c r="I108" s="28" t="str">
        <f t="shared" si="4"/>
        <v/>
      </c>
      <c r="J108" s="28" t="str">
        <f t="shared" si="5"/>
        <v/>
      </c>
      <c r="K108" s="18"/>
    </row>
    <row r="109" spans="1:11" x14ac:dyDescent="0.25">
      <c r="A109" s="18"/>
      <c r="B109" s="18"/>
      <c r="C109" s="18"/>
      <c r="D109" s="29" t="str">
        <f>IF(A109="","",COUNTIFS(Ventes!$D$6:$D$505,A109,Ventes!$M$6:$M$505,"Livrée et payée"))</f>
        <v/>
      </c>
      <c r="E109" s="25" t="str">
        <f>IF(A109="","",SUMIFS(Ventes!$K$6:$K$505,Ventes!$D$6:$D$505,A109,Ventes!$M$6:$M$505,"Livrée et payée"))</f>
        <v/>
      </c>
      <c r="F109" s="42" t="str">
        <f>IF(A109="","",IF(D109=0,"",_xlfn.MAXIFS(Ventes!$B$6:$B$505,Ventes!$D$6:$D$505,A109,Ventes!$M$6:$M$505,"Livrée et payée")))</f>
        <v/>
      </c>
      <c r="G109" s="29" t="str">
        <f t="shared" ca="1" si="3"/>
        <v/>
      </c>
      <c r="H109" s="29" t="str">
        <f>IF(A109="","",COUNTIFS(Ventes!$D$6:$D$505,A109,Ventes!$M$6:$M$505,"Annulée"))</f>
        <v/>
      </c>
      <c r="I109" s="28" t="str">
        <f t="shared" si="4"/>
        <v/>
      </c>
      <c r="J109" s="28" t="str">
        <f t="shared" si="5"/>
        <v/>
      </c>
      <c r="K109" s="18"/>
    </row>
    <row r="110" spans="1:11" x14ac:dyDescent="0.25">
      <c r="A110" s="18"/>
      <c r="B110" s="18"/>
      <c r="C110" s="18"/>
      <c r="D110" s="29" t="str">
        <f>IF(A110="","",COUNTIFS(Ventes!$D$6:$D$505,A110,Ventes!$M$6:$M$505,"Livrée et payée"))</f>
        <v/>
      </c>
      <c r="E110" s="25" t="str">
        <f>IF(A110="","",SUMIFS(Ventes!$K$6:$K$505,Ventes!$D$6:$D$505,A110,Ventes!$M$6:$M$505,"Livrée et payée"))</f>
        <v/>
      </c>
      <c r="F110" s="42" t="str">
        <f>IF(A110="","",IF(D110=0,"",_xlfn.MAXIFS(Ventes!$B$6:$B$505,Ventes!$D$6:$D$505,A110,Ventes!$M$6:$M$505,"Livrée et payée")))</f>
        <v/>
      </c>
      <c r="G110" s="29" t="str">
        <f t="shared" ca="1" si="3"/>
        <v/>
      </c>
      <c r="H110" s="29" t="str">
        <f>IF(A110="","",COUNTIFS(Ventes!$D$6:$D$505,A110,Ventes!$M$6:$M$505,"Annulée"))</f>
        <v/>
      </c>
      <c r="I110" s="28" t="str">
        <f t="shared" si="4"/>
        <v/>
      </c>
      <c r="J110" s="28" t="str">
        <f t="shared" si="5"/>
        <v/>
      </c>
      <c r="K110" s="18"/>
    </row>
    <row r="111" spans="1:11" x14ac:dyDescent="0.25">
      <c r="A111" s="18"/>
      <c r="B111" s="18"/>
      <c r="C111" s="18"/>
      <c r="D111" s="29" t="str">
        <f>IF(A111="","",COUNTIFS(Ventes!$D$6:$D$505,A111,Ventes!$M$6:$M$505,"Livrée et payée"))</f>
        <v/>
      </c>
      <c r="E111" s="25" t="str">
        <f>IF(A111="","",SUMIFS(Ventes!$K$6:$K$505,Ventes!$D$6:$D$505,A111,Ventes!$M$6:$M$505,"Livrée et payée"))</f>
        <v/>
      </c>
      <c r="F111" s="42" t="str">
        <f>IF(A111="","",IF(D111=0,"",_xlfn.MAXIFS(Ventes!$B$6:$B$505,Ventes!$D$6:$D$505,A111,Ventes!$M$6:$M$505,"Livrée et payée")))</f>
        <v/>
      </c>
      <c r="G111" s="29" t="str">
        <f t="shared" ca="1" si="3"/>
        <v/>
      </c>
      <c r="H111" s="29" t="str">
        <f>IF(A111="","",COUNTIFS(Ventes!$D$6:$D$505,A111,Ventes!$M$6:$M$505,"Annulée"))</f>
        <v/>
      </c>
      <c r="I111" s="28" t="str">
        <f t="shared" si="4"/>
        <v/>
      </c>
      <c r="J111" s="28" t="str">
        <f t="shared" si="5"/>
        <v/>
      </c>
      <c r="K111" s="18"/>
    </row>
    <row r="112" spans="1:11" x14ac:dyDescent="0.25">
      <c r="A112" s="18"/>
      <c r="B112" s="18"/>
      <c r="C112" s="18"/>
      <c r="D112" s="29" t="str">
        <f>IF(A112="","",COUNTIFS(Ventes!$D$6:$D$505,A112,Ventes!$M$6:$M$505,"Livrée et payée"))</f>
        <v/>
      </c>
      <c r="E112" s="25" t="str">
        <f>IF(A112="","",SUMIFS(Ventes!$K$6:$K$505,Ventes!$D$6:$D$505,A112,Ventes!$M$6:$M$505,"Livrée et payée"))</f>
        <v/>
      </c>
      <c r="F112" s="42" t="str">
        <f>IF(A112="","",IF(D112=0,"",_xlfn.MAXIFS(Ventes!$B$6:$B$505,Ventes!$D$6:$D$505,A112,Ventes!$M$6:$M$505,"Livrée et payée")))</f>
        <v/>
      </c>
      <c r="G112" s="29" t="str">
        <f t="shared" ca="1" si="3"/>
        <v/>
      </c>
      <c r="H112" s="29" t="str">
        <f>IF(A112="","",COUNTIFS(Ventes!$D$6:$D$505,A112,Ventes!$M$6:$M$505,"Annulée"))</f>
        <v/>
      </c>
      <c r="I112" s="28" t="str">
        <f t="shared" si="4"/>
        <v/>
      </c>
      <c r="J112" s="28" t="str">
        <f t="shared" si="5"/>
        <v/>
      </c>
      <c r="K112" s="18"/>
    </row>
    <row r="113" spans="1:11" x14ac:dyDescent="0.25">
      <c r="A113" s="18"/>
      <c r="B113" s="18"/>
      <c r="C113" s="18"/>
      <c r="D113" s="29" t="str">
        <f>IF(A113="","",COUNTIFS(Ventes!$D$6:$D$505,A113,Ventes!$M$6:$M$505,"Livrée et payée"))</f>
        <v/>
      </c>
      <c r="E113" s="25" t="str">
        <f>IF(A113="","",SUMIFS(Ventes!$K$6:$K$505,Ventes!$D$6:$D$505,A113,Ventes!$M$6:$M$505,"Livrée et payée"))</f>
        <v/>
      </c>
      <c r="F113" s="42" t="str">
        <f>IF(A113="","",IF(D113=0,"",_xlfn.MAXIFS(Ventes!$B$6:$B$505,Ventes!$D$6:$D$505,A113,Ventes!$M$6:$M$505,"Livrée et payée")))</f>
        <v/>
      </c>
      <c r="G113" s="29" t="str">
        <f t="shared" ca="1" si="3"/>
        <v/>
      </c>
      <c r="H113" s="29" t="str">
        <f>IF(A113="","",COUNTIFS(Ventes!$D$6:$D$505,A113,Ventes!$M$6:$M$505,"Annulée"))</f>
        <v/>
      </c>
      <c r="I113" s="28" t="str">
        <f t="shared" si="4"/>
        <v/>
      </c>
      <c r="J113" s="28" t="str">
        <f t="shared" si="5"/>
        <v/>
      </c>
      <c r="K113" s="18"/>
    </row>
    <row r="114" spans="1:11" x14ac:dyDescent="0.25">
      <c r="A114" s="18"/>
      <c r="B114" s="18"/>
      <c r="C114" s="18"/>
      <c r="D114" s="29" t="str">
        <f>IF(A114="","",COUNTIFS(Ventes!$D$6:$D$505,A114,Ventes!$M$6:$M$505,"Livrée et payée"))</f>
        <v/>
      </c>
      <c r="E114" s="25" t="str">
        <f>IF(A114="","",SUMIFS(Ventes!$K$6:$K$505,Ventes!$D$6:$D$505,A114,Ventes!$M$6:$M$505,"Livrée et payée"))</f>
        <v/>
      </c>
      <c r="F114" s="42" t="str">
        <f>IF(A114="","",IF(D114=0,"",_xlfn.MAXIFS(Ventes!$B$6:$B$505,Ventes!$D$6:$D$505,A114,Ventes!$M$6:$M$505,"Livrée et payée")))</f>
        <v/>
      </c>
      <c r="G114" s="29" t="str">
        <f t="shared" ca="1" si="3"/>
        <v/>
      </c>
      <c r="H114" s="29" t="str">
        <f>IF(A114="","",COUNTIFS(Ventes!$D$6:$D$505,A114,Ventes!$M$6:$M$505,"Annulée"))</f>
        <v/>
      </c>
      <c r="I114" s="28" t="str">
        <f t="shared" si="4"/>
        <v/>
      </c>
      <c r="J114" s="28" t="str">
        <f t="shared" si="5"/>
        <v/>
      </c>
      <c r="K114" s="18"/>
    </row>
    <row r="115" spans="1:11" x14ac:dyDescent="0.25">
      <c r="A115" s="18"/>
      <c r="B115" s="18"/>
      <c r="C115" s="18"/>
      <c r="D115" s="29" t="str">
        <f>IF(A115="","",COUNTIFS(Ventes!$D$6:$D$505,A115,Ventes!$M$6:$M$505,"Livrée et payée"))</f>
        <v/>
      </c>
      <c r="E115" s="25" t="str">
        <f>IF(A115="","",SUMIFS(Ventes!$K$6:$K$505,Ventes!$D$6:$D$505,A115,Ventes!$M$6:$M$505,"Livrée et payée"))</f>
        <v/>
      </c>
      <c r="F115" s="42" t="str">
        <f>IF(A115="","",IF(D115=0,"",_xlfn.MAXIFS(Ventes!$B$6:$B$505,Ventes!$D$6:$D$505,A115,Ventes!$M$6:$M$505,"Livrée et payée")))</f>
        <v/>
      </c>
      <c r="G115" s="29" t="str">
        <f t="shared" ca="1" si="3"/>
        <v/>
      </c>
      <c r="H115" s="29" t="str">
        <f>IF(A115="","",COUNTIFS(Ventes!$D$6:$D$505,A115,Ventes!$M$6:$M$505,"Annulée"))</f>
        <v/>
      </c>
      <c r="I115" s="28" t="str">
        <f t="shared" si="4"/>
        <v/>
      </c>
      <c r="J115" s="28" t="str">
        <f t="shared" si="5"/>
        <v/>
      </c>
      <c r="K115" s="18"/>
    </row>
    <row r="116" spans="1:11" x14ac:dyDescent="0.25">
      <c r="A116" s="18"/>
      <c r="B116" s="18"/>
      <c r="C116" s="18"/>
      <c r="D116" s="29" t="str">
        <f>IF(A116="","",COUNTIFS(Ventes!$D$6:$D$505,A116,Ventes!$M$6:$M$505,"Livrée et payée"))</f>
        <v/>
      </c>
      <c r="E116" s="25" t="str">
        <f>IF(A116="","",SUMIFS(Ventes!$K$6:$K$505,Ventes!$D$6:$D$505,A116,Ventes!$M$6:$M$505,"Livrée et payée"))</f>
        <v/>
      </c>
      <c r="F116" s="42" t="str">
        <f>IF(A116="","",IF(D116=0,"",_xlfn.MAXIFS(Ventes!$B$6:$B$505,Ventes!$D$6:$D$505,A116,Ventes!$M$6:$M$505,"Livrée et payée")))</f>
        <v/>
      </c>
      <c r="G116" s="29" t="str">
        <f t="shared" ca="1" si="3"/>
        <v/>
      </c>
      <c r="H116" s="29" t="str">
        <f>IF(A116="","",COUNTIFS(Ventes!$D$6:$D$505,A116,Ventes!$M$6:$M$505,"Annulée"))</f>
        <v/>
      </c>
      <c r="I116" s="28" t="str">
        <f t="shared" si="4"/>
        <v/>
      </c>
      <c r="J116" s="28" t="str">
        <f t="shared" si="5"/>
        <v/>
      </c>
      <c r="K116" s="18"/>
    </row>
    <row r="117" spans="1:11" x14ac:dyDescent="0.25">
      <c r="A117" s="18"/>
      <c r="B117" s="18"/>
      <c r="C117" s="18"/>
      <c r="D117" s="29" t="str">
        <f>IF(A117="","",COUNTIFS(Ventes!$D$6:$D$505,A117,Ventes!$M$6:$M$505,"Livrée et payée"))</f>
        <v/>
      </c>
      <c r="E117" s="25" t="str">
        <f>IF(A117="","",SUMIFS(Ventes!$K$6:$K$505,Ventes!$D$6:$D$505,A117,Ventes!$M$6:$M$505,"Livrée et payée"))</f>
        <v/>
      </c>
      <c r="F117" s="42" t="str">
        <f>IF(A117="","",IF(D117=0,"",_xlfn.MAXIFS(Ventes!$B$6:$B$505,Ventes!$D$6:$D$505,A117,Ventes!$M$6:$M$505,"Livrée et payée")))</f>
        <v/>
      </c>
      <c r="G117" s="29" t="str">
        <f t="shared" ca="1" si="3"/>
        <v/>
      </c>
      <c r="H117" s="29" t="str">
        <f>IF(A117="","",COUNTIFS(Ventes!$D$6:$D$505,A117,Ventes!$M$6:$M$505,"Annulée"))</f>
        <v/>
      </c>
      <c r="I117" s="28" t="str">
        <f t="shared" si="4"/>
        <v/>
      </c>
      <c r="J117" s="28" t="str">
        <f t="shared" si="5"/>
        <v/>
      </c>
      <c r="K117" s="18"/>
    </row>
    <row r="118" spans="1:11" x14ac:dyDescent="0.25">
      <c r="A118" s="18"/>
      <c r="B118" s="18"/>
      <c r="C118" s="18"/>
      <c r="D118" s="29" t="str">
        <f>IF(A118="","",COUNTIFS(Ventes!$D$6:$D$505,A118,Ventes!$M$6:$M$505,"Livrée et payée"))</f>
        <v/>
      </c>
      <c r="E118" s="25" t="str">
        <f>IF(A118="","",SUMIFS(Ventes!$K$6:$K$505,Ventes!$D$6:$D$505,A118,Ventes!$M$6:$M$505,"Livrée et payée"))</f>
        <v/>
      </c>
      <c r="F118" s="42" t="str">
        <f>IF(A118="","",IF(D118=0,"",_xlfn.MAXIFS(Ventes!$B$6:$B$505,Ventes!$D$6:$D$505,A118,Ventes!$M$6:$M$505,"Livrée et payée")))</f>
        <v/>
      </c>
      <c r="G118" s="29" t="str">
        <f t="shared" ca="1" si="3"/>
        <v/>
      </c>
      <c r="H118" s="29" t="str">
        <f>IF(A118="","",COUNTIFS(Ventes!$D$6:$D$505,A118,Ventes!$M$6:$M$505,"Annulée"))</f>
        <v/>
      </c>
      <c r="I118" s="28" t="str">
        <f t="shared" si="4"/>
        <v/>
      </c>
      <c r="J118" s="28" t="str">
        <f t="shared" si="5"/>
        <v/>
      </c>
      <c r="K118" s="18"/>
    </row>
    <row r="119" spans="1:11" x14ac:dyDescent="0.25">
      <c r="A119" s="18"/>
      <c r="B119" s="18"/>
      <c r="C119" s="18"/>
      <c r="D119" s="29" t="str">
        <f>IF(A119="","",COUNTIFS(Ventes!$D$6:$D$505,A119,Ventes!$M$6:$M$505,"Livrée et payée"))</f>
        <v/>
      </c>
      <c r="E119" s="25" t="str">
        <f>IF(A119="","",SUMIFS(Ventes!$K$6:$K$505,Ventes!$D$6:$D$505,A119,Ventes!$M$6:$M$505,"Livrée et payée"))</f>
        <v/>
      </c>
      <c r="F119" s="42" t="str">
        <f>IF(A119="","",IF(D119=0,"",_xlfn.MAXIFS(Ventes!$B$6:$B$505,Ventes!$D$6:$D$505,A119,Ventes!$M$6:$M$505,"Livrée et payée")))</f>
        <v/>
      </c>
      <c r="G119" s="29" t="str">
        <f t="shared" ca="1" si="3"/>
        <v/>
      </c>
      <c r="H119" s="29" t="str">
        <f>IF(A119="","",COUNTIFS(Ventes!$D$6:$D$505,A119,Ventes!$M$6:$M$505,"Annulée"))</f>
        <v/>
      </c>
      <c r="I119" s="28" t="str">
        <f t="shared" si="4"/>
        <v/>
      </c>
      <c r="J119" s="28" t="str">
        <f t="shared" si="5"/>
        <v/>
      </c>
      <c r="K119" s="18"/>
    </row>
    <row r="120" spans="1:11" x14ac:dyDescent="0.25">
      <c r="A120" s="18"/>
      <c r="B120" s="18"/>
      <c r="C120" s="18"/>
      <c r="D120" s="29" t="str">
        <f>IF(A120="","",COUNTIFS(Ventes!$D$6:$D$505,A120,Ventes!$M$6:$M$505,"Livrée et payée"))</f>
        <v/>
      </c>
      <c r="E120" s="25" t="str">
        <f>IF(A120="","",SUMIFS(Ventes!$K$6:$K$505,Ventes!$D$6:$D$505,A120,Ventes!$M$6:$M$505,"Livrée et payée"))</f>
        <v/>
      </c>
      <c r="F120" s="42" t="str">
        <f>IF(A120="","",IF(D120=0,"",_xlfn.MAXIFS(Ventes!$B$6:$B$505,Ventes!$D$6:$D$505,A120,Ventes!$M$6:$M$505,"Livrée et payée")))</f>
        <v/>
      </c>
      <c r="G120" s="29" t="str">
        <f t="shared" ca="1" si="3"/>
        <v/>
      </c>
      <c r="H120" s="29" t="str">
        <f>IF(A120="","",COUNTIFS(Ventes!$D$6:$D$505,A120,Ventes!$M$6:$M$505,"Annulée"))</f>
        <v/>
      </c>
      <c r="I120" s="28" t="str">
        <f t="shared" si="4"/>
        <v/>
      </c>
      <c r="J120" s="28" t="str">
        <f t="shared" si="5"/>
        <v/>
      </c>
      <c r="K120" s="18"/>
    </row>
    <row r="121" spans="1:11" x14ac:dyDescent="0.25">
      <c r="A121" s="18"/>
      <c r="B121" s="18"/>
      <c r="C121" s="18"/>
      <c r="D121" s="29" t="str">
        <f>IF(A121="","",COUNTIFS(Ventes!$D$6:$D$505,A121,Ventes!$M$6:$M$505,"Livrée et payée"))</f>
        <v/>
      </c>
      <c r="E121" s="25" t="str">
        <f>IF(A121="","",SUMIFS(Ventes!$K$6:$K$505,Ventes!$D$6:$D$505,A121,Ventes!$M$6:$M$505,"Livrée et payée"))</f>
        <v/>
      </c>
      <c r="F121" s="42" t="str">
        <f>IF(A121="","",IF(D121=0,"",_xlfn.MAXIFS(Ventes!$B$6:$B$505,Ventes!$D$6:$D$505,A121,Ventes!$M$6:$M$505,"Livrée et payée")))</f>
        <v/>
      </c>
      <c r="G121" s="29" t="str">
        <f t="shared" ca="1" si="3"/>
        <v/>
      </c>
      <c r="H121" s="29" t="str">
        <f>IF(A121="","",COUNTIFS(Ventes!$D$6:$D$505,A121,Ventes!$M$6:$M$505,"Annulée"))</f>
        <v/>
      </c>
      <c r="I121" s="28" t="str">
        <f t="shared" si="4"/>
        <v/>
      </c>
      <c r="J121" s="28" t="str">
        <f t="shared" si="5"/>
        <v/>
      </c>
      <c r="K121" s="18"/>
    </row>
    <row r="122" spans="1:11" x14ac:dyDescent="0.25">
      <c r="A122" s="18"/>
      <c r="B122" s="18"/>
      <c r="C122" s="18"/>
      <c r="D122" s="29" t="str">
        <f>IF(A122="","",COUNTIFS(Ventes!$D$6:$D$505,A122,Ventes!$M$6:$M$505,"Livrée et payée"))</f>
        <v/>
      </c>
      <c r="E122" s="25" t="str">
        <f>IF(A122="","",SUMIFS(Ventes!$K$6:$K$505,Ventes!$D$6:$D$505,A122,Ventes!$M$6:$M$505,"Livrée et payée"))</f>
        <v/>
      </c>
      <c r="F122" s="42" t="str">
        <f>IF(A122="","",IF(D122=0,"",_xlfn.MAXIFS(Ventes!$B$6:$B$505,Ventes!$D$6:$D$505,A122,Ventes!$M$6:$M$505,"Livrée et payée")))</f>
        <v/>
      </c>
      <c r="G122" s="29" t="str">
        <f t="shared" ca="1" si="3"/>
        <v/>
      </c>
      <c r="H122" s="29" t="str">
        <f>IF(A122="","",COUNTIFS(Ventes!$D$6:$D$505,A122,Ventes!$M$6:$M$505,"Annulée"))</f>
        <v/>
      </c>
      <c r="I122" s="28" t="str">
        <f t="shared" si="4"/>
        <v/>
      </c>
      <c r="J122" s="28" t="str">
        <f t="shared" si="5"/>
        <v/>
      </c>
      <c r="K122" s="18"/>
    </row>
    <row r="123" spans="1:11" x14ac:dyDescent="0.25">
      <c r="A123" s="18"/>
      <c r="B123" s="18"/>
      <c r="C123" s="18"/>
      <c r="D123" s="29" t="str">
        <f>IF(A123="","",COUNTIFS(Ventes!$D$6:$D$505,A123,Ventes!$M$6:$M$505,"Livrée et payée"))</f>
        <v/>
      </c>
      <c r="E123" s="25" t="str">
        <f>IF(A123="","",SUMIFS(Ventes!$K$6:$K$505,Ventes!$D$6:$D$505,A123,Ventes!$M$6:$M$505,"Livrée et payée"))</f>
        <v/>
      </c>
      <c r="F123" s="42" t="str">
        <f>IF(A123="","",IF(D123=0,"",_xlfn.MAXIFS(Ventes!$B$6:$B$505,Ventes!$D$6:$D$505,A123,Ventes!$M$6:$M$505,"Livrée et payée")))</f>
        <v/>
      </c>
      <c r="G123" s="29" t="str">
        <f t="shared" ca="1" si="3"/>
        <v/>
      </c>
      <c r="H123" s="29" t="str">
        <f>IF(A123="","",COUNTIFS(Ventes!$D$6:$D$505,A123,Ventes!$M$6:$M$505,"Annulée"))</f>
        <v/>
      </c>
      <c r="I123" s="28" t="str">
        <f t="shared" si="4"/>
        <v/>
      </c>
      <c r="J123" s="28" t="str">
        <f t="shared" si="5"/>
        <v/>
      </c>
      <c r="K123" s="18"/>
    </row>
    <row r="124" spans="1:11" x14ac:dyDescent="0.25">
      <c r="A124" s="18"/>
      <c r="B124" s="18"/>
      <c r="C124" s="18"/>
      <c r="D124" s="29" t="str">
        <f>IF(A124="","",COUNTIFS(Ventes!$D$6:$D$505,A124,Ventes!$M$6:$M$505,"Livrée et payée"))</f>
        <v/>
      </c>
      <c r="E124" s="25" t="str">
        <f>IF(A124="","",SUMIFS(Ventes!$K$6:$K$505,Ventes!$D$6:$D$505,A124,Ventes!$M$6:$M$505,"Livrée et payée"))</f>
        <v/>
      </c>
      <c r="F124" s="42" t="str">
        <f>IF(A124="","",IF(D124=0,"",_xlfn.MAXIFS(Ventes!$B$6:$B$505,Ventes!$D$6:$D$505,A124,Ventes!$M$6:$M$505,"Livrée et payée")))</f>
        <v/>
      </c>
      <c r="G124" s="29" t="str">
        <f t="shared" ca="1" si="3"/>
        <v/>
      </c>
      <c r="H124" s="29" t="str">
        <f>IF(A124="","",COUNTIFS(Ventes!$D$6:$D$505,A124,Ventes!$M$6:$M$505,"Annulée"))</f>
        <v/>
      </c>
      <c r="I124" s="28" t="str">
        <f t="shared" si="4"/>
        <v/>
      </c>
      <c r="J124" s="28" t="str">
        <f t="shared" si="5"/>
        <v/>
      </c>
      <c r="K124" s="18"/>
    </row>
    <row r="125" spans="1:11" x14ac:dyDescent="0.25">
      <c r="A125" s="18"/>
      <c r="B125" s="18"/>
      <c r="C125" s="18"/>
      <c r="D125" s="29" t="str">
        <f>IF(A125="","",COUNTIFS(Ventes!$D$6:$D$505,A125,Ventes!$M$6:$M$505,"Livrée et payée"))</f>
        <v/>
      </c>
      <c r="E125" s="25" t="str">
        <f>IF(A125="","",SUMIFS(Ventes!$K$6:$K$505,Ventes!$D$6:$D$505,A125,Ventes!$M$6:$M$505,"Livrée et payée"))</f>
        <v/>
      </c>
      <c r="F125" s="42" t="str">
        <f>IF(A125="","",IF(D125=0,"",_xlfn.MAXIFS(Ventes!$B$6:$B$505,Ventes!$D$6:$D$505,A125,Ventes!$M$6:$M$505,"Livrée et payée")))</f>
        <v/>
      </c>
      <c r="G125" s="29" t="str">
        <f t="shared" ca="1" si="3"/>
        <v/>
      </c>
      <c r="H125" s="29" t="str">
        <f>IF(A125="","",COUNTIFS(Ventes!$D$6:$D$505,A125,Ventes!$M$6:$M$505,"Annulée"))</f>
        <v/>
      </c>
      <c r="I125" s="28" t="str">
        <f t="shared" si="4"/>
        <v/>
      </c>
      <c r="J125" s="28" t="str">
        <f t="shared" si="5"/>
        <v/>
      </c>
      <c r="K125" s="18"/>
    </row>
    <row r="126" spans="1:11" x14ac:dyDescent="0.25">
      <c r="A126" s="18"/>
      <c r="B126" s="18"/>
      <c r="C126" s="18"/>
      <c r="D126" s="29" t="str">
        <f>IF(A126="","",COUNTIFS(Ventes!$D$6:$D$505,A126,Ventes!$M$6:$M$505,"Livrée et payée"))</f>
        <v/>
      </c>
      <c r="E126" s="25" t="str">
        <f>IF(A126="","",SUMIFS(Ventes!$K$6:$K$505,Ventes!$D$6:$D$505,A126,Ventes!$M$6:$M$505,"Livrée et payée"))</f>
        <v/>
      </c>
      <c r="F126" s="42" t="str">
        <f>IF(A126="","",IF(D126=0,"",_xlfn.MAXIFS(Ventes!$B$6:$B$505,Ventes!$D$6:$D$505,A126,Ventes!$M$6:$M$505,"Livrée et payée")))</f>
        <v/>
      </c>
      <c r="G126" s="29" t="str">
        <f t="shared" ca="1" si="3"/>
        <v/>
      </c>
      <c r="H126" s="29" t="str">
        <f>IF(A126="","",COUNTIFS(Ventes!$D$6:$D$505,A126,Ventes!$M$6:$M$505,"Annulée"))</f>
        <v/>
      </c>
      <c r="I126" s="28" t="str">
        <f t="shared" si="4"/>
        <v/>
      </c>
      <c r="J126" s="28" t="str">
        <f t="shared" si="5"/>
        <v/>
      </c>
      <c r="K126" s="18"/>
    </row>
    <row r="127" spans="1:11" x14ac:dyDescent="0.25">
      <c r="A127" s="18"/>
      <c r="B127" s="18"/>
      <c r="C127" s="18"/>
      <c r="D127" s="29" t="str">
        <f>IF(A127="","",COUNTIFS(Ventes!$D$6:$D$505,A127,Ventes!$M$6:$M$505,"Livrée et payée"))</f>
        <v/>
      </c>
      <c r="E127" s="25" t="str">
        <f>IF(A127="","",SUMIFS(Ventes!$K$6:$K$505,Ventes!$D$6:$D$505,A127,Ventes!$M$6:$M$505,"Livrée et payée"))</f>
        <v/>
      </c>
      <c r="F127" s="42" t="str">
        <f>IF(A127="","",IF(D127=0,"",_xlfn.MAXIFS(Ventes!$B$6:$B$505,Ventes!$D$6:$D$505,A127,Ventes!$M$6:$M$505,"Livrée et payée")))</f>
        <v/>
      </c>
      <c r="G127" s="29" t="str">
        <f t="shared" ca="1" si="3"/>
        <v/>
      </c>
      <c r="H127" s="29" t="str">
        <f>IF(A127="","",COUNTIFS(Ventes!$D$6:$D$505,A127,Ventes!$M$6:$M$505,"Annulée"))</f>
        <v/>
      </c>
      <c r="I127" s="28" t="str">
        <f t="shared" si="4"/>
        <v/>
      </c>
      <c r="J127" s="28" t="str">
        <f t="shared" si="5"/>
        <v/>
      </c>
      <c r="K127" s="18"/>
    </row>
    <row r="128" spans="1:11" x14ac:dyDescent="0.25">
      <c r="A128" s="18"/>
      <c r="B128" s="18"/>
      <c r="C128" s="18"/>
      <c r="D128" s="29" t="str">
        <f>IF(A128="","",COUNTIFS(Ventes!$D$6:$D$505,A128,Ventes!$M$6:$M$505,"Livrée et payée"))</f>
        <v/>
      </c>
      <c r="E128" s="25" t="str">
        <f>IF(A128="","",SUMIFS(Ventes!$K$6:$K$505,Ventes!$D$6:$D$505,A128,Ventes!$M$6:$M$505,"Livrée et payée"))</f>
        <v/>
      </c>
      <c r="F128" s="42" t="str">
        <f>IF(A128="","",IF(D128=0,"",_xlfn.MAXIFS(Ventes!$B$6:$B$505,Ventes!$D$6:$D$505,A128,Ventes!$M$6:$M$505,"Livrée et payée")))</f>
        <v/>
      </c>
      <c r="G128" s="29" t="str">
        <f t="shared" ca="1" si="3"/>
        <v/>
      </c>
      <c r="H128" s="29" t="str">
        <f>IF(A128="","",COUNTIFS(Ventes!$D$6:$D$505,A128,Ventes!$M$6:$M$505,"Annulée"))</f>
        <v/>
      </c>
      <c r="I128" s="28" t="str">
        <f t="shared" si="4"/>
        <v/>
      </c>
      <c r="J128" s="28" t="str">
        <f t="shared" si="5"/>
        <v/>
      </c>
      <c r="K128" s="18"/>
    </row>
    <row r="129" spans="1:11" x14ac:dyDescent="0.25">
      <c r="A129" s="18"/>
      <c r="B129" s="18"/>
      <c r="C129" s="18"/>
      <c r="D129" s="29" t="str">
        <f>IF(A129="","",COUNTIFS(Ventes!$D$6:$D$505,A129,Ventes!$M$6:$M$505,"Livrée et payée"))</f>
        <v/>
      </c>
      <c r="E129" s="25" t="str">
        <f>IF(A129="","",SUMIFS(Ventes!$K$6:$K$505,Ventes!$D$6:$D$505,A129,Ventes!$M$6:$M$505,"Livrée et payée"))</f>
        <v/>
      </c>
      <c r="F129" s="42" t="str">
        <f>IF(A129="","",IF(D129=0,"",_xlfn.MAXIFS(Ventes!$B$6:$B$505,Ventes!$D$6:$D$505,A129,Ventes!$M$6:$M$505,"Livrée et payée")))</f>
        <v/>
      </c>
      <c r="G129" s="29" t="str">
        <f t="shared" ca="1" si="3"/>
        <v/>
      </c>
      <c r="H129" s="29" t="str">
        <f>IF(A129="","",COUNTIFS(Ventes!$D$6:$D$505,A129,Ventes!$M$6:$M$505,"Annulée"))</f>
        <v/>
      </c>
      <c r="I129" s="28" t="str">
        <f t="shared" si="4"/>
        <v/>
      </c>
      <c r="J129" s="28" t="str">
        <f t="shared" si="5"/>
        <v/>
      </c>
      <c r="K129" s="18"/>
    </row>
    <row r="130" spans="1:11" x14ac:dyDescent="0.25">
      <c r="A130" s="18"/>
      <c r="B130" s="18"/>
      <c r="C130" s="18"/>
      <c r="D130" s="29" t="str">
        <f>IF(A130="","",COUNTIFS(Ventes!$D$6:$D$505,A130,Ventes!$M$6:$M$505,"Livrée et payée"))</f>
        <v/>
      </c>
      <c r="E130" s="25" t="str">
        <f>IF(A130="","",SUMIFS(Ventes!$K$6:$K$505,Ventes!$D$6:$D$505,A130,Ventes!$M$6:$M$505,"Livrée et payée"))</f>
        <v/>
      </c>
      <c r="F130" s="42" t="str">
        <f>IF(A130="","",IF(D130=0,"",_xlfn.MAXIFS(Ventes!$B$6:$B$505,Ventes!$D$6:$D$505,A130,Ventes!$M$6:$M$505,"Livrée et payée")))</f>
        <v/>
      </c>
      <c r="G130" s="29" t="str">
        <f t="shared" ca="1" si="3"/>
        <v/>
      </c>
      <c r="H130" s="29" t="str">
        <f>IF(A130="","",COUNTIFS(Ventes!$D$6:$D$505,A130,Ventes!$M$6:$M$505,"Annulée"))</f>
        <v/>
      </c>
      <c r="I130" s="28" t="str">
        <f t="shared" si="4"/>
        <v/>
      </c>
      <c r="J130" s="28" t="str">
        <f t="shared" si="5"/>
        <v/>
      </c>
      <c r="K130" s="18"/>
    </row>
    <row r="131" spans="1:11" x14ac:dyDescent="0.25">
      <c r="A131" s="18"/>
      <c r="B131" s="18"/>
      <c r="C131" s="18"/>
      <c r="D131" s="29" t="str">
        <f>IF(A131="","",COUNTIFS(Ventes!$D$6:$D$505,A131,Ventes!$M$6:$M$505,"Livrée et payée"))</f>
        <v/>
      </c>
      <c r="E131" s="25" t="str">
        <f>IF(A131="","",SUMIFS(Ventes!$K$6:$K$505,Ventes!$D$6:$D$505,A131,Ventes!$M$6:$M$505,"Livrée et payée"))</f>
        <v/>
      </c>
      <c r="F131" s="42" t="str">
        <f>IF(A131="","",IF(D131=0,"",_xlfn.MAXIFS(Ventes!$B$6:$B$505,Ventes!$D$6:$D$505,A131,Ventes!$M$6:$M$505,"Livrée et payée")))</f>
        <v/>
      </c>
      <c r="G131" s="29" t="str">
        <f t="shared" ca="1" si="3"/>
        <v/>
      </c>
      <c r="H131" s="29" t="str">
        <f>IF(A131="","",COUNTIFS(Ventes!$D$6:$D$505,A131,Ventes!$M$6:$M$505,"Annulée"))</f>
        <v/>
      </c>
      <c r="I131" s="28" t="str">
        <f t="shared" si="4"/>
        <v/>
      </c>
      <c r="J131" s="28" t="str">
        <f t="shared" si="5"/>
        <v/>
      </c>
      <c r="K131" s="18"/>
    </row>
    <row r="132" spans="1:11" x14ac:dyDescent="0.25">
      <c r="A132" s="18"/>
      <c r="B132" s="18"/>
      <c r="C132" s="18"/>
      <c r="D132" s="29" t="str">
        <f>IF(A132="","",COUNTIFS(Ventes!$D$6:$D$505,A132,Ventes!$M$6:$M$505,"Livrée et payée"))</f>
        <v/>
      </c>
      <c r="E132" s="25" t="str">
        <f>IF(A132="","",SUMIFS(Ventes!$K$6:$K$505,Ventes!$D$6:$D$505,A132,Ventes!$M$6:$M$505,"Livrée et payée"))</f>
        <v/>
      </c>
      <c r="F132" s="42" t="str">
        <f>IF(A132="","",IF(D132=0,"",_xlfn.MAXIFS(Ventes!$B$6:$B$505,Ventes!$D$6:$D$505,A132,Ventes!$M$6:$M$505,"Livrée et payée")))</f>
        <v/>
      </c>
      <c r="G132" s="29" t="str">
        <f t="shared" ca="1" si="3"/>
        <v/>
      </c>
      <c r="H132" s="29" t="str">
        <f>IF(A132="","",COUNTIFS(Ventes!$D$6:$D$505,A132,Ventes!$M$6:$M$505,"Annulée"))</f>
        <v/>
      </c>
      <c r="I132" s="28" t="str">
        <f t="shared" si="4"/>
        <v/>
      </c>
      <c r="J132" s="28" t="str">
        <f t="shared" si="5"/>
        <v/>
      </c>
      <c r="K132" s="18"/>
    </row>
    <row r="133" spans="1:11" x14ac:dyDescent="0.25">
      <c r="A133" s="18"/>
      <c r="B133" s="18"/>
      <c r="C133" s="18"/>
      <c r="D133" s="29" t="str">
        <f>IF(A133="","",COUNTIFS(Ventes!$D$6:$D$505,A133,Ventes!$M$6:$M$505,"Livrée et payée"))</f>
        <v/>
      </c>
      <c r="E133" s="25" t="str">
        <f>IF(A133="","",SUMIFS(Ventes!$K$6:$K$505,Ventes!$D$6:$D$505,A133,Ventes!$M$6:$M$505,"Livrée et payée"))</f>
        <v/>
      </c>
      <c r="F133" s="42" t="str">
        <f>IF(A133="","",IF(D133=0,"",_xlfn.MAXIFS(Ventes!$B$6:$B$505,Ventes!$D$6:$D$505,A133,Ventes!$M$6:$M$505,"Livrée et payée")))</f>
        <v/>
      </c>
      <c r="G133" s="29" t="str">
        <f t="shared" ca="1" si="3"/>
        <v/>
      </c>
      <c r="H133" s="29" t="str">
        <f>IF(A133="","",COUNTIFS(Ventes!$D$6:$D$505,A133,Ventes!$M$6:$M$505,"Annulée"))</f>
        <v/>
      </c>
      <c r="I133" s="28" t="str">
        <f t="shared" si="4"/>
        <v/>
      </c>
      <c r="J133" s="28" t="str">
        <f t="shared" si="5"/>
        <v/>
      </c>
      <c r="K133" s="18"/>
    </row>
    <row r="134" spans="1:11" x14ac:dyDescent="0.25">
      <c r="A134" s="18"/>
      <c r="B134" s="18"/>
      <c r="C134" s="18"/>
      <c r="D134" s="29" t="str">
        <f>IF(A134="","",COUNTIFS(Ventes!$D$6:$D$505,A134,Ventes!$M$6:$M$505,"Livrée et payée"))</f>
        <v/>
      </c>
      <c r="E134" s="25" t="str">
        <f>IF(A134="","",SUMIFS(Ventes!$K$6:$K$505,Ventes!$D$6:$D$505,A134,Ventes!$M$6:$M$505,"Livrée et payée"))</f>
        <v/>
      </c>
      <c r="F134" s="42" t="str">
        <f>IF(A134="","",IF(D134=0,"",_xlfn.MAXIFS(Ventes!$B$6:$B$505,Ventes!$D$6:$D$505,A134,Ventes!$M$6:$M$505,"Livrée et payée")))</f>
        <v/>
      </c>
      <c r="G134" s="29" t="str">
        <f t="shared" ref="G134:G197" ca="1" si="6">IF(OR(A134="",F134=""),"",TODAY()-F134)</f>
        <v/>
      </c>
      <c r="H134" s="29" t="str">
        <f>IF(A134="","",COUNTIFS(Ventes!$D$6:$D$505,A134,Ventes!$M$6:$M$505,"Annulée"))</f>
        <v/>
      </c>
      <c r="I134" s="28" t="str">
        <f t="shared" ref="I134:I197" si="7">IF(A134="","",IF(D134=0,"Prospect",IF(G134&gt;60,"À relancer",IF(D134&gt;=3,"VIP",IF(D134=2,"Fidèle","Nouveau")))))</f>
        <v/>
      </c>
      <c r="J134" s="28" t="str">
        <f t="shared" ref="J134:J197" si="8">IF(A134="","",IF(H134&gt;=1,"Oui (a déjà annulé)","Non"))</f>
        <v/>
      </c>
      <c r="K134" s="18"/>
    </row>
    <row r="135" spans="1:11" x14ac:dyDescent="0.25">
      <c r="A135" s="18"/>
      <c r="B135" s="18"/>
      <c r="C135" s="18"/>
      <c r="D135" s="29" t="str">
        <f>IF(A135="","",COUNTIFS(Ventes!$D$6:$D$505,A135,Ventes!$M$6:$M$505,"Livrée et payée"))</f>
        <v/>
      </c>
      <c r="E135" s="25" t="str">
        <f>IF(A135="","",SUMIFS(Ventes!$K$6:$K$505,Ventes!$D$6:$D$505,A135,Ventes!$M$6:$M$505,"Livrée et payée"))</f>
        <v/>
      </c>
      <c r="F135" s="42" t="str">
        <f>IF(A135="","",IF(D135=0,"",_xlfn.MAXIFS(Ventes!$B$6:$B$505,Ventes!$D$6:$D$505,A135,Ventes!$M$6:$M$505,"Livrée et payée")))</f>
        <v/>
      </c>
      <c r="G135" s="29" t="str">
        <f t="shared" ca="1" si="6"/>
        <v/>
      </c>
      <c r="H135" s="29" t="str">
        <f>IF(A135="","",COUNTIFS(Ventes!$D$6:$D$505,A135,Ventes!$M$6:$M$505,"Annulée"))</f>
        <v/>
      </c>
      <c r="I135" s="28" t="str">
        <f t="shared" si="7"/>
        <v/>
      </c>
      <c r="J135" s="28" t="str">
        <f t="shared" si="8"/>
        <v/>
      </c>
      <c r="K135" s="18"/>
    </row>
    <row r="136" spans="1:11" x14ac:dyDescent="0.25">
      <c r="A136" s="18"/>
      <c r="B136" s="18"/>
      <c r="C136" s="18"/>
      <c r="D136" s="29" t="str">
        <f>IF(A136="","",COUNTIFS(Ventes!$D$6:$D$505,A136,Ventes!$M$6:$M$505,"Livrée et payée"))</f>
        <v/>
      </c>
      <c r="E136" s="25" t="str">
        <f>IF(A136="","",SUMIFS(Ventes!$K$6:$K$505,Ventes!$D$6:$D$505,A136,Ventes!$M$6:$M$505,"Livrée et payée"))</f>
        <v/>
      </c>
      <c r="F136" s="42" t="str">
        <f>IF(A136="","",IF(D136=0,"",_xlfn.MAXIFS(Ventes!$B$6:$B$505,Ventes!$D$6:$D$505,A136,Ventes!$M$6:$M$505,"Livrée et payée")))</f>
        <v/>
      </c>
      <c r="G136" s="29" t="str">
        <f t="shared" ca="1" si="6"/>
        <v/>
      </c>
      <c r="H136" s="29" t="str">
        <f>IF(A136="","",COUNTIFS(Ventes!$D$6:$D$505,A136,Ventes!$M$6:$M$505,"Annulée"))</f>
        <v/>
      </c>
      <c r="I136" s="28" t="str">
        <f t="shared" si="7"/>
        <v/>
      </c>
      <c r="J136" s="28" t="str">
        <f t="shared" si="8"/>
        <v/>
      </c>
      <c r="K136" s="18"/>
    </row>
    <row r="137" spans="1:11" x14ac:dyDescent="0.25">
      <c r="A137" s="18"/>
      <c r="B137" s="18"/>
      <c r="C137" s="18"/>
      <c r="D137" s="29" t="str">
        <f>IF(A137="","",COUNTIFS(Ventes!$D$6:$D$505,A137,Ventes!$M$6:$M$505,"Livrée et payée"))</f>
        <v/>
      </c>
      <c r="E137" s="25" t="str">
        <f>IF(A137="","",SUMIFS(Ventes!$K$6:$K$505,Ventes!$D$6:$D$505,A137,Ventes!$M$6:$M$505,"Livrée et payée"))</f>
        <v/>
      </c>
      <c r="F137" s="42" t="str">
        <f>IF(A137="","",IF(D137=0,"",_xlfn.MAXIFS(Ventes!$B$6:$B$505,Ventes!$D$6:$D$505,A137,Ventes!$M$6:$M$505,"Livrée et payée")))</f>
        <v/>
      </c>
      <c r="G137" s="29" t="str">
        <f t="shared" ca="1" si="6"/>
        <v/>
      </c>
      <c r="H137" s="29" t="str">
        <f>IF(A137="","",COUNTIFS(Ventes!$D$6:$D$505,A137,Ventes!$M$6:$M$505,"Annulée"))</f>
        <v/>
      </c>
      <c r="I137" s="28" t="str">
        <f t="shared" si="7"/>
        <v/>
      </c>
      <c r="J137" s="28" t="str">
        <f t="shared" si="8"/>
        <v/>
      </c>
      <c r="K137" s="18"/>
    </row>
    <row r="138" spans="1:11" x14ac:dyDescent="0.25">
      <c r="A138" s="18"/>
      <c r="B138" s="18"/>
      <c r="C138" s="18"/>
      <c r="D138" s="29" t="str">
        <f>IF(A138="","",COUNTIFS(Ventes!$D$6:$D$505,A138,Ventes!$M$6:$M$505,"Livrée et payée"))</f>
        <v/>
      </c>
      <c r="E138" s="25" t="str">
        <f>IF(A138="","",SUMIFS(Ventes!$K$6:$K$505,Ventes!$D$6:$D$505,A138,Ventes!$M$6:$M$505,"Livrée et payée"))</f>
        <v/>
      </c>
      <c r="F138" s="42" t="str">
        <f>IF(A138="","",IF(D138=0,"",_xlfn.MAXIFS(Ventes!$B$6:$B$505,Ventes!$D$6:$D$505,A138,Ventes!$M$6:$M$505,"Livrée et payée")))</f>
        <v/>
      </c>
      <c r="G138" s="29" t="str">
        <f t="shared" ca="1" si="6"/>
        <v/>
      </c>
      <c r="H138" s="29" t="str">
        <f>IF(A138="","",COUNTIFS(Ventes!$D$6:$D$505,A138,Ventes!$M$6:$M$505,"Annulée"))</f>
        <v/>
      </c>
      <c r="I138" s="28" t="str">
        <f t="shared" si="7"/>
        <v/>
      </c>
      <c r="J138" s="28" t="str">
        <f t="shared" si="8"/>
        <v/>
      </c>
      <c r="K138" s="18"/>
    </row>
    <row r="139" spans="1:11" x14ac:dyDescent="0.25">
      <c r="A139" s="18"/>
      <c r="B139" s="18"/>
      <c r="C139" s="18"/>
      <c r="D139" s="29" t="str">
        <f>IF(A139="","",COUNTIFS(Ventes!$D$6:$D$505,A139,Ventes!$M$6:$M$505,"Livrée et payée"))</f>
        <v/>
      </c>
      <c r="E139" s="25" t="str">
        <f>IF(A139="","",SUMIFS(Ventes!$K$6:$K$505,Ventes!$D$6:$D$505,A139,Ventes!$M$6:$M$505,"Livrée et payée"))</f>
        <v/>
      </c>
      <c r="F139" s="42" t="str">
        <f>IF(A139="","",IF(D139=0,"",_xlfn.MAXIFS(Ventes!$B$6:$B$505,Ventes!$D$6:$D$505,A139,Ventes!$M$6:$M$505,"Livrée et payée")))</f>
        <v/>
      </c>
      <c r="G139" s="29" t="str">
        <f t="shared" ca="1" si="6"/>
        <v/>
      </c>
      <c r="H139" s="29" t="str">
        <f>IF(A139="","",COUNTIFS(Ventes!$D$6:$D$505,A139,Ventes!$M$6:$M$505,"Annulée"))</f>
        <v/>
      </c>
      <c r="I139" s="28" t="str">
        <f t="shared" si="7"/>
        <v/>
      </c>
      <c r="J139" s="28" t="str">
        <f t="shared" si="8"/>
        <v/>
      </c>
      <c r="K139" s="18"/>
    </row>
    <row r="140" spans="1:11" x14ac:dyDescent="0.25">
      <c r="A140" s="18"/>
      <c r="B140" s="18"/>
      <c r="C140" s="18"/>
      <c r="D140" s="29" t="str">
        <f>IF(A140="","",COUNTIFS(Ventes!$D$6:$D$505,A140,Ventes!$M$6:$M$505,"Livrée et payée"))</f>
        <v/>
      </c>
      <c r="E140" s="25" t="str">
        <f>IF(A140="","",SUMIFS(Ventes!$K$6:$K$505,Ventes!$D$6:$D$505,A140,Ventes!$M$6:$M$505,"Livrée et payée"))</f>
        <v/>
      </c>
      <c r="F140" s="42" t="str">
        <f>IF(A140="","",IF(D140=0,"",_xlfn.MAXIFS(Ventes!$B$6:$B$505,Ventes!$D$6:$D$505,A140,Ventes!$M$6:$M$505,"Livrée et payée")))</f>
        <v/>
      </c>
      <c r="G140" s="29" t="str">
        <f t="shared" ca="1" si="6"/>
        <v/>
      </c>
      <c r="H140" s="29" t="str">
        <f>IF(A140="","",COUNTIFS(Ventes!$D$6:$D$505,A140,Ventes!$M$6:$M$505,"Annulée"))</f>
        <v/>
      </c>
      <c r="I140" s="28" t="str">
        <f t="shared" si="7"/>
        <v/>
      </c>
      <c r="J140" s="28" t="str">
        <f t="shared" si="8"/>
        <v/>
      </c>
      <c r="K140" s="18"/>
    </row>
    <row r="141" spans="1:11" x14ac:dyDescent="0.25">
      <c r="A141" s="18"/>
      <c r="B141" s="18"/>
      <c r="C141" s="18"/>
      <c r="D141" s="29" t="str">
        <f>IF(A141="","",COUNTIFS(Ventes!$D$6:$D$505,A141,Ventes!$M$6:$M$505,"Livrée et payée"))</f>
        <v/>
      </c>
      <c r="E141" s="25" t="str">
        <f>IF(A141="","",SUMIFS(Ventes!$K$6:$K$505,Ventes!$D$6:$D$505,A141,Ventes!$M$6:$M$505,"Livrée et payée"))</f>
        <v/>
      </c>
      <c r="F141" s="42" t="str">
        <f>IF(A141="","",IF(D141=0,"",_xlfn.MAXIFS(Ventes!$B$6:$B$505,Ventes!$D$6:$D$505,A141,Ventes!$M$6:$M$505,"Livrée et payée")))</f>
        <v/>
      </c>
      <c r="G141" s="29" t="str">
        <f t="shared" ca="1" si="6"/>
        <v/>
      </c>
      <c r="H141" s="29" t="str">
        <f>IF(A141="","",COUNTIFS(Ventes!$D$6:$D$505,A141,Ventes!$M$6:$M$505,"Annulée"))</f>
        <v/>
      </c>
      <c r="I141" s="28" t="str">
        <f t="shared" si="7"/>
        <v/>
      </c>
      <c r="J141" s="28" t="str">
        <f t="shared" si="8"/>
        <v/>
      </c>
      <c r="K141" s="18"/>
    </row>
    <row r="142" spans="1:11" x14ac:dyDescent="0.25">
      <c r="A142" s="18"/>
      <c r="B142" s="18"/>
      <c r="C142" s="18"/>
      <c r="D142" s="29" t="str">
        <f>IF(A142="","",COUNTIFS(Ventes!$D$6:$D$505,A142,Ventes!$M$6:$M$505,"Livrée et payée"))</f>
        <v/>
      </c>
      <c r="E142" s="25" t="str">
        <f>IF(A142="","",SUMIFS(Ventes!$K$6:$K$505,Ventes!$D$6:$D$505,A142,Ventes!$M$6:$M$505,"Livrée et payée"))</f>
        <v/>
      </c>
      <c r="F142" s="42" t="str">
        <f>IF(A142="","",IF(D142=0,"",_xlfn.MAXIFS(Ventes!$B$6:$B$505,Ventes!$D$6:$D$505,A142,Ventes!$M$6:$M$505,"Livrée et payée")))</f>
        <v/>
      </c>
      <c r="G142" s="29" t="str">
        <f t="shared" ca="1" si="6"/>
        <v/>
      </c>
      <c r="H142" s="29" t="str">
        <f>IF(A142="","",COUNTIFS(Ventes!$D$6:$D$505,A142,Ventes!$M$6:$M$505,"Annulée"))</f>
        <v/>
      </c>
      <c r="I142" s="28" t="str">
        <f t="shared" si="7"/>
        <v/>
      </c>
      <c r="J142" s="28" t="str">
        <f t="shared" si="8"/>
        <v/>
      </c>
      <c r="K142" s="18"/>
    </row>
    <row r="143" spans="1:11" x14ac:dyDescent="0.25">
      <c r="A143" s="18"/>
      <c r="B143" s="18"/>
      <c r="C143" s="18"/>
      <c r="D143" s="29" t="str">
        <f>IF(A143="","",COUNTIFS(Ventes!$D$6:$D$505,A143,Ventes!$M$6:$M$505,"Livrée et payée"))</f>
        <v/>
      </c>
      <c r="E143" s="25" t="str">
        <f>IF(A143="","",SUMIFS(Ventes!$K$6:$K$505,Ventes!$D$6:$D$505,A143,Ventes!$M$6:$M$505,"Livrée et payée"))</f>
        <v/>
      </c>
      <c r="F143" s="42" t="str">
        <f>IF(A143="","",IF(D143=0,"",_xlfn.MAXIFS(Ventes!$B$6:$B$505,Ventes!$D$6:$D$505,A143,Ventes!$M$6:$M$505,"Livrée et payée")))</f>
        <v/>
      </c>
      <c r="G143" s="29" t="str">
        <f t="shared" ca="1" si="6"/>
        <v/>
      </c>
      <c r="H143" s="29" t="str">
        <f>IF(A143="","",COUNTIFS(Ventes!$D$6:$D$505,A143,Ventes!$M$6:$M$505,"Annulée"))</f>
        <v/>
      </c>
      <c r="I143" s="28" t="str">
        <f t="shared" si="7"/>
        <v/>
      </c>
      <c r="J143" s="28" t="str">
        <f t="shared" si="8"/>
        <v/>
      </c>
      <c r="K143" s="18"/>
    </row>
    <row r="144" spans="1:11" x14ac:dyDescent="0.25">
      <c r="A144" s="18"/>
      <c r="B144" s="18"/>
      <c r="C144" s="18"/>
      <c r="D144" s="29" t="str">
        <f>IF(A144="","",COUNTIFS(Ventes!$D$6:$D$505,A144,Ventes!$M$6:$M$505,"Livrée et payée"))</f>
        <v/>
      </c>
      <c r="E144" s="25" t="str">
        <f>IF(A144="","",SUMIFS(Ventes!$K$6:$K$505,Ventes!$D$6:$D$505,A144,Ventes!$M$6:$M$505,"Livrée et payée"))</f>
        <v/>
      </c>
      <c r="F144" s="42" t="str">
        <f>IF(A144="","",IF(D144=0,"",_xlfn.MAXIFS(Ventes!$B$6:$B$505,Ventes!$D$6:$D$505,A144,Ventes!$M$6:$M$505,"Livrée et payée")))</f>
        <v/>
      </c>
      <c r="G144" s="29" t="str">
        <f t="shared" ca="1" si="6"/>
        <v/>
      </c>
      <c r="H144" s="29" t="str">
        <f>IF(A144="","",COUNTIFS(Ventes!$D$6:$D$505,A144,Ventes!$M$6:$M$505,"Annulée"))</f>
        <v/>
      </c>
      <c r="I144" s="28" t="str">
        <f t="shared" si="7"/>
        <v/>
      </c>
      <c r="J144" s="28" t="str">
        <f t="shared" si="8"/>
        <v/>
      </c>
      <c r="K144" s="18"/>
    </row>
    <row r="145" spans="1:11" x14ac:dyDescent="0.25">
      <c r="A145" s="18"/>
      <c r="B145" s="18"/>
      <c r="C145" s="18"/>
      <c r="D145" s="29" t="str">
        <f>IF(A145="","",COUNTIFS(Ventes!$D$6:$D$505,A145,Ventes!$M$6:$M$505,"Livrée et payée"))</f>
        <v/>
      </c>
      <c r="E145" s="25" t="str">
        <f>IF(A145="","",SUMIFS(Ventes!$K$6:$K$505,Ventes!$D$6:$D$505,A145,Ventes!$M$6:$M$505,"Livrée et payée"))</f>
        <v/>
      </c>
      <c r="F145" s="42" t="str">
        <f>IF(A145="","",IF(D145=0,"",_xlfn.MAXIFS(Ventes!$B$6:$B$505,Ventes!$D$6:$D$505,A145,Ventes!$M$6:$M$505,"Livrée et payée")))</f>
        <v/>
      </c>
      <c r="G145" s="29" t="str">
        <f t="shared" ca="1" si="6"/>
        <v/>
      </c>
      <c r="H145" s="29" t="str">
        <f>IF(A145="","",COUNTIFS(Ventes!$D$6:$D$505,A145,Ventes!$M$6:$M$505,"Annulée"))</f>
        <v/>
      </c>
      <c r="I145" s="28" t="str">
        <f t="shared" si="7"/>
        <v/>
      </c>
      <c r="J145" s="28" t="str">
        <f t="shared" si="8"/>
        <v/>
      </c>
      <c r="K145" s="18"/>
    </row>
    <row r="146" spans="1:11" x14ac:dyDescent="0.25">
      <c r="A146" s="18"/>
      <c r="B146" s="18"/>
      <c r="C146" s="18"/>
      <c r="D146" s="29" t="str">
        <f>IF(A146="","",COUNTIFS(Ventes!$D$6:$D$505,A146,Ventes!$M$6:$M$505,"Livrée et payée"))</f>
        <v/>
      </c>
      <c r="E146" s="25" t="str">
        <f>IF(A146="","",SUMIFS(Ventes!$K$6:$K$505,Ventes!$D$6:$D$505,A146,Ventes!$M$6:$M$505,"Livrée et payée"))</f>
        <v/>
      </c>
      <c r="F146" s="42" t="str">
        <f>IF(A146="","",IF(D146=0,"",_xlfn.MAXIFS(Ventes!$B$6:$B$505,Ventes!$D$6:$D$505,A146,Ventes!$M$6:$M$505,"Livrée et payée")))</f>
        <v/>
      </c>
      <c r="G146" s="29" t="str">
        <f t="shared" ca="1" si="6"/>
        <v/>
      </c>
      <c r="H146" s="29" t="str">
        <f>IF(A146="","",COUNTIFS(Ventes!$D$6:$D$505,A146,Ventes!$M$6:$M$505,"Annulée"))</f>
        <v/>
      </c>
      <c r="I146" s="28" t="str">
        <f t="shared" si="7"/>
        <v/>
      </c>
      <c r="J146" s="28" t="str">
        <f t="shared" si="8"/>
        <v/>
      </c>
      <c r="K146" s="18"/>
    </row>
    <row r="147" spans="1:11" x14ac:dyDescent="0.25">
      <c r="A147" s="18"/>
      <c r="B147" s="18"/>
      <c r="C147" s="18"/>
      <c r="D147" s="29" t="str">
        <f>IF(A147="","",COUNTIFS(Ventes!$D$6:$D$505,A147,Ventes!$M$6:$M$505,"Livrée et payée"))</f>
        <v/>
      </c>
      <c r="E147" s="25" t="str">
        <f>IF(A147="","",SUMIFS(Ventes!$K$6:$K$505,Ventes!$D$6:$D$505,A147,Ventes!$M$6:$M$505,"Livrée et payée"))</f>
        <v/>
      </c>
      <c r="F147" s="42" t="str">
        <f>IF(A147="","",IF(D147=0,"",_xlfn.MAXIFS(Ventes!$B$6:$B$505,Ventes!$D$6:$D$505,A147,Ventes!$M$6:$M$505,"Livrée et payée")))</f>
        <v/>
      </c>
      <c r="G147" s="29" t="str">
        <f t="shared" ca="1" si="6"/>
        <v/>
      </c>
      <c r="H147" s="29" t="str">
        <f>IF(A147="","",COUNTIFS(Ventes!$D$6:$D$505,A147,Ventes!$M$6:$M$505,"Annulée"))</f>
        <v/>
      </c>
      <c r="I147" s="28" t="str">
        <f t="shared" si="7"/>
        <v/>
      </c>
      <c r="J147" s="28" t="str">
        <f t="shared" si="8"/>
        <v/>
      </c>
      <c r="K147" s="18"/>
    </row>
    <row r="148" spans="1:11" x14ac:dyDescent="0.25">
      <c r="A148" s="18"/>
      <c r="B148" s="18"/>
      <c r="C148" s="18"/>
      <c r="D148" s="29" t="str">
        <f>IF(A148="","",COUNTIFS(Ventes!$D$6:$D$505,A148,Ventes!$M$6:$M$505,"Livrée et payée"))</f>
        <v/>
      </c>
      <c r="E148" s="25" t="str">
        <f>IF(A148="","",SUMIFS(Ventes!$K$6:$K$505,Ventes!$D$6:$D$505,A148,Ventes!$M$6:$M$505,"Livrée et payée"))</f>
        <v/>
      </c>
      <c r="F148" s="42" t="str">
        <f>IF(A148="","",IF(D148=0,"",_xlfn.MAXIFS(Ventes!$B$6:$B$505,Ventes!$D$6:$D$505,A148,Ventes!$M$6:$M$505,"Livrée et payée")))</f>
        <v/>
      </c>
      <c r="G148" s="29" t="str">
        <f t="shared" ca="1" si="6"/>
        <v/>
      </c>
      <c r="H148" s="29" t="str">
        <f>IF(A148="","",COUNTIFS(Ventes!$D$6:$D$505,A148,Ventes!$M$6:$M$505,"Annulée"))</f>
        <v/>
      </c>
      <c r="I148" s="28" t="str">
        <f t="shared" si="7"/>
        <v/>
      </c>
      <c r="J148" s="28" t="str">
        <f t="shared" si="8"/>
        <v/>
      </c>
      <c r="K148" s="18"/>
    </row>
    <row r="149" spans="1:11" x14ac:dyDescent="0.25">
      <c r="A149" s="18"/>
      <c r="B149" s="18"/>
      <c r="C149" s="18"/>
      <c r="D149" s="29" t="str">
        <f>IF(A149="","",COUNTIFS(Ventes!$D$6:$D$505,A149,Ventes!$M$6:$M$505,"Livrée et payée"))</f>
        <v/>
      </c>
      <c r="E149" s="25" t="str">
        <f>IF(A149="","",SUMIFS(Ventes!$K$6:$K$505,Ventes!$D$6:$D$505,A149,Ventes!$M$6:$M$505,"Livrée et payée"))</f>
        <v/>
      </c>
      <c r="F149" s="42" t="str">
        <f>IF(A149="","",IF(D149=0,"",_xlfn.MAXIFS(Ventes!$B$6:$B$505,Ventes!$D$6:$D$505,A149,Ventes!$M$6:$M$505,"Livrée et payée")))</f>
        <v/>
      </c>
      <c r="G149" s="29" t="str">
        <f t="shared" ca="1" si="6"/>
        <v/>
      </c>
      <c r="H149" s="29" t="str">
        <f>IF(A149="","",COUNTIFS(Ventes!$D$6:$D$505,A149,Ventes!$M$6:$M$505,"Annulée"))</f>
        <v/>
      </c>
      <c r="I149" s="28" t="str">
        <f t="shared" si="7"/>
        <v/>
      </c>
      <c r="J149" s="28" t="str">
        <f t="shared" si="8"/>
        <v/>
      </c>
      <c r="K149" s="18"/>
    </row>
    <row r="150" spans="1:11" x14ac:dyDescent="0.25">
      <c r="A150" s="18"/>
      <c r="B150" s="18"/>
      <c r="C150" s="18"/>
      <c r="D150" s="29" t="str">
        <f>IF(A150="","",COUNTIFS(Ventes!$D$6:$D$505,A150,Ventes!$M$6:$M$505,"Livrée et payée"))</f>
        <v/>
      </c>
      <c r="E150" s="25" t="str">
        <f>IF(A150="","",SUMIFS(Ventes!$K$6:$K$505,Ventes!$D$6:$D$505,A150,Ventes!$M$6:$M$505,"Livrée et payée"))</f>
        <v/>
      </c>
      <c r="F150" s="42" t="str">
        <f>IF(A150="","",IF(D150=0,"",_xlfn.MAXIFS(Ventes!$B$6:$B$505,Ventes!$D$6:$D$505,A150,Ventes!$M$6:$M$505,"Livrée et payée")))</f>
        <v/>
      </c>
      <c r="G150" s="29" t="str">
        <f t="shared" ca="1" si="6"/>
        <v/>
      </c>
      <c r="H150" s="29" t="str">
        <f>IF(A150="","",COUNTIFS(Ventes!$D$6:$D$505,A150,Ventes!$M$6:$M$505,"Annulée"))</f>
        <v/>
      </c>
      <c r="I150" s="28" t="str">
        <f t="shared" si="7"/>
        <v/>
      </c>
      <c r="J150" s="28" t="str">
        <f t="shared" si="8"/>
        <v/>
      </c>
      <c r="K150" s="18"/>
    </row>
    <row r="151" spans="1:11" x14ac:dyDescent="0.25">
      <c r="A151" s="18"/>
      <c r="B151" s="18"/>
      <c r="C151" s="18"/>
      <c r="D151" s="29" t="str">
        <f>IF(A151="","",COUNTIFS(Ventes!$D$6:$D$505,A151,Ventes!$M$6:$M$505,"Livrée et payée"))</f>
        <v/>
      </c>
      <c r="E151" s="25" t="str">
        <f>IF(A151="","",SUMIFS(Ventes!$K$6:$K$505,Ventes!$D$6:$D$505,A151,Ventes!$M$6:$M$505,"Livrée et payée"))</f>
        <v/>
      </c>
      <c r="F151" s="42" t="str">
        <f>IF(A151="","",IF(D151=0,"",_xlfn.MAXIFS(Ventes!$B$6:$B$505,Ventes!$D$6:$D$505,A151,Ventes!$M$6:$M$505,"Livrée et payée")))</f>
        <v/>
      </c>
      <c r="G151" s="29" t="str">
        <f t="shared" ca="1" si="6"/>
        <v/>
      </c>
      <c r="H151" s="29" t="str">
        <f>IF(A151="","",COUNTIFS(Ventes!$D$6:$D$505,A151,Ventes!$M$6:$M$505,"Annulée"))</f>
        <v/>
      </c>
      <c r="I151" s="28" t="str">
        <f t="shared" si="7"/>
        <v/>
      </c>
      <c r="J151" s="28" t="str">
        <f t="shared" si="8"/>
        <v/>
      </c>
      <c r="K151" s="18"/>
    </row>
    <row r="152" spans="1:11" x14ac:dyDescent="0.25">
      <c r="A152" s="18"/>
      <c r="B152" s="18"/>
      <c r="C152" s="18"/>
      <c r="D152" s="29" t="str">
        <f>IF(A152="","",COUNTIFS(Ventes!$D$6:$D$505,A152,Ventes!$M$6:$M$505,"Livrée et payée"))</f>
        <v/>
      </c>
      <c r="E152" s="25" t="str">
        <f>IF(A152="","",SUMIFS(Ventes!$K$6:$K$505,Ventes!$D$6:$D$505,A152,Ventes!$M$6:$M$505,"Livrée et payée"))</f>
        <v/>
      </c>
      <c r="F152" s="42" t="str">
        <f>IF(A152="","",IF(D152=0,"",_xlfn.MAXIFS(Ventes!$B$6:$B$505,Ventes!$D$6:$D$505,A152,Ventes!$M$6:$M$505,"Livrée et payée")))</f>
        <v/>
      </c>
      <c r="G152" s="29" t="str">
        <f t="shared" ca="1" si="6"/>
        <v/>
      </c>
      <c r="H152" s="29" t="str">
        <f>IF(A152="","",COUNTIFS(Ventes!$D$6:$D$505,A152,Ventes!$M$6:$M$505,"Annulée"))</f>
        <v/>
      </c>
      <c r="I152" s="28" t="str">
        <f t="shared" si="7"/>
        <v/>
      </c>
      <c r="J152" s="28" t="str">
        <f t="shared" si="8"/>
        <v/>
      </c>
      <c r="K152" s="18"/>
    </row>
    <row r="153" spans="1:11" x14ac:dyDescent="0.25">
      <c r="A153" s="18"/>
      <c r="B153" s="18"/>
      <c r="C153" s="18"/>
      <c r="D153" s="29" t="str">
        <f>IF(A153="","",COUNTIFS(Ventes!$D$6:$D$505,A153,Ventes!$M$6:$M$505,"Livrée et payée"))</f>
        <v/>
      </c>
      <c r="E153" s="25" t="str">
        <f>IF(A153="","",SUMIFS(Ventes!$K$6:$K$505,Ventes!$D$6:$D$505,A153,Ventes!$M$6:$M$505,"Livrée et payée"))</f>
        <v/>
      </c>
      <c r="F153" s="42" t="str">
        <f>IF(A153="","",IF(D153=0,"",_xlfn.MAXIFS(Ventes!$B$6:$B$505,Ventes!$D$6:$D$505,A153,Ventes!$M$6:$M$505,"Livrée et payée")))</f>
        <v/>
      </c>
      <c r="G153" s="29" t="str">
        <f t="shared" ca="1" si="6"/>
        <v/>
      </c>
      <c r="H153" s="29" t="str">
        <f>IF(A153="","",COUNTIFS(Ventes!$D$6:$D$505,A153,Ventes!$M$6:$M$505,"Annulée"))</f>
        <v/>
      </c>
      <c r="I153" s="28" t="str">
        <f t="shared" si="7"/>
        <v/>
      </c>
      <c r="J153" s="28" t="str">
        <f t="shared" si="8"/>
        <v/>
      </c>
      <c r="K153" s="18"/>
    </row>
    <row r="154" spans="1:11" x14ac:dyDescent="0.25">
      <c r="A154" s="18"/>
      <c r="B154" s="18"/>
      <c r="C154" s="18"/>
      <c r="D154" s="29" t="str">
        <f>IF(A154="","",COUNTIFS(Ventes!$D$6:$D$505,A154,Ventes!$M$6:$M$505,"Livrée et payée"))</f>
        <v/>
      </c>
      <c r="E154" s="25" t="str">
        <f>IF(A154="","",SUMIFS(Ventes!$K$6:$K$505,Ventes!$D$6:$D$505,A154,Ventes!$M$6:$M$505,"Livrée et payée"))</f>
        <v/>
      </c>
      <c r="F154" s="42" t="str">
        <f>IF(A154="","",IF(D154=0,"",_xlfn.MAXIFS(Ventes!$B$6:$B$505,Ventes!$D$6:$D$505,A154,Ventes!$M$6:$M$505,"Livrée et payée")))</f>
        <v/>
      </c>
      <c r="G154" s="29" t="str">
        <f t="shared" ca="1" si="6"/>
        <v/>
      </c>
      <c r="H154" s="29" t="str">
        <f>IF(A154="","",COUNTIFS(Ventes!$D$6:$D$505,A154,Ventes!$M$6:$M$505,"Annulée"))</f>
        <v/>
      </c>
      <c r="I154" s="28" t="str">
        <f t="shared" si="7"/>
        <v/>
      </c>
      <c r="J154" s="28" t="str">
        <f t="shared" si="8"/>
        <v/>
      </c>
      <c r="K154" s="18"/>
    </row>
    <row r="155" spans="1:11" x14ac:dyDescent="0.25">
      <c r="A155" s="18"/>
      <c r="B155" s="18"/>
      <c r="C155" s="18"/>
      <c r="D155" s="29" t="str">
        <f>IF(A155="","",COUNTIFS(Ventes!$D$6:$D$505,A155,Ventes!$M$6:$M$505,"Livrée et payée"))</f>
        <v/>
      </c>
      <c r="E155" s="25" t="str">
        <f>IF(A155="","",SUMIFS(Ventes!$K$6:$K$505,Ventes!$D$6:$D$505,A155,Ventes!$M$6:$M$505,"Livrée et payée"))</f>
        <v/>
      </c>
      <c r="F155" s="42" t="str">
        <f>IF(A155="","",IF(D155=0,"",_xlfn.MAXIFS(Ventes!$B$6:$B$505,Ventes!$D$6:$D$505,A155,Ventes!$M$6:$M$505,"Livrée et payée")))</f>
        <v/>
      </c>
      <c r="G155" s="29" t="str">
        <f t="shared" ca="1" si="6"/>
        <v/>
      </c>
      <c r="H155" s="29" t="str">
        <f>IF(A155="","",COUNTIFS(Ventes!$D$6:$D$505,A155,Ventes!$M$6:$M$505,"Annulée"))</f>
        <v/>
      </c>
      <c r="I155" s="28" t="str">
        <f t="shared" si="7"/>
        <v/>
      </c>
      <c r="J155" s="28" t="str">
        <f t="shared" si="8"/>
        <v/>
      </c>
      <c r="K155" s="18"/>
    </row>
    <row r="156" spans="1:11" x14ac:dyDescent="0.25">
      <c r="A156" s="18"/>
      <c r="B156" s="18"/>
      <c r="C156" s="18"/>
      <c r="D156" s="29" t="str">
        <f>IF(A156="","",COUNTIFS(Ventes!$D$6:$D$505,A156,Ventes!$M$6:$M$505,"Livrée et payée"))</f>
        <v/>
      </c>
      <c r="E156" s="25" t="str">
        <f>IF(A156="","",SUMIFS(Ventes!$K$6:$K$505,Ventes!$D$6:$D$505,A156,Ventes!$M$6:$M$505,"Livrée et payée"))</f>
        <v/>
      </c>
      <c r="F156" s="42" t="str">
        <f>IF(A156="","",IF(D156=0,"",_xlfn.MAXIFS(Ventes!$B$6:$B$505,Ventes!$D$6:$D$505,A156,Ventes!$M$6:$M$505,"Livrée et payée")))</f>
        <v/>
      </c>
      <c r="G156" s="29" t="str">
        <f t="shared" ca="1" si="6"/>
        <v/>
      </c>
      <c r="H156" s="29" t="str">
        <f>IF(A156="","",COUNTIFS(Ventes!$D$6:$D$505,A156,Ventes!$M$6:$M$505,"Annulée"))</f>
        <v/>
      </c>
      <c r="I156" s="28" t="str">
        <f t="shared" si="7"/>
        <v/>
      </c>
      <c r="J156" s="28" t="str">
        <f t="shared" si="8"/>
        <v/>
      </c>
      <c r="K156" s="18"/>
    </row>
    <row r="157" spans="1:11" x14ac:dyDescent="0.25">
      <c r="A157" s="18"/>
      <c r="B157" s="18"/>
      <c r="C157" s="18"/>
      <c r="D157" s="29" t="str">
        <f>IF(A157="","",COUNTIFS(Ventes!$D$6:$D$505,A157,Ventes!$M$6:$M$505,"Livrée et payée"))</f>
        <v/>
      </c>
      <c r="E157" s="25" t="str">
        <f>IF(A157="","",SUMIFS(Ventes!$K$6:$K$505,Ventes!$D$6:$D$505,A157,Ventes!$M$6:$M$505,"Livrée et payée"))</f>
        <v/>
      </c>
      <c r="F157" s="42" t="str">
        <f>IF(A157="","",IF(D157=0,"",_xlfn.MAXIFS(Ventes!$B$6:$B$505,Ventes!$D$6:$D$505,A157,Ventes!$M$6:$M$505,"Livrée et payée")))</f>
        <v/>
      </c>
      <c r="G157" s="29" t="str">
        <f t="shared" ca="1" si="6"/>
        <v/>
      </c>
      <c r="H157" s="29" t="str">
        <f>IF(A157="","",COUNTIFS(Ventes!$D$6:$D$505,A157,Ventes!$M$6:$M$505,"Annulée"))</f>
        <v/>
      </c>
      <c r="I157" s="28" t="str">
        <f t="shared" si="7"/>
        <v/>
      </c>
      <c r="J157" s="28" t="str">
        <f t="shared" si="8"/>
        <v/>
      </c>
      <c r="K157" s="18"/>
    </row>
    <row r="158" spans="1:11" x14ac:dyDescent="0.25">
      <c r="A158" s="18"/>
      <c r="B158" s="18"/>
      <c r="C158" s="18"/>
      <c r="D158" s="29" t="str">
        <f>IF(A158="","",COUNTIFS(Ventes!$D$6:$D$505,A158,Ventes!$M$6:$M$505,"Livrée et payée"))</f>
        <v/>
      </c>
      <c r="E158" s="25" t="str">
        <f>IF(A158="","",SUMIFS(Ventes!$K$6:$K$505,Ventes!$D$6:$D$505,A158,Ventes!$M$6:$M$505,"Livrée et payée"))</f>
        <v/>
      </c>
      <c r="F158" s="42" t="str">
        <f>IF(A158="","",IF(D158=0,"",_xlfn.MAXIFS(Ventes!$B$6:$B$505,Ventes!$D$6:$D$505,A158,Ventes!$M$6:$M$505,"Livrée et payée")))</f>
        <v/>
      </c>
      <c r="G158" s="29" t="str">
        <f t="shared" ca="1" si="6"/>
        <v/>
      </c>
      <c r="H158" s="29" t="str">
        <f>IF(A158="","",COUNTIFS(Ventes!$D$6:$D$505,A158,Ventes!$M$6:$M$505,"Annulée"))</f>
        <v/>
      </c>
      <c r="I158" s="28" t="str">
        <f t="shared" si="7"/>
        <v/>
      </c>
      <c r="J158" s="28" t="str">
        <f t="shared" si="8"/>
        <v/>
      </c>
      <c r="K158" s="18"/>
    </row>
    <row r="159" spans="1:11" x14ac:dyDescent="0.25">
      <c r="A159" s="18"/>
      <c r="B159" s="18"/>
      <c r="C159" s="18"/>
      <c r="D159" s="29" t="str">
        <f>IF(A159="","",COUNTIFS(Ventes!$D$6:$D$505,A159,Ventes!$M$6:$M$505,"Livrée et payée"))</f>
        <v/>
      </c>
      <c r="E159" s="25" t="str">
        <f>IF(A159="","",SUMIFS(Ventes!$K$6:$K$505,Ventes!$D$6:$D$505,A159,Ventes!$M$6:$M$505,"Livrée et payée"))</f>
        <v/>
      </c>
      <c r="F159" s="42" t="str">
        <f>IF(A159="","",IF(D159=0,"",_xlfn.MAXIFS(Ventes!$B$6:$B$505,Ventes!$D$6:$D$505,A159,Ventes!$M$6:$M$505,"Livrée et payée")))</f>
        <v/>
      </c>
      <c r="G159" s="29" t="str">
        <f t="shared" ca="1" si="6"/>
        <v/>
      </c>
      <c r="H159" s="29" t="str">
        <f>IF(A159="","",COUNTIFS(Ventes!$D$6:$D$505,A159,Ventes!$M$6:$M$505,"Annulée"))</f>
        <v/>
      </c>
      <c r="I159" s="28" t="str">
        <f t="shared" si="7"/>
        <v/>
      </c>
      <c r="J159" s="28" t="str">
        <f t="shared" si="8"/>
        <v/>
      </c>
      <c r="K159" s="18"/>
    </row>
    <row r="160" spans="1:11" x14ac:dyDescent="0.25">
      <c r="A160" s="18"/>
      <c r="B160" s="18"/>
      <c r="C160" s="18"/>
      <c r="D160" s="29" t="str">
        <f>IF(A160="","",COUNTIFS(Ventes!$D$6:$D$505,A160,Ventes!$M$6:$M$505,"Livrée et payée"))</f>
        <v/>
      </c>
      <c r="E160" s="25" t="str">
        <f>IF(A160="","",SUMIFS(Ventes!$K$6:$K$505,Ventes!$D$6:$D$505,A160,Ventes!$M$6:$M$505,"Livrée et payée"))</f>
        <v/>
      </c>
      <c r="F160" s="42" t="str">
        <f>IF(A160="","",IF(D160=0,"",_xlfn.MAXIFS(Ventes!$B$6:$B$505,Ventes!$D$6:$D$505,A160,Ventes!$M$6:$M$505,"Livrée et payée")))</f>
        <v/>
      </c>
      <c r="G160" s="29" t="str">
        <f t="shared" ca="1" si="6"/>
        <v/>
      </c>
      <c r="H160" s="29" t="str">
        <f>IF(A160="","",COUNTIFS(Ventes!$D$6:$D$505,A160,Ventes!$M$6:$M$505,"Annulée"))</f>
        <v/>
      </c>
      <c r="I160" s="28" t="str">
        <f t="shared" si="7"/>
        <v/>
      </c>
      <c r="J160" s="28" t="str">
        <f t="shared" si="8"/>
        <v/>
      </c>
      <c r="K160" s="18"/>
    </row>
    <row r="161" spans="1:11" x14ac:dyDescent="0.25">
      <c r="A161" s="18"/>
      <c r="B161" s="18"/>
      <c r="C161" s="18"/>
      <c r="D161" s="29" t="str">
        <f>IF(A161="","",COUNTIFS(Ventes!$D$6:$D$505,A161,Ventes!$M$6:$M$505,"Livrée et payée"))</f>
        <v/>
      </c>
      <c r="E161" s="25" t="str">
        <f>IF(A161="","",SUMIFS(Ventes!$K$6:$K$505,Ventes!$D$6:$D$505,A161,Ventes!$M$6:$M$505,"Livrée et payée"))</f>
        <v/>
      </c>
      <c r="F161" s="42" t="str">
        <f>IF(A161="","",IF(D161=0,"",_xlfn.MAXIFS(Ventes!$B$6:$B$505,Ventes!$D$6:$D$505,A161,Ventes!$M$6:$M$505,"Livrée et payée")))</f>
        <v/>
      </c>
      <c r="G161" s="29" t="str">
        <f t="shared" ca="1" si="6"/>
        <v/>
      </c>
      <c r="H161" s="29" t="str">
        <f>IF(A161="","",COUNTIFS(Ventes!$D$6:$D$505,A161,Ventes!$M$6:$M$505,"Annulée"))</f>
        <v/>
      </c>
      <c r="I161" s="28" t="str">
        <f t="shared" si="7"/>
        <v/>
      </c>
      <c r="J161" s="28" t="str">
        <f t="shared" si="8"/>
        <v/>
      </c>
      <c r="K161" s="18"/>
    </row>
    <row r="162" spans="1:11" x14ac:dyDescent="0.25">
      <c r="A162" s="18"/>
      <c r="B162" s="18"/>
      <c r="C162" s="18"/>
      <c r="D162" s="29" t="str">
        <f>IF(A162="","",COUNTIFS(Ventes!$D$6:$D$505,A162,Ventes!$M$6:$M$505,"Livrée et payée"))</f>
        <v/>
      </c>
      <c r="E162" s="25" t="str">
        <f>IF(A162="","",SUMIFS(Ventes!$K$6:$K$505,Ventes!$D$6:$D$505,A162,Ventes!$M$6:$M$505,"Livrée et payée"))</f>
        <v/>
      </c>
      <c r="F162" s="42" t="str">
        <f>IF(A162="","",IF(D162=0,"",_xlfn.MAXIFS(Ventes!$B$6:$B$505,Ventes!$D$6:$D$505,A162,Ventes!$M$6:$M$505,"Livrée et payée")))</f>
        <v/>
      </c>
      <c r="G162" s="29" t="str">
        <f t="shared" ca="1" si="6"/>
        <v/>
      </c>
      <c r="H162" s="29" t="str">
        <f>IF(A162="","",COUNTIFS(Ventes!$D$6:$D$505,A162,Ventes!$M$6:$M$505,"Annulée"))</f>
        <v/>
      </c>
      <c r="I162" s="28" t="str">
        <f t="shared" si="7"/>
        <v/>
      </c>
      <c r="J162" s="28" t="str">
        <f t="shared" si="8"/>
        <v/>
      </c>
      <c r="K162" s="18"/>
    </row>
    <row r="163" spans="1:11" x14ac:dyDescent="0.25">
      <c r="A163" s="18"/>
      <c r="B163" s="18"/>
      <c r="C163" s="18"/>
      <c r="D163" s="29" t="str">
        <f>IF(A163="","",COUNTIFS(Ventes!$D$6:$D$505,A163,Ventes!$M$6:$M$505,"Livrée et payée"))</f>
        <v/>
      </c>
      <c r="E163" s="25" t="str">
        <f>IF(A163="","",SUMIFS(Ventes!$K$6:$K$505,Ventes!$D$6:$D$505,A163,Ventes!$M$6:$M$505,"Livrée et payée"))</f>
        <v/>
      </c>
      <c r="F163" s="42" t="str">
        <f>IF(A163="","",IF(D163=0,"",_xlfn.MAXIFS(Ventes!$B$6:$B$505,Ventes!$D$6:$D$505,A163,Ventes!$M$6:$M$505,"Livrée et payée")))</f>
        <v/>
      </c>
      <c r="G163" s="29" t="str">
        <f t="shared" ca="1" si="6"/>
        <v/>
      </c>
      <c r="H163" s="29" t="str">
        <f>IF(A163="","",COUNTIFS(Ventes!$D$6:$D$505,A163,Ventes!$M$6:$M$505,"Annulée"))</f>
        <v/>
      </c>
      <c r="I163" s="28" t="str">
        <f t="shared" si="7"/>
        <v/>
      </c>
      <c r="J163" s="28" t="str">
        <f t="shared" si="8"/>
        <v/>
      </c>
      <c r="K163" s="18"/>
    </row>
    <row r="164" spans="1:11" x14ac:dyDescent="0.25">
      <c r="A164" s="18"/>
      <c r="B164" s="18"/>
      <c r="C164" s="18"/>
      <c r="D164" s="29" t="str">
        <f>IF(A164="","",COUNTIFS(Ventes!$D$6:$D$505,A164,Ventes!$M$6:$M$505,"Livrée et payée"))</f>
        <v/>
      </c>
      <c r="E164" s="25" t="str">
        <f>IF(A164="","",SUMIFS(Ventes!$K$6:$K$505,Ventes!$D$6:$D$505,A164,Ventes!$M$6:$M$505,"Livrée et payée"))</f>
        <v/>
      </c>
      <c r="F164" s="42" t="str">
        <f>IF(A164="","",IF(D164=0,"",_xlfn.MAXIFS(Ventes!$B$6:$B$505,Ventes!$D$6:$D$505,A164,Ventes!$M$6:$M$505,"Livrée et payée")))</f>
        <v/>
      </c>
      <c r="G164" s="29" t="str">
        <f t="shared" ca="1" si="6"/>
        <v/>
      </c>
      <c r="H164" s="29" t="str">
        <f>IF(A164="","",COUNTIFS(Ventes!$D$6:$D$505,A164,Ventes!$M$6:$M$505,"Annulée"))</f>
        <v/>
      </c>
      <c r="I164" s="28" t="str">
        <f t="shared" si="7"/>
        <v/>
      </c>
      <c r="J164" s="28" t="str">
        <f t="shared" si="8"/>
        <v/>
      </c>
      <c r="K164" s="18"/>
    </row>
    <row r="165" spans="1:11" x14ac:dyDescent="0.25">
      <c r="A165" s="18"/>
      <c r="B165" s="18"/>
      <c r="C165" s="18"/>
      <c r="D165" s="29" t="str">
        <f>IF(A165="","",COUNTIFS(Ventes!$D$6:$D$505,A165,Ventes!$M$6:$M$505,"Livrée et payée"))</f>
        <v/>
      </c>
      <c r="E165" s="25" t="str">
        <f>IF(A165="","",SUMIFS(Ventes!$K$6:$K$505,Ventes!$D$6:$D$505,A165,Ventes!$M$6:$M$505,"Livrée et payée"))</f>
        <v/>
      </c>
      <c r="F165" s="42" t="str">
        <f>IF(A165="","",IF(D165=0,"",_xlfn.MAXIFS(Ventes!$B$6:$B$505,Ventes!$D$6:$D$505,A165,Ventes!$M$6:$M$505,"Livrée et payée")))</f>
        <v/>
      </c>
      <c r="G165" s="29" t="str">
        <f t="shared" ca="1" si="6"/>
        <v/>
      </c>
      <c r="H165" s="29" t="str">
        <f>IF(A165="","",COUNTIFS(Ventes!$D$6:$D$505,A165,Ventes!$M$6:$M$505,"Annulée"))</f>
        <v/>
      </c>
      <c r="I165" s="28" t="str">
        <f t="shared" si="7"/>
        <v/>
      </c>
      <c r="J165" s="28" t="str">
        <f t="shared" si="8"/>
        <v/>
      </c>
      <c r="K165" s="18"/>
    </row>
    <row r="166" spans="1:11" x14ac:dyDescent="0.25">
      <c r="A166" s="18"/>
      <c r="B166" s="18"/>
      <c r="C166" s="18"/>
      <c r="D166" s="29" t="str">
        <f>IF(A166="","",COUNTIFS(Ventes!$D$6:$D$505,A166,Ventes!$M$6:$M$505,"Livrée et payée"))</f>
        <v/>
      </c>
      <c r="E166" s="25" t="str">
        <f>IF(A166="","",SUMIFS(Ventes!$K$6:$K$505,Ventes!$D$6:$D$505,A166,Ventes!$M$6:$M$505,"Livrée et payée"))</f>
        <v/>
      </c>
      <c r="F166" s="42" t="str">
        <f>IF(A166="","",IF(D166=0,"",_xlfn.MAXIFS(Ventes!$B$6:$B$505,Ventes!$D$6:$D$505,A166,Ventes!$M$6:$M$505,"Livrée et payée")))</f>
        <v/>
      </c>
      <c r="G166" s="29" t="str">
        <f t="shared" ca="1" si="6"/>
        <v/>
      </c>
      <c r="H166" s="29" t="str">
        <f>IF(A166="","",COUNTIFS(Ventes!$D$6:$D$505,A166,Ventes!$M$6:$M$505,"Annulée"))</f>
        <v/>
      </c>
      <c r="I166" s="28" t="str">
        <f t="shared" si="7"/>
        <v/>
      </c>
      <c r="J166" s="28" t="str">
        <f t="shared" si="8"/>
        <v/>
      </c>
      <c r="K166" s="18"/>
    </row>
    <row r="167" spans="1:11" x14ac:dyDescent="0.25">
      <c r="A167" s="18"/>
      <c r="B167" s="18"/>
      <c r="C167" s="18"/>
      <c r="D167" s="29" t="str">
        <f>IF(A167="","",COUNTIFS(Ventes!$D$6:$D$505,A167,Ventes!$M$6:$M$505,"Livrée et payée"))</f>
        <v/>
      </c>
      <c r="E167" s="25" t="str">
        <f>IF(A167="","",SUMIFS(Ventes!$K$6:$K$505,Ventes!$D$6:$D$505,A167,Ventes!$M$6:$M$505,"Livrée et payée"))</f>
        <v/>
      </c>
      <c r="F167" s="42" t="str">
        <f>IF(A167="","",IF(D167=0,"",_xlfn.MAXIFS(Ventes!$B$6:$B$505,Ventes!$D$6:$D$505,A167,Ventes!$M$6:$M$505,"Livrée et payée")))</f>
        <v/>
      </c>
      <c r="G167" s="29" t="str">
        <f t="shared" ca="1" si="6"/>
        <v/>
      </c>
      <c r="H167" s="29" t="str">
        <f>IF(A167="","",COUNTIFS(Ventes!$D$6:$D$505,A167,Ventes!$M$6:$M$505,"Annulée"))</f>
        <v/>
      </c>
      <c r="I167" s="28" t="str">
        <f t="shared" si="7"/>
        <v/>
      </c>
      <c r="J167" s="28" t="str">
        <f t="shared" si="8"/>
        <v/>
      </c>
      <c r="K167" s="18"/>
    </row>
    <row r="168" spans="1:11" x14ac:dyDescent="0.25">
      <c r="A168" s="18"/>
      <c r="B168" s="18"/>
      <c r="C168" s="18"/>
      <c r="D168" s="29" t="str">
        <f>IF(A168="","",COUNTIFS(Ventes!$D$6:$D$505,A168,Ventes!$M$6:$M$505,"Livrée et payée"))</f>
        <v/>
      </c>
      <c r="E168" s="25" t="str">
        <f>IF(A168="","",SUMIFS(Ventes!$K$6:$K$505,Ventes!$D$6:$D$505,A168,Ventes!$M$6:$M$505,"Livrée et payée"))</f>
        <v/>
      </c>
      <c r="F168" s="42" t="str">
        <f>IF(A168="","",IF(D168=0,"",_xlfn.MAXIFS(Ventes!$B$6:$B$505,Ventes!$D$6:$D$505,A168,Ventes!$M$6:$M$505,"Livrée et payée")))</f>
        <v/>
      </c>
      <c r="G168" s="29" t="str">
        <f t="shared" ca="1" si="6"/>
        <v/>
      </c>
      <c r="H168" s="29" t="str">
        <f>IF(A168="","",COUNTIFS(Ventes!$D$6:$D$505,A168,Ventes!$M$6:$M$505,"Annulée"))</f>
        <v/>
      </c>
      <c r="I168" s="28" t="str">
        <f t="shared" si="7"/>
        <v/>
      </c>
      <c r="J168" s="28" t="str">
        <f t="shared" si="8"/>
        <v/>
      </c>
      <c r="K168" s="18"/>
    </row>
    <row r="169" spans="1:11" x14ac:dyDescent="0.25">
      <c r="A169" s="18"/>
      <c r="B169" s="18"/>
      <c r="C169" s="18"/>
      <c r="D169" s="29" t="str">
        <f>IF(A169="","",COUNTIFS(Ventes!$D$6:$D$505,A169,Ventes!$M$6:$M$505,"Livrée et payée"))</f>
        <v/>
      </c>
      <c r="E169" s="25" t="str">
        <f>IF(A169="","",SUMIFS(Ventes!$K$6:$K$505,Ventes!$D$6:$D$505,A169,Ventes!$M$6:$M$505,"Livrée et payée"))</f>
        <v/>
      </c>
      <c r="F169" s="42" t="str">
        <f>IF(A169="","",IF(D169=0,"",_xlfn.MAXIFS(Ventes!$B$6:$B$505,Ventes!$D$6:$D$505,A169,Ventes!$M$6:$M$505,"Livrée et payée")))</f>
        <v/>
      </c>
      <c r="G169" s="29" t="str">
        <f t="shared" ca="1" si="6"/>
        <v/>
      </c>
      <c r="H169" s="29" t="str">
        <f>IF(A169="","",COUNTIFS(Ventes!$D$6:$D$505,A169,Ventes!$M$6:$M$505,"Annulée"))</f>
        <v/>
      </c>
      <c r="I169" s="28" t="str">
        <f t="shared" si="7"/>
        <v/>
      </c>
      <c r="J169" s="28" t="str">
        <f t="shared" si="8"/>
        <v/>
      </c>
      <c r="K169" s="18"/>
    </row>
    <row r="170" spans="1:11" x14ac:dyDescent="0.25">
      <c r="A170" s="18"/>
      <c r="B170" s="18"/>
      <c r="C170" s="18"/>
      <c r="D170" s="29" t="str">
        <f>IF(A170="","",COUNTIFS(Ventes!$D$6:$D$505,A170,Ventes!$M$6:$M$505,"Livrée et payée"))</f>
        <v/>
      </c>
      <c r="E170" s="25" t="str">
        <f>IF(A170="","",SUMIFS(Ventes!$K$6:$K$505,Ventes!$D$6:$D$505,A170,Ventes!$M$6:$M$505,"Livrée et payée"))</f>
        <v/>
      </c>
      <c r="F170" s="42" t="str">
        <f>IF(A170="","",IF(D170=0,"",_xlfn.MAXIFS(Ventes!$B$6:$B$505,Ventes!$D$6:$D$505,A170,Ventes!$M$6:$M$505,"Livrée et payée")))</f>
        <v/>
      </c>
      <c r="G170" s="29" t="str">
        <f t="shared" ca="1" si="6"/>
        <v/>
      </c>
      <c r="H170" s="29" t="str">
        <f>IF(A170="","",COUNTIFS(Ventes!$D$6:$D$505,A170,Ventes!$M$6:$M$505,"Annulée"))</f>
        <v/>
      </c>
      <c r="I170" s="28" t="str">
        <f t="shared" si="7"/>
        <v/>
      </c>
      <c r="J170" s="28" t="str">
        <f t="shared" si="8"/>
        <v/>
      </c>
      <c r="K170" s="18"/>
    </row>
    <row r="171" spans="1:11" x14ac:dyDescent="0.25">
      <c r="A171" s="18"/>
      <c r="B171" s="18"/>
      <c r="C171" s="18"/>
      <c r="D171" s="29" t="str">
        <f>IF(A171="","",COUNTIFS(Ventes!$D$6:$D$505,A171,Ventes!$M$6:$M$505,"Livrée et payée"))</f>
        <v/>
      </c>
      <c r="E171" s="25" t="str">
        <f>IF(A171="","",SUMIFS(Ventes!$K$6:$K$505,Ventes!$D$6:$D$505,A171,Ventes!$M$6:$M$505,"Livrée et payée"))</f>
        <v/>
      </c>
      <c r="F171" s="42" t="str">
        <f>IF(A171="","",IF(D171=0,"",_xlfn.MAXIFS(Ventes!$B$6:$B$505,Ventes!$D$6:$D$505,A171,Ventes!$M$6:$M$505,"Livrée et payée")))</f>
        <v/>
      </c>
      <c r="G171" s="29" t="str">
        <f t="shared" ca="1" si="6"/>
        <v/>
      </c>
      <c r="H171" s="29" t="str">
        <f>IF(A171="","",COUNTIFS(Ventes!$D$6:$D$505,A171,Ventes!$M$6:$M$505,"Annulée"))</f>
        <v/>
      </c>
      <c r="I171" s="28" t="str">
        <f t="shared" si="7"/>
        <v/>
      </c>
      <c r="J171" s="28" t="str">
        <f t="shared" si="8"/>
        <v/>
      </c>
      <c r="K171" s="18"/>
    </row>
    <row r="172" spans="1:11" x14ac:dyDescent="0.25">
      <c r="A172" s="18"/>
      <c r="B172" s="18"/>
      <c r="C172" s="18"/>
      <c r="D172" s="29" t="str">
        <f>IF(A172="","",COUNTIFS(Ventes!$D$6:$D$505,A172,Ventes!$M$6:$M$505,"Livrée et payée"))</f>
        <v/>
      </c>
      <c r="E172" s="25" t="str">
        <f>IF(A172="","",SUMIFS(Ventes!$K$6:$K$505,Ventes!$D$6:$D$505,A172,Ventes!$M$6:$M$505,"Livrée et payée"))</f>
        <v/>
      </c>
      <c r="F172" s="42" t="str">
        <f>IF(A172="","",IF(D172=0,"",_xlfn.MAXIFS(Ventes!$B$6:$B$505,Ventes!$D$6:$D$505,A172,Ventes!$M$6:$M$505,"Livrée et payée")))</f>
        <v/>
      </c>
      <c r="G172" s="29" t="str">
        <f t="shared" ca="1" si="6"/>
        <v/>
      </c>
      <c r="H172" s="29" t="str">
        <f>IF(A172="","",COUNTIFS(Ventes!$D$6:$D$505,A172,Ventes!$M$6:$M$505,"Annulée"))</f>
        <v/>
      </c>
      <c r="I172" s="28" t="str">
        <f t="shared" si="7"/>
        <v/>
      </c>
      <c r="J172" s="28" t="str">
        <f t="shared" si="8"/>
        <v/>
      </c>
      <c r="K172" s="18"/>
    </row>
    <row r="173" spans="1:11" x14ac:dyDescent="0.25">
      <c r="A173" s="18"/>
      <c r="B173" s="18"/>
      <c r="C173" s="18"/>
      <c r="D173" s="29" t="str">
        <f>IF(A173="","",COUNTIFS(Ventes!$D$6:$D$505,A173,Ventes!$M$6:$M$505,"Livrée et payée"))</f>
        <v/>
      </c>
      <c r="E173" s="25" t="str">
        <f>IF(A173="","",SUMIFS(Ventes!$K$6:$K$505,Ventes!$D$6:$D$505,A173,Ventes!$M$6:$M$505,"Livrée et payée"))</f>
        <v/>
      </c>
      <c r="F173" s="42" t="str">
        <f>IF(A173="","",IF(D173=0,"",_xlfn.MAXIFS(Ventes!$B$6:$B$505,Ventes!$D$6:$D$505,A173,Ventes!$M$6:$M$505,"Livrée et payée")))</f>
        <v/>
      </c>
      <c r="G173" s="29" t="str">
        <f t="shared" ca="1" si="6"/>
        <v/>
      </c>
      <c r="H173" s="29" t="str">
        <f>IF(A173="","",COUNTIFS(Ventes!$D$6:$D$505,A173,Ventes!$M$6:$M$505,"Annulée"))</f>
        <v/>
      </c>
      <c r="I173" s="28" t="str">
        <f t="shared" si="7"/>
        <v/>
      </c>
      <c r="J173" s="28" t="str">
        <f t="shared" si="8"/>
        <v/>
      </c>
      <c r="K173" s="18"/>
    </row>
    <row r="174" spans="1:11" x14ac:dyDescent="0.25">
      <c r="A174" s="18"/>
      <c r="B174" s="18"/>
      <c r="C174" s="18"/>
      <c r="D174" s="29" t="str">
        <f>IF(A174="","",COUNTIFS(Ventes!$D$6:$D$505,A174,Ventes!$M$6:$M$505,"Livrée et payée"))</f>
        <v/>
      </c>
      <c r="E174" s="25" t="str">
        <f>IF(A174="","",SUMIFS(Ventes!$K$6:$K$505,Ventes!$D$6:$D$505,A174,Ventes!$M$6:$M$505,"Livrée et payée"))</f>
        <v/>
      </c>
      <c r="F174" s="42" t="str">
        <f>IF(A174="","",IF(D174=0,"",_xlfn.MAXIFS(Ventes!$B$6:$B$505,Ventes!$D$6:$D$505,A174,Ventes!$M$6:$M$505,"Livrée et payée")))</f>
        <v/>
      </c>
      <c r="G174" s="29" t="str">
        <f t="shared" ca="1" si="6"/>
        <v/>
      </c>
      <c r="H174" s="29" t="str">
        <f>IF(A174="","",COUNTIFS(Ventes!$D$6:$D$505,A174,Ventes!$M$6:$M$505,"Annulée"))</f>
        <v/>
      </c>
      <c r="I174" s="28" t="str">
        <f t="shared" si="7"/>
        <v/>
      </c>
      <c r="J174" s="28" t="str">
        <f t="shared" si="8"/>
        <v/>
      </c>
      <c r="K174" s="18"/>
    </row>
    <row r="175" spans="1:11" x14ac:dyDescent="0.25">
      <c r="A175" s="18"/>
      <c r="B175" s="18"/>
      <c r="C175" s="18"/>
      <c r="D175" s="29" t="str">
        <f>IF(A175="","",COUNTIFS(Ventes!$D$6:$D$505,A175,Ventes!$M$6:$M$505,"Livrée et payée"))</f>
        <v/>
      </c>
      <c r="E175" s="25" t="str">
        <f>IF(A175="","",SUMIFS(Ventes!$K$6:$K$505,Ventes!$D$6:$D$505,A175,Ventes!$M$6:$M$505,"Livrée et payée"))</f>
        <v/>
      </c>
      <c r="F175" s="42" t="str">
        <f>IF(A175="","",IF(D175=0,"",_xlfn.MAXIFS(Ventes!$B$6:$B$505,Ventes!$D$6:$D$505,A175,Ventes!$M$6:$M$505,"Livrée et payée")))</f>
        <v/>
      </c>
      <c r="G175" s="29" t="str">
        <f t="shared" ca="1" si="6"/>
        <v/>
      </c>
      <c r="H175" s="29" t="str">
        <f>IF(A175="","",COUNTIFS(Ventes!$D$6:$D$505,A175,Ventes!$M$6:$M$505,"Annulée"))</f>
        <v/>
      </c>
      <c r="I175" s="28" t="str">
        <f t="shared" si="7"/>
        <v/>
      </c>
      <c r="J175" s="28" t="str">
        <f t="shared" si="8"/>
        <v/>
      </c>
      <c r="K175" s="18"/>
    </row>
    <row r="176" spans="1:11" x14ac:dyDescent="0.25">
      <c r="A176" s="18"/>
      <c r="B176" s="18"/>
      <c r="C176" s="18"/>
      <c r="D176" s="29" t="str">
        <f>IF(A176="","",COUNTIFS(Ventes!$D$6:$D$505,A176,Ventes!$M$6:$M$505,"Livrée et payée"))</f>
        <v/>
      </c>
      <c r="E176" s="25" t="str">
        <f>IF(A176="","",SUMIFS(Ventes!$K$6:$K$505,Ventes!$D$6:$D$505,A176,Ventes!$M$6:$M$505,"Livrée et payée"))</f>
        <v/>
      </c>
      <c r="F176" s="42" t="str">
        <f>IF(A176="","",IF(D176=0,"",_xlfn.MAXIFS(Ventes!$B$6:$B$505,Ventes!$D$6:$D$505,A176,Ventes!$M$6:$M$505,"Livrée et payée")))</f>
        <v/>
      </c>
      <c r="G176" s="29" t="str">
        <f t="shared" ca="1" si="6"/>
        <v/>
      </c>
      <c r="H176" s="29" t="str">
        <f>IF(A176="","",COUNTIFS(Ventes!$D$6:$D$505,A176,Ventes!$M$6:$M$505,"Annulée"))</f>
        <v/>
      </c>
      <c r="I176" s="28" t="str">
        <f t="shared" si="7"/>
        <v/>
      </c>
      <c r="J176" s="28" t="str">
        <f t="shared" si="8"/>
        <v/>
      </c>
      <c r="K176" s="18"/>
    </row>
    <row r="177" spans="1:11" x14ac:dyDescent="0.25">
      <c r="A177" s="18"/>
      <c r="B177" s="18"/>
      <c r="C177" s="18"/>
      <c r="D177" s="29" t="str">
        <f>IF(A177="","",COUNTIFS(Ventes!$D$6:$D$505,A177,Ventes!$M$6:$M$505,"Livrée et payée"))</f>
        <v/>
      </c>
      <c r="E177" s="25" t="str">
        <f>IF(A177="","",SUMIFS(Ventes!$K$6:$K$505,Ventes!$D$6:$D$505,A177,Ventes!$M$6:$M$505,"Livrée et payée"))</f>
        <v/>
      </c>
      <c r="F177" s="42" t="str">
        <f>IF(A177="","",IF(D177=0,"",_xlfn.MAXIFS(Ventes!$B$6:$B$505,Ventes!$D$6:$D$505,A177,Ventes!$M$6:$M$505,"Livrée et payée")))</f>
        <v/>
      </c>
      <c r="G177" s="29" t="str">
        <f t="shared" ca="1" si="6"/>
        <v/>
      </c>
      <c r="H177" s="29" t="str">
        <f>IF(A177="","",COUNTIFS(Ventes!$D$6:$D$505,A177,Ventes!$M$6:$M$505,"Annulée"))</f>
        <v/>
      </c>
      <c r="I177" s="28" t="str">
        <f t="shared" si="7"/>
        <v/>
      </c>
      <c r="J177" s="28" t="str">
        <f t="shared" si="8"/>
        <v/>
      </c>
      <c r="K177" s="18"/>
    </row>
    <row r="178" spans="1:11" x14ac:dyDescent="0.25">
      <c r="A178" s="18"/>
      <c r="B178" s="18"/>
      <c r="C178" s="18"/>
      <c r="D178" s="29" t="str">
        <f>IF(A178="","",COUNTIFS(Ventes!$D$6:$D$505,A178,Ventes!$M$6:$M$505,"Livrée et payée"))</f>
        <v/>
      </c>
      <c r="E178" s="25" t="str">
        <f>IF(A178="","",SUMIFS(Ventes!$K$6:$K$505,Ventes!$D$6:$D$505,A178,Ventes!$M$6:$M$505,"Livrée et payée"))</f>
        <v/>
      </c>
      <c r="F178" s="42" t="str">
        <f>IF(A178="","",IF(D178=0,"",_xlfn.MAXIFS(Ventes!$B$6:$B$505,Ventes!$D$6:$D$505,A178,Ventes!$M$6:$M$505,"Livrée et payée")))</f>
        <v/>
      </c>
      <c r="G178" s="29" t="str">
        <f t="shared" ca="1" si="6"/>
        <v/>
      </c>
      <c r="H178" s="29" t="str">
        <f>IF(A178="","",COUNTIFS(Ventes!$D$6:$D$505,A178,Ventes!$M$6:$M$505,"Annulée"))</f>
        <v/>
      </c>
      <c r="I178" s="28" t="str">
        <f t="shared" si="7"/>
        <v/>
      </c>
      <c r="J178" s="28" t="str">
        <f t="shared" si="8"/>
        <v/>
      </c>
      <c r="K178" s="18"/>
    </row>
    <row r="179" spans="1:11" x14ac:dyDescent="0.25">
      <c r="A179" s="18"/>
      <c r="B179" s="18"/>
      <c r="C179" s="18"/>
      <c r="D179" s="29" t="str">
        <f>IF(A179="","",COUNTIFS(Ventes!$D$6:$D$505,A179,Ventes!$M$6:$M$505,"Livrée et payée"))</f>
        <v/>
      </c>
      <c r="E179" s="25" t="str">
        <f>IF(A179="","",SUMIFS(Ventes!$K$6:$K$505,Ventes!$D$6:$D$505,A179,Ventes!$M$6:$M$505,"Livrée et payée"))</f>
        <v/>
      </c>
      <c r="F179" s="42" t="str">
        <f>IF(A179="","",IF(D179=0,"",_xlfn.MAXIFS(Ventes!$B$6:$B$505,Ventes!$D$6:$D$505,A179,Ventes!$M$6:$M$505,"Livrée et payée")))</f>
        <v/>
      </c>
      <c r="G179" s="29" t="str">
        <f t="shared" ca="1" si="6"/>
        <v/>
      </c>
      <c r="H179" s="29" t="str">
        <f>IF(A179="","",COUNTIFS(Ventes!$D$6:$D$505,A179,Ventes!$M$6:$M$505,"Annulée"))</f>
        <v/>
      </c>
      <c r="I179" s="28" t="str">
        <f t="shared" si="7"/>
        <v/>
      </c>
      <c r="J179" s="28" t="str">
        <f t="shared" si="8"/>
        <v/>
      </c>
      <c r="K179" s="18"/>
    </row>
    <row r="180" spans="1:11" x14ac:dyDescent="0.25">
      <c r="A180" s="18"/>
      <c r="B180" s="18"/>
      <c r="C180" s="18"/>
      <c r="D180" s="29" t="str">
        <f>IF(A180="","",COUNTIFS(Ventes!$D$6:$D$505,A180,Ventes!$M$6:$M$505,"Livrée et payée"))</f>
        <v/>
      </c>
      <c r="E180" s="25" t="str">
        <f>IF(A180="","",SUMIFS(Ventes!$K$6:$K$505,Ventes!$D$6:$D$505,A180,Ventes!$M$6:$M$505,"Livrée et payée"))</f>
        <v/>
      </c>
      <c r="F180" s="42" t="str">
        <f>IF(A180="","",IF(D180=0,"",_xlfn.MAXIFS(Ventes!$B$6:$B$505,Ventes!$D$6:$D$505,A180,Ventes!$M$6:$M$505,"Livrée et payée")))</f>
        <v/>
      </c>
      <c r="G180" s="29" t="str">
        <f t="shared" ca="1" si="6"/>
        <v/>
      </c>
      <c r="H180" s="29" t="str">
        <f>IF(A180="","",COUNTIFS(Ventes!$D$6:$D$505,A180,Ventes!$M$6:$M$505,"Annulée"))</f>
        <v/>
      </c>
      <c r="I180" s="28" t="str">
        <f t="shared" si="7"/>
        <v/>
      </c>
      <c r="J180" s="28" t="str">
        <f t="shared" si="8"/>
        <v/>
      </c>
      <c r="K180" s="18"/>
    </row>
    <row r="181" spans="1:11" x14ac:dyDescent="0.25">
      <c r="A181" s="18"/>
      <c r="B181" s="18"/>
      <c r="C181" s="18"/>
      <c r="D181" s="29" t="str">
        <f>IF(A181="","",COUNTIFS(Ventes!$D$6:$D$505,A181,Ventes!$M$6:$M$505,"Livrée et payée"))</f>
        <v/>
      </c>
      <c r="E181" s="25" t="str">
        <f>IF(A181="","",SUMIFS(Ventes!$K$6:$K$505,Ventes!$D$6:$D$505,A181,Ventes!$M$6:$M$505,"Livrée et payée"))</f>
        <v/>
      </c>
      <c r="F181" s="42" t="str">
        <f>IF(A181="","",IF(D181=0,"",_xlfn.MAXIFS(Ventes!$B$6:$B$505,Ventes!$D$6:$D$505,A181,Ventes!$M$6:$M$505,"Livrée et payée")))</f>
        <v/>
      </c>
      <c r="G181" s="29" t="str">
        <f t="shared" ca="1" si="6"/>
        <v/>
      </c>
      <c r="H181" s="29" t="str">
        <f>IF(A181="","",COUNTIFS(Ventes!$D$6:$D$505,A181,Ventes!$M$6:$M$505,"Annulée"))</f>
        <v/>
      </c>
      <c r="I181" s="28" t="str">
        <f t="shared" si="7"/>
        <v/>
      </c>
      <c r="J181" s="28" t="str">
        <f t="shared" si="8"/>
        <v/>
      </c>
      <c r="K181" s="18"/>
    </row>
    <row r="182" spans="1:11" x14ac:dyDescent="0.25">
      <c r="A182" s="18"/>
      <c r="B182" s="18"/>
      <c r="C182" s="18"/>
      <c r="D182" s="29" t="str">
        <f>IF(A182="","",COUNTIFS(Ventes!$D$6:$D$505,A182,Ventes!$M$6:$M$505,"Livrée et payée"))</f>
        <v/>
      </c>
      <c r="E182" s="25" t="str">
        <f>IF(A182="","",SUMIFS(Ventes!$K$6:$K$505,Ventes!$D$6:$D$505,A182,Ventes!$M$6:$M$505,"Livrée et payée"))</f>
        <v/>
      </c>
      <c r="F182" s="42" t="str">
        <f>IF(A182="","",IF(D182=0,"",_xlfn.MAXIFS(Ventes!$B$6:$B$505,Ventes!$D$6:$D$505,A182,Ventes!$M$6:$M$505,"Livrée et payée")))</f>
        <v/>
      </c>
      <c r="G182" s="29" t="str">
        <f t="shared" ca="1" si="6"/>
        <v/>
      </c>
      <c r="H182" s="29" t="str">
        <f>IF(A182="","",COUNTIFS(Ventes!$D$6:$D$505,A182,Ventes!$M$6:$M$505,"Annulée"))</f>
        <v/>
      </c>
      <c r="I182" s="28" t="str">
        <f t="shared" si="7"/>
        <v/>
      </c>
      <c r="J182" s="28" t="str">
        <f t="shared" si="8"/>
        <v/>
      </c>
      <c r="K182" s="18"/>
    </row>
    <row r="183" spans="1:11" x14ac:dyDescent="0.25">
      <c r="A183" s="18"/>
      <c r="B183" s="18"/>
      <c r="C183" s="18"/>
      <c r="D183" s="29" t="str">
        <f>IF(A183="","",COUNTIFS(Ventes!$D$6:$D$505,A183,Ventes!$M$6:$M$505,"Livrée et payée"))</f>
        <v/>
      </c>
      <c r="E183" s="25" t="str">
        <f>IF(A183="","",SUMIFS(Ventes!$K$6:$K$505,Ventes!$D$6:$D$505,A183,Ventes!$M$6:$M$505,"Livrée et payée"))</f>
        <v/>
      </c>
      <c r="F183" s="42" t="str">
        <f>IF(A183="","",IF(D183=0,"",_xlfn.MAXIFS(Ventes!$B$6:$B$505,Ventes!$D$6:$D$505,A183,Ventes!$M$6:$M$505,"Livrée et payée")))</f>
        <v/>
      </c>
      <c r="G183" s="29" t="str">
        <f t="shared" ca="1" si="6"/>
        <v/>
      </c>
      <c r="H183" s="29" t="str">
        <f>IF(A183="","",COUNTIFS(Ventes!$D$6:$D$505,A183,Ventes!$M$6:$M$505,"Annulée"))</f>
        <v/>
      </c>
      <c r="I183" s="28" t="str">
        <f t="shared" si="7"/>
        <v/>
      </c>
      <c r="J183" s="28" t="str">
        <f t="shared" si="8"/>
        <v/>
      </c>
      <c r="K183" s="18"/>
    </row>
    <row r="184" spans="1:11" x14ac:dyDescent="0.25">
      <c r="A184" s="18"/>
      <c r="B184" s="18"/>
      <c r="C184" s="18"/>
      <c r="D184" s="29" t="str">
        <f>IF(A184="","",COUNTIFS(Ventes!$D$6:$D$505,A184,Ventes!$M$6:$M$505,"Livrée et payée"))</f>
        <v/>
      </c>
      <c r="E184" s="25" t="str">
        <f>IF(A184="","",SUMIFS(Ventes!$K$6:$K$505,Ventes!$D$6:$D$505,A184,Ventes!$M$6:$M$505,"Livrée et payée"))</f>
        <v/>
      </c>
      <c r="F184" s="42" t="str">
        <f>IF(A184="","",IF(D184=0,"",_xlfn.MAXIFS(Ventes!$B$6:$B$505,Ventes!$D$6:$D$505,A184,Ventes!$M$6:$M$505,"Livrée et payée")))</f>
        <v/>
      </c>
      <c r="G184" s="29" t="str">
        <f t="shared" ca="1" si="6"/>
        <v/>
      </c>
      <c r="H184" s="29" t="str">
        <f>IF(A184="","",COUNTIFS(Ventes!$D$6:$D$505,A184,Ventes!$M$6:$M$505,"Annulée"))</f>
        <v/>
      </c>
      <c r="I184" s="28" t="str">
        <f t="shared" si="7"/>
        <v/>
      </c>
      <c r="J184" s="28" t="str">
        <f t="shared" si="8"/>
        <v/>
      </c>
      <c r="K184" s="18"/>
    </row>
    <row r="185" spans="1:11" x14ac:dyDescent="0.25">
      <c r="A185" s="18"/>
      <c r="B185" s="18"/>
      <c r="C185" s="18"/>
      <c r="D185" s="29" t="str">
        <f>IF(A185="","",COUNTIFS(Ventes!$D$6:$D$505,A185,Ventes!$M$6:$M$505,"Livrée et payée"))</f>
        <v/>
      </c>
      <c r="E185" s="25" t="str">
        <f>IF(A185="","",SUMIFS(Ventes!$K$6:$K$505,Ventes!$D$6:$D$505,A185,Ventes!$M$6:$M$505,"Livrée et payée"))</f>
        <v/>
      </c>
      <c r="F185" s="42" t="str">
        <f>IF(A185="","",IF(D185=0,"",_xlfn.MAXIFS(Ventes!$B$6:$B$505,Ventes!$D$6:$D$505,A185,Ventes!$M$6:$M$505,"Livrée et payée")))</f>
        <v/>
      </c>
      <c r="G185" s="29" t="str">
        <f t="shared" ca="1" si="6"/>
        <v/>
      </c>
      <c r="H185" s="29" t="str">
        <f>IF(A185="","",COUNTIFS(Ventes!$D$6:$D$505,A185,Ventes!$M$6:$M$505,"Annulée"))</f>
        <v/>
      </c>
      <c r="I185" s="28" t="str">
        <f t="shared" si="7"/>
        <v/>
      </c>
      <c r="J185" s="28" t="str">
        <f t="shared" si="8"/>
        <v/>
      </c>
      <c r="K185" s="18"/>
    </row>
    <row r="186" spans="1:11" x14ac:dyDescent="0.25">
      <c r="A186" s="18"/>
      <c r="B186" s="18"/>
      <c r="C186" s="18"/>
      <c r="D186" s="29" t="str">
        <f>IF(A186="","",COUNTIFS(Ventes!$D$6:$D$505,A186,Ventes!$M$6:$M$505,"Livrée et payée"))</f>
        <v/>
      </c>
      <c r="E186" s="25" t="str">
        <f>IF(A186="","",SUMIFS(Ventes!$K$6:$K$505,Ventes!$D$6:$D$505,A186,Ventes!$M$6:$M$505,"Livrée et payée"))</f>
        <v/>
      </c>
      <c r="F186" s="42" t="str">
        <f>IF(A186="","",IF(D186=0,"",_xlfn.MAXIFS(Ventes!$B$6:$B$505,Ventes!$D$6:$D$505,A186,Ventes!$M$6:$M$505,"Livrée et payée")))</f>
        <v/>
      </c>
      <c r="G186" s="29" t="str">
        <f t="shared" ca="1" si="6"/>
        <v/>
      </c>
      <c r="H186" s="29" t="str">
        <f>IF(A186="","",COUNTIFS(Ventes!$D$6:$D$505,A186,Ventes!$M$6:$M$505,"Annulée"))</f>
        <v/>
      </c>
      <c r="I186" s="28" t="str">
        <f t="shared" si="7"/>
        <v/>
      </c>
      <c r="J186" s="28" t="str">
        <f t="shared" si="8"/>
        <v/>
      </c>
      <c r="K186" s="18"/>
    </row>
    <row r="187" spans="1:11" x14ac:dyDescent="0.25">
      <c r="A187" s="18"/>
      <c r="B187" s="18"/>
      <c r="C187" s="18"/>
      <c r="D187" s="29" t="str">
        <f>IF(A187="","",COUNTIFS(Ventes!$D$6:$D$505,A187,Ventes!$M$6:$M$505,"Livrée et payée"))</f>
        <v/>
      </c>
      <c r="E187" s="25" t="str">
        <f>IF(A187="","",SUMIFS(Ventes!$K$6:$K$505,Ventes!$D$6:$D$505,A187,Ventes!$M$6:$M$505,"Livrée et payée"))</f>
        <v/>
      </c>
      <c r="F187" s="42" t="str">
        <f>IF(A187="","",IF(D187=0,"",_xlfn.MAXIFS(Ventes!$B$6:$B$505,Ventes!$D$6:$D$505,A187,Ventes!$M$6:$M$505,"Livrée et payée")))</f>
        <v/>
      </c>
      <c r="G187" s="29" t="str">
        <f t="shared" ca="1" si="6"/>
        <v/>
      </c>
      <c r="H187" s="29" t="str">
        <f>IF(A187="","",COUNTIFS(Ventes!$D$6:$D$505,A187,Ventes!$M$6:$M$505,"Annulée"))</f>
        <v/>
      </c>
      <c r="I187" s="28" t="str">
        <f t="shared" si="7"/>
        <v/>
      </c>
      <c r="J187" s="28" t="str">
        <f t="shared" si="8"/>
        <v/>
      </c>
      <c r="K187" s="18"/>
    </row>
    <row r="188" spans="1:11" x14ac:dyDescent="0.25">
      <c r="A188" s="18"/>
      <c r="B188" s="18"/>
      <c r="C188" s="18"/>
      <c r="D188" s="29" t="str">
        <f>IF(A188="","",COUNTIFS(Ventes!$D$6:$D$505,A188,Ventes!$M$6:$M$505,"Livrée et payée"))</f>
        <v/>
      </c>
      <c r="E188" s="25" t="str">
        <f>IF(A188="","",SUMIFS(Ventes!$K$6:$K$505,Ventes!$D$6:$D$505,A188,Ventes!$M$6:$M$505,"Livrée et payée"))</f>
        <v/>
      </c>
      <c r="F188" s="42" t="str">
        <f>IF(A188="","",IF(D188=0,"",_xlfn.MAXIFS(Ventes!$B$6:$B$505,Ventes!$D$6:$D$505,A188,Ventes!$M$6:$M$505,"Livrée et payée")))</f>
        <v/>
      </c>
      <c r="G188" s="29" t="str">
        <f t="shared" ca="1" si="6"/>
        <v/>
      </c>
      <c r="H188" s="29" t="str">
        <f>IF(A188="","",COUNTIFS(Ventes!$D$6:$D$505,A188,Ventes!$M$6:$M$505,"Annulée"))</f>
        <v/>
      </c>
      <c r="I188" s="28" t="str">
        <f t="shared" si="7"/>
        <v/>
      </c>
      <c r="J188" s="28" t="str">
        <f t="shared" si="8"/>
        <v/>
      </c>
      <c r="K188" s="18"/>
    </row>
    <row r="189" spans="1:11" x14ac:dyDescent="0.25">
      <c r="A189" s="18"/>
      <c r="B189" s="18"/>
      <c r="C189" s="18"/>
      <c r="D189" s="29" t="str">
        <f>IF(A189="","",COUNTIFS(Ventes!$D$6:$D$505,A189,Ventes!$M$6:$M$505,"Livrée et payée"))</f>
        <v/>
      </c>
      <c r="E189" s="25" t="str">
        <f>IF(A189="","",SUMIFS(Ventes!$K$6:$K$505,Ventes!$D$6:$D$505,A189,Ventes!$M$6:$M$505,"Livrée et payée"))</f>
        <v/>
      </c>
      <c r="F189" s="42" t="str">
        <f>IF(A189="","",IF(D189=0,"",_xlfn.MAXIFS(Ventes!$B$6:$B$505,Ventes!$D$6:$D$505,A189,Ventes!$M$6:$M$505,"Livrée et payée")))</f>
        <v/>
      </c>
      <c r="G189" s="29" t="str">
        <f t="shared" ca="1" si="6"/>
        <v/>
      </c>
      <c r="H189" s="29" t="str">
        <f>IF(A189="","",COUNTIFS(Ventes!$D$6:$D$505,A189,Ventes!$M$6:$M$505,"Annulée"))</f>
        <v/>
      </c>
      <c r="I189" s="28" t="str">
        <f t="shared" si="7"/>
        <v/>
      </c>
      <c r="J189" s="28" t="str">
        <f t="shared" si="8"/>
        <v/>
      </c>
      <c r="K189" s="18"/>
    </row>
    <row r="190" spans="1:11" x14ac:dyDescent="0.25">
      <c r="A190" s="18"/>
      <c r="B190" s="18"/>
      <c r="C190" s="18"/>
      <c r="D190" s="29" t="str">
        <f>IF(A190="","",COUNTIFS(Ventes!$D$6:$D$505,A190,Ventes!$M$6:$M$505,"Livrée et payée"))</f>
        <v/>
      </c>
      <c r="E190" s="25" t="str">
        <f>IF(A190="","",SUMIFS(Ventes!$K$6:$K$505,Ventes!$D$6:$D$505,A190,Ventes!$M$6:$M$505,"Livrée et payée"))</f>
        <v/>
      </c>
      <c r="F190" s="42" t="str">
        <f>IF(A190="","",IF(D190=0,"",_xlfn.MAXIFS(Ventes!$B$6:$B$505,Ventes!$D$6:$D$505,A190,Ventes!$M$6:$M$505,"Livrée et payée")))</f>
        <v/>
      </c>
      <c r="G190" s="29" t="str">
        <f t="shared" ca="1" si="6"/>
        <v/>
      </c>
      <c r="H190" s="29" t="str">
        <f>IF(A190="","",COUNTIFS(Ventes!$D$6:$D$505,A190,Ventes!$M$6:$M$505,"Annulée"))</f>
        <v/>
      </c>
      <c r="I190" s="28" t="str">
        <f t="shared" si="7"/>
        <v/>
      </c>
      <c r="J190" s="28" t="str">
        <f t="shared" si="8"/>
        <v/>
      </c>
      <c r="K190" s="18"/>
    </row>
    <row r="191" spans="1:11" x14ac:dyDescent="0.25">
      <c r="A191" s="18"/>
      <c r="B191" s="18"/>
      <c r="C191" s="18"/>
      <c r="D191" s="29" t="str">
        <f>IF(A191="","",COUNTIFS(Ventes!$D$6:$D$505,A191,Ventes!$M$6:$M$505,"Livrée et payée"))</f>
        <v/>
      </c>
      <c r="E191" s="25" t="str">
        <f>IF(A191="","",SUMIFS(Ventes!$K$6:$K$505,Ventes!$D$6:$D$505,A191,Ventes!$M$6:$M$505,"Livrée et payée"))</f>
        <v/>
      </c>
      <c r="F191" s="42" t="str">
        <f>IF(A191="","",IF(D191=0,"",_xlfn.MAXIFS(Ventes!$B$6:$B$505,Ventes!$D$6:$D$505,A191,Ventes!$M$6:$M$505,"Livrée et payée")))</f>
        <v/>
      </c>
      <c r="G191" s="29" t="str">
        <f t="shared" ca="1" si="6"/>
        <v/>
      </c>
      <c r="H191" s="29" t="str">
        <f>IF(A191="","",COUNTIFS(Ventes!$D$6:$D$505,A191,Ventes!$M$6:$M$505,"Annulée"))</f>
        <v/>
      </c>
      <c r="I191" s="28" t="str">
        <f t="shared" si="7"/>
        <v/>
      </c>
      <c r="J191" s="28" t="str">
        <f t="shared" si="8"/>
        <v/>
      </c>
      <c r="K191" s="18"/>
    </row>
    <row r="192" spans="1:11" x14ac:dyDescent="0.25">
      <c r="A192" s="18"/>
      <c r="B192" s="18"/>
      <c r="C192" s="18"/>
      <c r="D192" s="29" t="str">
        <f>IF(A192="","",COUNTIFS(Ventes!$D$6:$D$505,A192,Ventes!$M$6:$M$505,"Livrée et payée"))</f>
        <v/>
      </c>
      <c r="E192" s="25" t="str">
        <f>IF(A192="","",SUMIFS(Ventes!$K$6:$K$505,Ventes!$D$6:$D$505,A192,Ventes!$M$6:$M$505,"Livrée et payée"))</f>
        <v/>
      </c>
      <c r="F192" s="42" t="str">
        <f>IF(A192="","",IF(D192=0,"",_xlfn.MAXIFS(Ventes!$B$6:$B$505,Ventes!$D$6:$D$505,A192,Ventes!$M$6:$M$505,"Livrée et payée")))</f>
        <v/>
      </c>
      <c r="G192" s="29" t="str">
        <f t="shared" ca="1" si="6"/>
        <v/>
      </c>
      <c r="H192" s="29" t="str">
        <f>IF(A192="","",COUNTIFS(Ventes!$D$6:$D$505,A192,Ventes!$M$6:$M$505,"Annulée"))</f>
        <v/>
      </c>
      <c r="I192" s="28" t="str">
        <f t="shared" si="7"/>
        <v/>
      </c>
      <c r="J192" s="28" t="str">
        <f t="shared" si="8"/>
        <v/>
      </c>
      <c r="K192" s="18"/>
    </row>
    <row r="193" spans="1:11" x14ac:dyDescent="0.25">
      <c r="A193" s="18"/>
      <c r="B193" s="18"/>
      <c r="C193" s="18"/>
      <c r="D193" s="29" t="str">
        <f>IF(A193="","",COUNTIFS(Ventes!$D$6:$D$505,A193,Ventes!$M$6:$M$505,"Livrée et payée"))</f>
        <v/>
      </c>
      <c r="E193" s="25" t="str">
        <f>IF(A193="","",SUMIFS(Ventes!$K$6:$K$505,Ventes!$D$6:$D$505,A193,Ventes!$M$6:$M$505,"Livrée et payée"))</f>
        <v/>
      </c>
      <c r="F193" s="42" t="str">
        <f>IF(A193="","",IF(D193=0,"",_xlfn.MAXIFS(Ventes!$B$6:$B$505,Ventes!$D$6:$D$505,A193,Ventes!$M$6:$M$505,"Livrée et payée")))</f>
        <v/>
      </c>
      <c r="G193" s="29" t="str">
        <f t="shared" ca="1" si="6"/>
        <v/>
      </c>
      <c r="H193" s="29" t="str">
        <f>IF(A193="","",COUNTIFS(Ventes!$D$6:$D$505,A193,Ventes!$M$6:$M$505,"Annulée"))</f>
        <v/>
      </c>
      <c r="I193" s="28" t="str">
        <f t="shared" si="7"/>
        <v/>
      </c>
      <c r="J193" s="28" t="str">
        <f t="shared" si="8"/>
        <v/>
      </c>
      <c r="K193" s="18"/>
    </row>
    <row r="194" spans="1:11" x14ac:dyDescent="0.25">
      <c r="A194" s="18"/>
      <c r="B194" s="18"/>
      <c r="C194" s="18"/>
      <c r="D194" s="29" t="str">
        <f>IF(A194="","",COUNTIFS(Ventes!$D$6:$D$505,A194,Ventes!$M$6:$M$505,"Livrée et payée"))</f>
        <v/>
      </c>
      <c r="E194" s="25" t="str">
        <f>IF(A194="","",SUMIFS(Ventes!$K$6:$K$505,Ventes!$D$6:$D$505,A194,Ventes!$M$6:$M$505,"Livrée et payée"))</f>
        <v/>
      </c>
      <c r="F194" s="42" t="str">
        <f>IF(A194="","",IF(D194=0,"",_xlfn.MAXIFS(Ventes!$B$6:$B$505,Ventes!$D$6:$D$505,A194,Ventes!$M$6:$M$505,"Livrée et payée")))</f>
        <v/>
      </c>
      <c r="G194" s="29" t="str">
        <f t="shared" ca="1" si="6"/>
        <v/>
      </c>
      <c r="H194" s="29" t="str">
        <f>IF(A194="","",COUNTIFS(Ventes!$D$6:$D$505,A194,Ventes!$M$6:$M$505,"Annulée"))</f>
        <v/>
      </c>
      <c r="I194" s="28" t="str">
        <f t="shared" si="7"/>
        <v/>
      </c>
      <c r="J194" s="28" t="str">
        <f t="shared" si="8"/>
        <v/>
      </c>
      <c r="K194" s="18"/>
    </row>
    <row r="195" spans="1:11" x14ac:dyDescent="0.25">
      <c r="A195" s="18"/>
      <c r="B195" s="18"/>
      <c r="C195" s="18"/>
      <c r="D195" s="29" t="str">
        <f>IF(A195="","",COUNTIFS(Ventes!$D$6:$D$505,A195,Ventes!$M$6:$M$505,"Livrée et payée"))</f>
        <v/>
      </c>
      <c r="E195" s="25" t="str">
        <f>IF(A195="","",SUMIFS(Ventes!$K$6:$K$505,Ventes!$D$6:$D$505,A195,Ventes!$M$6:$M$505,"Livrée et payée"))</f>
        <v/>
      </c>
      <c r="F195" s="42" t="str">
        <f>IF(A195="","",IF(D195=0,"",_xlfn.MAXIFS(Ventes!$B$6:$B$505,Ventes!$D$6:$D$505,A195,Ventes!$M$6:$M$505,"Livrée et payée")))</f>
        <v/>
      </c>
      <c r="G195" s="29" t="str">
        <f t="shared" ca="1" si="6"/>
        <v/>
      </c>
      <c r="H195" s="29" t="str">
        <f>IF(A195="","",COUNTIFS(Ventes!$D$6:$D$505,A195,Ventes!$M$6:$M$505,"Annulée"))</f>
        <v/>
      </c>
      <c r="I195" s="28" t="str">
        <f t="shared" si="7"/>
        <v/>
      </c>
      <c r="J195" s="28" t="str">
        <f t="shared" si="8"/>
        <v/>
      </c>
      <c r="K195" s="18"/>
    </row>
    <row r="196" spans="1:11" x14ac:dyDescent="0.25">
      <c r="A196" s="18"/>
      <c r="B196" s="18"/>
      <c r="C196" s="18"/>
      <c r="D196" s="29" t="str">
        <f>IF(A196="","",COUNTIFS(Ventes!$D$6:$D$505,A196,Ventes!$M$6:$M$505,"Livrée et payée"))</f>
        <v/>
      </c>
      <c r="E196" s="25" t="str">
        <f>IF(A196="","",SUMIFS(Ventes!$K$6:$K$505,Ventes!$D$6:$D$505,A196,Ventes!$M$6:$M$505,"Livrée et payée"))</f>
        <v/>
      </c>
      <c r="F196" s="42" t="str">
        <f>IF(A196="","",IF(D196=0,"",_xlfn.MAXIFS(Ventes!$B$6:$B$505,Ventes!$D$6:$D$505,A196,Ventes!$M$6:$M$505,"Livrée et payée")))</f>
        <v/>
      </c>
      <c r="G196" s="29" t="str">
        <f t="shared" ca="1" si="6"/>
        <v/>
      </c>
      <c r="H196" s="29" t="str">
        <f>IF(A196="","",COUNTIFS(Ventes!$D$6:$D$505,A196,Ventes!$M$6:$M$505,"Annulée"))</f>
        <v/>
      </c>
      <c r="I196" s="28" t="str">
        <f t="shared" si="7"/>
        <v/>
      </c>
      <c r="J196" s="28" t="str">
        <f t="shared" si="8"/>
        <v/>
      </c>
      <c r="K196" s="18"/>
    </row>
    <row r="197" spans="1:11" x14ac:dyDescent="0.25">
      <c r="A197" s="18"/>
      <c r="B197" s="18"/>
      <c r="C197" s="18"/>
      <c r="D197" s="29" t="str">
        <f>IF(A197="","",COUNTIFS(Ventes!$D$6:$D$505,A197,Ventes!$M$6:$M$505,"Livrée et payée"))</f>
        <v/>
      </c>
      <c r="E197" s="25" t="str">
        <f>IF(A197="","",SUMIFS(Ventes!$K$6:$K$505,Ventes!$D$6:$D$505,A197,Ventes!$M$6:$M$505,"Livrée et payée"))</f>
        <v/>
      </c>
      <c r="F197" s="42" t="str">
        <f>IF(A197="","",IF(D197=0,"",_xlfn.MAXIFS(Ventes!$B$6:$B$505,Ventes!$D$6:$D$505,A197,Ventes!$M$6:$M$505,"Livrée et payée")))</f>
        <v/>
      </c>
      <c r="G197" s="29" t="str">
        <f t="shared" ca="1" si="6"/>
        <v/>
      </c>
      <c r="H197" s="29" t="str">
        <f>IF(A197="","",COUNTIFS(Ventes!$D$6:$D$505,A197,Ventes!$M$6:$M$505,"Annulée"))</f>
        <v/>
      </c>
      <c r="I197" s="28" t="str">
        <f t="shared" si="7"/>
        <v/>
      </c>
      <c r="J197" s="28" t="str">
        <f t="shared" si="8"/>
        <v/>
      </c>
      <c r="K197" s="18"/>
    </row>
    <row r="198" spans="1:11" x14ac:dyDescent="0.25">
      <c r="A198" s="18"/>
      <c r="B198" s="18"/>
      <c r="C198" s="18"/>
      <c r="D198" s="29" t="str">
        <f>IF(A198="","",COUNTIFS(Ventes!$D$6:$D$505,A198,Ventes!$M$6:$M$505,"Livrée et payée"))</f>
        <v/>
      </c>
      <c r="E198" s="25" t="str">
        <f>IF(A198="","",SUMIFS(Ventes!$K$6:$K$505,Ventes!$D$6:$D$505,A198,Ventes!$M$6:$M$505,"Livrée et payée"))</f>
        <v/>
      </c>
      <c r="F198" s="42" t="str">
        <f>IF(A198="","",IF(D198=0,"",_xlfn.MAXIFS(Ventes!$B$6:$B$505,Ventes!$D$6:$D$505,A198,Ventes!$M$6:$M$505,"Livrée et payée")))</f>
        <v/>
      </c>
      <c r="G198" s="29" t="str">
        <f t="shared" ref="G198:G261" ca="1" si="9">IF(OR(A198="",F198=""),"",TODAY()-F198)</f>
        <v/>
      </c>
      <c r="H198" s="29" t="str">
        <f>IF(A198="","",COUNTIFS(Ventes!$D$6:$D$505,A198,Ventes!$M$6:$M$505,"Annulée"))</f>
        <v/>
      </c>
      <c r="I198" s="28" t="str">
        <f t="shared" ref="I198:I261" si="10">IF(A198="","",IF(D198=0,"Prospect",IF(G198&gt;60,"À relancer",IF(D198&gt;=3,"VIP",IF(D198=2,"Fidèle","Nouveau")))))</f>
        <v/>
      </c>
      <c r="J198" s="28" t="str">
        <f t="shared" ref="J198:J261" si="11">IF(A198="","",IF(H198&gt;=1,"Oui (a déjà annulé)","Non"))</f>
        <v/>
      </c>
      <c r="K198" s="18"/>
    </row>
    <row r="199" spans="1:11" x14ac:dyDescent="0.25">
      <c r="A199" s="18"/>
      <c r="B199" s="18"/>
      <c r="C199" s="18"/>
      <c r="D199" s="29" t="str">
        <f>IF(A199="","",COUNTIFS(Ventes!$D$6:$D$505,A199,Ventes!$M$6:$M$505,"Livrée et payée"))</f>
        <v/>
      </c>
      <c r="E199" s="25" t="str">
        <f>IF(A199="","",SUMIFS(Ventes!$K$6:$K$505,Ventes!$D$6:$D$505,A199,Ventes!$M$6:$M$505,"Livrée et payée"))</f>
        <v/>
      </c>
      <c r="F199" s="42" t="str">
        <f>IF(A199="","",IF(D199=0,"",_xlfn.MAXIFS(Ventes!$B$6:$B$505,Ventes!$D$6:$D$505,A199,Ventes!$M$6:$M$505,"Livrée et payée")))</f>
        <v/>
      </c>
      <c r="G199" s="29" t="str">
        <f t="shared" ca="1" si="9"/>
        <v/>
      </c>
      <c r="H199" s="29" t="str">
        <f>IF(A199="","",COUNTIFS(Ventes!$D$6:$D$505,A199,Ventes!$M$6:$M$505,"Annulée"))</f>
        <v/>
      </c>
      <c r="I199" s="28" t="str">
        <f t="shared" si="10"/>
        <v/>
      </c>
      <c r="J199" s="28" t="str">
        <f t="shared" si="11"/>
        <v/>
      </c>
      <c r="K199" s="18"/>
    </row>
    <row r="200" spans="1:11" x14ac:dyDescent="0.25">
      <c r="A200" s="18"/>
      <c r="B200" s="18"/>
      <c r="C200" s="18"/>
      <c r="D200" s="29" t="str">
        <f>IF(A200="","",COUNTIFS(Ventes!$D$6:$D$505,A200,Ventes!$M$6:$M$505,"Livrée et payée"))</f>
        <v/>
      </c>
      <c r="E200" s="25" t="str">
        <f>IF(A200="","",SUMIFS(Ventes!$K$6:$K$505,Ventes!$D$6:$D$505,A200,Ventes!$M$6:$M$505,"Livrée et payée"))</f>
        <v/>
      </c>
      <c r="F200" s="42" t="str">
        <f>IF(A200="","",IF(D200=0,"",_xlfn.MAXIFS(Ventes!$B$6:$B$505,Ventes!$D$6:$D$505,A200,Ventes!$M$6:$M$505,"Livrée et payée")))</f>
        <v/>
      </c>
      <c r="G200" s="29" t="str">
        <f t="shared" ca="1" si="9"/>
        <v/>
      </c>
      <c r="H200" s="29" t="str">
        <f>IF(A200="","",COUNTIFS(Ventes!$D$6:$D$505,A200,Ventes!$M$6:$M$505,"Annulée"))</f>
        <v/>
      </c>
      <c r="I200" s="28" t="str">
        <f t="shared" si="10"/>
        <v/>
      </c>
      <c r="J200" s="28" t="str">
        <f t="shared" si="11"/>
        <v/>
      </c>
      <c r="K200" s="18"/>
    </row>
    <row r="201" spans="1:11" x14ac:dyDescent="0.25">
      <c r="A201" s="18"/>
      <c r="B201" s="18"/>
      <c r="C201" s="18"/>
      <c r="D201" s="29" t="str">
        <f>IF(A201="","",COUNTIFS(Ventes!$D$6:$D$505,A201,Ventes!$M$6:$M$505,"Livrée et payée"))</f>
        <v/>
      </c>
      <c r="E201" s="25" t="str">
        <f>IF(A201="","",SUMIFS(Ventes!$K$6:$K$505,Ventes!$D$6:$D$505,A201,Ventes!$M$6:$M$505,"Livrée et payée"))</f>
        <v/>
      </c>
      <c r="F201" s="42" t="str">
        <f>IF(A201="","",IF(D201=0,"",_xlfn.MAXIFS(Ventes!$B$6:$B$505,Ventes!$D$6:$D$505,A201,Ventes!$M$6:$M$505,"Livrée et payée")))</f>
        <v/>
      </c>
      <c r="G201" s="29" t="str">
        <f t="shared" ca="1" si="9"/>
        <v/>
      </c>
      <c r="H201" s="29" t="str">
        <f>IF(A201="","",COUNTIFS(Ventes!$D$6:$D$505,A201,Ventes!$M$6:$M$505,"Annulée"))</f>
        <v/>
      </c>
      <c r="I201" s="28" t="str">
        <f t="shared" si="10"/>
        <v/>
      </c>
      <c r="J201" s="28" t="str">
        <f t="shared" si="11"/>
        <v/>
      </c>
      <c r="K201" s="18"/>
    </row>
    <row r="202" spans="1:11" x14ac:dyDescent="0.25">
      <c r="A202" s="18"/>
      <c r="B202" s="18"/>
      <c r="C202" s="18"/>
      <c r="D202" s="29" t="str">
        <f>IF(A202="","",COUNTIFS(Ventes!$D$6:$D$505,A202,Ventes!$M$6:$M$505,"Livrée et payée"))</f>
        <v/>
      </c>
      <c r="E202" s="25" t="str">
        <f>IF(A202="","",SUMIFS(Ventes!$K$6:$K$505,Ventes!$D$6:$D$505,A202,Ventes!$M$6:$M$505,"Livrée et payée"))</f>
        <v/>
      </c>
      <c r="F202" s="42" t="str">
        <f>IF(A202="","",IF(D202=0,"",_xlfn.MAXIFS(Ventes!$B$6:$B$505,Ventes!$D$6:$D$505,A202,Ventes!$M$6:$M$505,"Livrée et payée")))</f>
        <v/>
      </c>
      <c r="G202" s="29" t="str">
        <f t="shared" ca="1" si="9"/>
        <v/>
      </c>
      <c r="H202" s="29" t="str">
        <f>IF(A202="","",COUNTIFS(Ventes!$D$6:$D$505,A202,Ventes!$M$6:$M$505,"Annulée"))</f>
        <v/>
      </c>
      <c r="I202" s="28" t="str">
        <f t="shared" si="10"/>
        <v/>
      </c>
      <c r="J202" s="28" t="str">
        <f t="shared" si="11"/>
        <v/>
      </c>
      <c r="K202" s="18"/>
    </row>
    <row r="203" spans="1:11" x14ac:dyDescent="0.25">
      <c r="A203" s="18"/>
      <c r="B203" s="18"/>
      <c r="C203" s="18"/>
      <c r="D203" s="29" t="str">
        <f>IF(A203="","",COUNTIFS(Ventes!$D$6:$D$505,A203,Ventes!$M$6:$M$505,"Livrée et payée"))</f>
        <v/>
      </c>
      <c r="E203" s="25" t="str">
        <f>IF(A203="","",SUMIFS(Ventes!$K$6:$K$505,Ventes!$D$6:$D$505,A203,Ventes!$M$6:$M$505,"Livrée et payée"))</f>
        <v/>
      </c>
      <c r="F203" s="42" t="str">
        <f>IF(A203="","",IF(D203=0,"",_xlfn.MAXIFS(Ventes!$B$6:$B$505,Ventes!$D$6:$D$505,A203,Ventes!$M$6:$M$505,"Livrée et payée")))</f>
        <v/>
      </c>
      <c r="G203" s="29" t="str">
        <f t="shared" ca="1" si="9"/>
        <v/>
      </c>
      <c r="H203" s="29" t="str">
        <f>IF(A203="","",COUNTIFS(Ventes!$D$6:$D$505,A203,Ventes!$M$6:$M$505,"Annulée"))</f>
        <v/>
      </c>
      <c r="I203" s="28" t="str">
        <f t="shared" si="10"/>
        <v/>
      </c>
      <c r="J203" s="28" t="str">
        <f t="shared" si="11"/>
        <v/>
      </c>
      <c r="K203" s="18"/>
    </row>
    <row r="204" spans="1:11" x14ac:dyDescent="0.25">
      <c r="A204" s="18"/>
      <c r="B204" s="18"/>
      <c r="C204" s="18"/>
      <c r="D204" s="29" t="str">
        <f>IF(A204="","",COUNTIFS(Ventes!$D$6:$D$505,A204,Ventes!$M$6:$M$505,"Livrée et payée"))</f>
        <v/>
      </c>
      <c r="E204" s="25" t="str">
        <f>IF(A204="","",SUMIFS(Ventes!$K$6:$K$505,Ventes!$D$6:$D$505,A204,Ventes!$M$6:$M$505,"Livrée et payée"))</f>
        <v/>
      </c>
      <c r="F204" s="42" t="str">
        <f>IF(A204="","",IF(D204=0,"",_xlfn.MAXIFS(Ventes!$B$6:$B$505,Ventes!$D$6:$D$505,A204,Ventes!$M$6:$M$505,"Livrée et payée")))</f>
        <v/>
      </c>
      <c r="G204" s="29" t="str">
        <f t="shared" ca="1" si="9"/>
        <v/>
      </c>
      <c r="H204" s="29" t="str">
        <f>IF(A204="","",COUNTIFS(Ventes!$D$6:$D$505,A204,Ventes!$M$6:$M$505,"Annulée"))</f>
        <v/>
      </c>
      <c r="I204" s="28" t="str">
        <f t="shared" si="10"/>
        <v/>
      </c>
      <c r="J204" s="28" t="str">
        <f t="shared" si="11"/>
        <v/>
      </c>
      <c r="K204" s="18"/>
    </row>
    <row r="205" spans="1:11" x14ac:dyDescent="0.25">
      <c r="A205" s="18"/>
      <c r="B205" s="18"/>
      <c r="C205" s="18"/>
      <c r="D205" s="29" t="str">
        <f>IF(A205="","",COUNTIFS(Ventes!$D$6:$D$505,A205,Ventes!$M$6:$M$505,"Livrée et payée"))</f>
        <v/>
      </c>
      <c r="E205" s="25" t="str">
        <f>IF(A205="","",SUMIFS(Ventes!$K$6:$K$505,Ventes!$D$6:$D$505,A205,Ventes!$M$6:$M$505,"Livrée et payée"))</f>
        <v/>
      </c>
      <c r="F205" s="42" t="str">
        <f>IF(A205="","",IF(D205=0,"",_xlfn.MAXIFS(Ventes!$B$6:$B$505,Ventes!$D$6:$D$505,A205,Ventes!$M$6:$M$505,"Livrée et payée")))</f>
        <v/>
      </c>
      <c r="G205" s="29" t="str">
        <f t="shared" ca="1" si="9"/>
        <v/>
      </c>
      <c r="H205" s="29" t="str">
        <f>IF(A205="","",COUNTIFS(Ventes!$D$6:$D$505,A205,Ventes!$M$6:$M$505,"Annulée"))</f>
        <v/>
      </c>
      <c r="I205" s="28" t="str">
        <f t="shared" si="10"/>
        <v/>
      </c>
      <c r="J205" s="28" t="str">
        <f t="shared" si="11"/>
        <v/>
      </c>
      <c r="K205" s="18"/>
    </row>
    <row r="206" spans="1:11" x14ac:dyDescent="0.25">
      <c r="A206" s="18"/>
      <c r="B206" s="18"/>
      <c r="C206" s="18"/>
      <c r="D206" s="29" t="str">
        <f>IF(A206="","",COUNTIFS(Ventes!$D$6:$D$505,A206,Ventes!$M$6:$M$505,"Livrée et payée"))</f>
        <v/>
      </c>
      <c r="E206" s="25" t="str">
        <f>IF(A206="","",SUMIFS(Ventes!$K$6:$K$505,Ventes!$D$6:$D$505,A206,Ventes!$M$6:$M$505,"Livrée et payée"))</f>
        <v/>
      </c>
      <c r="F206" s="42" t="str">
        <f>IF(A206="","",IF(D206=0,"",_xlfn.MAXIFS(Ventes!$B$6:$B$505,Ventes!$D$6:$D$505,A206,Ventes!$M$6:$M$505,"Livrée et payée")))</f>
        <v/>
      </c>
      <c r="G206" s="29" t="str">
        <f t="shared" ca="1" si="9"/>
        <v/>
      </c>
      <c r="H206" s="29" t="str">
        <f>IF(A206="","",COUNTIFS(Ventes!$D$6:$D$505,A206,Ventes!$M$6:$M$505,"Annulée"))</f>
        <v/>
      </c>
      <c r="I206" s="28" t="str">
        <f t="shared" si="10"/>
        <v/>
      </c>
      <c r="J206" s="28" t="str">
        <f t="shared" si="11"/>
        <v/>
      </c>
      <c r="K206" s="18"/>
    </row>
    <row r="207" spans="1:11" x14ac:dyDescent="0.25">
      <c r="A207" s="18"/>
      <c r="B207" s="18"/>
      <c r="C207" s="18"/>
      <c r="D207" s="29" t="str">
        <f>IF(A207="","",COUNTIFS(Ventes!$D$6:$D$505,A207,Ventes!$M$6:$M$505,"Livrée et payée"))</f>
        <v/>
      </c>
      <c r="E207" s="25" t="str">
        <f>IF(A207="","",SUMIFS(Ventes!$K$6:$K$505,Ventes!$D$6:$D$505,A207,Ventes!$M$6:$M$505,"Livrée et payée"))</f>
        <v/>
      </c>
      <c r="F207" s="42" t="str">
        <f>IF(A207="","",IF(D207=0,"",_xlfn.MAXIFS(Ventes!$B$6:$B$505,Ventes!$D$6:$D$505,A207,Ventes!$M$6:$M$505,"Livrée et payée")))</f>
        <v/>
      </c>
      <c r="G207" s="29" t="str">
        <f t="shared" ca="1" si="9"/>
        <v/>
      </c>
      <c r="H207" s="29" t="str">
        <f>IF(A207="","",COUNTIFS(Ventes!$D$6:$D$505,A207,Ventes!$M$6:$M$505,"Annulée"))</f>
        <v/>
      </c>
      <c r="I207" s="28" t="str">
        <f t="shared" si="10"/>
        <v/>
      </c>
      <c r="J207" s="28" t="str">
        <f t="shared" si="11"/>
        <v/>
      </c>
      <c r="K207" s="18"/>
    </row>
    <row r="208" spans="1:11" x14ac:dyDescent="0.25">
      <c r="A208" s="18"/>
      <c r="B208" s="18"/>
      <c r="C208" s="18"/>
      <c r="D208" s="29" t="str">
        <f>IF(A208="","",COUNTIFS(Ventes!$D$6:$D$505,A208,Ventes!$M$6:$M$505,"Livrée et payée"))</f>
        <v/>
      </c>
      <c r="E208" s="25" t="str">
        <f>IF(A208="","",SUMIFS(Ventes!$K$6:$K$505,Ventes!$D$6:$D$505,A208,Ventes!$M$6:$M$505,"Livrée et payée"))</f>
        <v/>
      </c>
      <c r="F208" s="42" t="str">
        <f>IF(A208="","",IF(D208=0,"",_xlfn.MAXIFS(Ventes!$B$6:$B$505,Ventes!$D$6:$D$505,A208,Ventes!$M$6:$M$505,"Livrée et payée")))</f>
        <v/>
      </c>
      <c r="G208" s="29" t="str">
        <f t="shared" ca="1" si="9"/>
        <v/>
      </c>
      <c r="H208" s="29" t="str">
        <f>IF(A208="","",COUNTIFS(Ventes!$D$6:$D$505,A208,Ventes!$M$6:$M$505,"Annulée"))</f>
        <v/>
      </c>
      <c r="I208" s="28" t="str">
        <f t="shared" si="10"/>
        <v/>
      </c>
      <c r="J208" s="28" t="str">
        <f t="shared" si="11"/>
        <v/>
      </c>
      <c r="K208" s="18"/>
    </row>
    <row r="209" spans="1:11" x14ac:dyDescent="0.25">
      <c r="A209" s="18"/>
      <c r="B209" s="18"/>
      <c r="C209" s="18"/>
      <c r="D209" s="29" t="str">
        <f>IF(A209="","",COUNTIFS(Ventes!$D$6:$D$505,A209,Ventes!$M$6:$M$505,"Livrée et payée"))</f>
        <v/>
      </c>
      <c r="E209" s="25" t="str">
        <f>IF(A209="","",SUMIFS(Ventes!$K$6:$K$505,Ventes!$D$6:$D$505,A209,Ventes!$M$6:$M$505,"Livrée et payée"))</f>
        <v/>
      </c>
      <c r="F209" s="42" t="str">
        <f>IF(A209="","",IF(D209=0,"",_xlfn.MAXIFS(Ventes!$B$6:$B$505,Ventes!$D$6:$D$505,A209,Ventes!$M$6:$M$505,"Livrée et payée")))</f>
        <v/>
      </c>
      <c r="G209" s="29" t="str">
        <f t="shared" ca="1" si="9"/>
        <v/>
      </c>
      <c r="H209" s="29" t="str">
        <f>IF(A209="","",COUNTIFS(Ventes!$D$6:$D$505,A209,Ventes!$M$6:$M$505,"Annulée"))</f>
        <v/>
      </c>
      <c r="I209" s="28" t="str">
        <f t="shared" si="10"/>
        <v/>
      </c>
      <c r="J209" s="28" t="str">
        <f t="shared" si="11"/>
        <v/>
      </c>
      <c r="K209" s="18"/>
    </row>
    <row r="210" spans="1:11" x14ac:dyDescent="0.25">
      <c r="A210" s="18"/>
      <c r="B210" s="18"/>
      <c r="C210" s="18"/>
      <c r="D210" s="29" t="str">
        <f>IF(A210="","",COUNTIFS(Ventes!$D$6:$D$505,A210,Ventes!$M$6:$M$505,"Livrée et payée"))</f>
        <v/>
      </c>
      <c r="E210" s="25" t="str">
        <f>IF(A210="","",SUMIFS(Ventes!$K$6:$K$505,Ventes!$D$6:$D$505,A210,Ventes!$M$6:$M$505,"Livrée et payée"))</f>
        <v/>
      </c>
      <c r="F210" s="42" t="str">
        <f>IF(A210="","",IF(D210=0,"",_xlfn.MAXIFS(Ventes!$B$6:$B$505,Ventes!$D$6:$D$505,A210,Ventes!$M$6:$M$505,"Livrée et payée")))</f>
        <v/>
      </c>
      <c r="G210" s="29" t="str">
        <f t="shared" ca="1" si="9"/>
        <v/>
      </c>
      <c r="H210" s="29" t="str">
        <f>IF(A210="","",COUNTIFS(Ventes!$D$6:$D$505,A210,Ventes!$M$6:$M$505,"Annulée"))</f>
        <v/>
      </c>
      <c r="I210" s="28" t="str">
        <f t="shared" si="10"/>
        <v/>
      </c>
      <c r="J210" s="28" t="str">
        <f t="shared" si="11"/>
        <v/>
      </c>
      <c r="K210" s="18"/>
    </row>
    <row r="211" spans="1:11" x14ac:dyDescent="0.25">
      <c r="A211" s="18"/>
      <c r="B211" s="18"/>
      <c r="C211" s="18"/>
      <c r="D211" s="29" t="str">
        <f>IF(A211="","",COUNTIFS(Ventes!$D$6:$D$505,A211,Ventes!$M$6:$M$505,"Livrée et payée"))</f>
        <v/>
      </c>
      <c r="E211" s="25" t="str">
        <f>IF(A211="","",SUMIFS(Ventes!$K$6:$K$505,Ventes!$D$6:$D$505,A211,Ventes!$M$6:$M$505,"Livrée et payée"))</f>
        <v/>
      </c>
      <c r="F211" s="42" t="str">
        <f>IF(A211="","",IF(D211=0,"",_xlfn.MAXIFS(Ventes!$B$6:$B$505,Ventes!$D$6:$D$505,A211,Ventes!$M$6:$M$505,"Livrée et payée")))</f>
        <v/>
      </c>
      <c r="G211" s="29" t="str">
        <f t="shared" ca="1" si="9"/>
        <v/>
      </c>
      <c r="H211" s="29" t="str">
        <f>IF(A211="","",COUNTIFS(Ventes!$D$6:$D$505,A211,Ventes!$M$6:$M$505,"Annulée"))</f>
        <v/>
      </c>
      <c r="I211" s="28" t="str">
        <f t="shared" si="10"/>
        <v/>
      </c>
      <c r="J211" s="28" t="str">
        <f t="shared" si="11"/>
        <v/>
      </c>
      <c r="K211" s="18"/>
    </row>
    <row r="212" spans="1:11" x14ac:dyDescent="0.25">
      <c r="A212" s="18"/>
      <c r="B212" s="18"/>
      <c r="C212" s="18"/>
      <c r="D212" s="29" t="str">
        <f>IF(A212="","",COUNTIFS(Ventes!$D$6:$D$505,A212,Ventes!$M$6:$M$505,"Livrée et payée"))</f>
        <v/>
      </c>
      <c r="E212" s="25" t="str">
        <f>IF(A212="","",SUMIFS(Ventes!$K$6:$K$505,Ventes!$D$6:$D$505,A212,Ventes!$M$6:$M$505,"Livrée et payée"))</f>
        <v/>
      </c>
      <c r="F212" s="42" t="str">
        <f>IF(A212="","",IF(D212=0,"",_xlfn.MAXIFS(Ventes!$B$6:$B$505,Ventes!$D$6:$D$505,A212,Ventes!$M$6:$M$505,"Livrée et payée")))</f>
        <v/>
      </c>
      <c r="G212" s="29" t="str">
        <f t="shared" ca="1" si="9"/>
        <v/>
      </c>
      <c r="H212" s="29" t="str">
        <f>IF(A212="","",COUNTIFS(Ventes!$D$6:$D$505,A212,Ventes!$M$6:$M$505,"Annulée"))</f>
        <v/>
      </c>
      <c r="I212" s="28" t="str">
        <f t="shared" si="10"/>
        <v/>
      </c>
      <c r="J212" s="28" t="str">
        <f t="shared" si="11"/>
        <v/>
      </c>
      <c r="K212" s="18"/>
    </row>
    <row r="213" spans="1:11" x14ac:dyDescent="0.25">
      <c r="A213" s="18"/>
      <c r="B213" s="18"/>
      <c r="C213" s="18"/>
      <c r="D213" s="29" t="str">
        <f>IF(A213="","",COUNTIFS(Ventes!$D$6:$D$505,A213,Ventes!$M$6:$M$505,"Livrée et payée"))</f>
        <v/>
      </c>
      <c r="E213" s="25" t="str">
        <f>IF(A213="","",SUMIFS(Ventes!$K$6:$K$505,Ventes!$D$6:$D$505,A213,Ventes!$M$6:$M$505,"Livrée et payée"))</f>
        <v/>
      </c>
      <c r="F213" s="42" t="str">
        <f>IF(A213="","",IF(D213=0,"",_xlfn.MAXIFS(Ventes!$B$6:$B$505,Ventes!$D$6:$D$505,A213,Ventes!$M$6:$M$505,"Livrée et payée")))</f>
        <v/>
      </c>
      <c r="G213" s="29" t="str">
        <f t="shared" ca="1" si="9"/>
        <v/>
      </c>
      <c r="H213" s="29" t="str">
        <f>IF(A213="","",COUNTIFS(Ventes!$D$6:$D$505,A213,Ventes!$M$6:$M$505,"Annulée"))</f>
        <v/>
      </c>
      <c r="I213" s="28" t="str">
        <f t="shared" si="10"/>
        <v/>
      </c>
      <c r="J213" s="28" t="str">
        <f t="shared" si="11"/>
        <v/>
      </c>
      <c r="K213" s="18"/>
    </row>
    <row r="214" spans="1:11" x14ac:dyDescent="0.25">
      <c r="A214" s="18"/>
      <c r="B214" s="18"/>
      <c r="C214" s="18"/>
      <c r="D214" s="29" t="str">
        <f>IF(A214="","",COUNTIFS(Ventes!$D$6:$D$505,A214,Ventes!$M$6:$M$505,"Livrée et payée"))</f>
        <v/>
      </c>
      <c r="E214" s="25" t="str">
        <f>IF(A214="","",SUMIFS(Ventes!$K$6:$K$505,Ventes!$D$6:$D$505,A214,Ventes!$M$6:$M$505,"Livrée et payée"))</f>
        <v/>
      </c>
      <c r="F214" s="42" t="str">
        <f>IF(A214="","",IF(D214=0,"",_xlfn.MAXIFS(Ventes!$B$6:$B$505,Ventes!$D$6:$D$505,A214,Ventes!$M$6:$M$505,"Livrée et payée")))</f>
        <v/>
      </c>
      <c r="G214" s="29" t="str">
        <f t="shared" ca="1" si="9"/>
        <v/>
      </c>
      <c r="H214" s="29" t="str">
        <f>IF(A214="","",COUNTIFS(Ventes!$D$6:$D$505,A214,Ventes!$M$6:$M$505,"Annulée"))</f>
        <v/>
      </c>
      <c r="I214" s="28" t="str">
        <f t="shared" si="10"/>
        <v/>
      </c>
      <c r="J214" s="28" t="str">
        <f t="shared" si="11"/>
        <v/>
      </c>
      <c r="K214" s="18"/>
    </row>
    <row r="215" spans="1:11" x14ac:dyDescent="0.25">
      <c r="A215" s="18"/>
      <c r="B215" s="18"/>
      <c r="C215" s="18"/>
      <c r="D215" s="29" t="str">
        <f>IF(A215="","",COUNTIFS(Ventes!$D$6:$D$505,A215,Ventes!$M$6:$M$505,"Livrée et payée"))</f>
        <v/>
      </c>
      <c r="E215" s="25" t="str">
        <f>IF(A215="","",SUMIFS(Ventes!$K$6:$K$505,Ventes!$D$6:$D$505,A215,Ventes!$M$6:$M$505,"Livrée et payée"))</f>
        <v/>
      </c>
      <c r="F215" s="42" t="str">
        <f>IF(A215="","",IF(D215=0,"",_xlfn.MAXIFS(Ventes!$B$6:$B$505,Ventes!$D$6:$D$505,A215,Ventes!$M$6:$M$505,"Livrée et payée")))</f>
        <v/>
      </c>
      <c r="G215" s="29" t="str">
        <f t="shared" ca="1" si="9"/>
        <v/>
      </c>
      <c r="H215" s="29" t="str">
        <f>IF(A215="","",COUNTIFS(Ventes!$D$6:$D$505,A215,Ventes!$M$6:$M$505,"Annulée"))</f>
        <v/>
      </c>
      <c r="I215" s="28" t="str">
        <f t="shared" si="10"/>
        <v/>
      </c>
      <c r="J215" s="28" t="str">
        <f t="shared" si="11"/>
        <v/>
      </c>
      <c r="K215" s="18"/>
    </row>
    <row r="216" spans="1:11" x14ac:dyDescent="0.25">
      <c r="A216" s="18"/>
      <c r="B216" s="18"/>
      <c r="C216" s="18"/>
      <c r="D216" s="29" t="str">
        <f>IF(A216="","",COUNTIFS(Ventes!$D$6:$D$505,A216,Ventes!$M$6:$M$505,"Livrée et payée"))</f>
        <v/>
      </c>
      <c r="E216" s="25" t="str">
        <f>IF(A216="","",SUMIFS(Ventes!$K$6:$K$505,Ventes!$D$6:$D$505,A216,Ventes!$M$6:$M$505,"Livrée et payée"))</f>
        <v/>
      </c>
      <c r="F216" s="42" t="str">
        <f>IF(A216="","",IF(D216=0,"",_xlfn.MAXIFS(Ventes!$B$6:$B$505,Ventes!$D$6:$D$505,A216,Ventes!$M$6:$M$505,"Livrée et payée")))</f>
        <v/>
      </c>
      <c r="G216" s="29" t="str">
        <f t="shared" ca="1" si="9"/>
        <v/>
      </c>
      <c r="H216" s="29" t="str">
        <f>IF(A216="","",COUNTIFS(Ventes!$D$6:$D$505,A216,Ventes!$M$6:$M$505,"Annulée"))</f>
        <v/>
      </c>
      <c r="I216" s="28" t="str">
        <f t="shared" si="10"/>
        <v/>
      </c>
      <c r="J216" s="28" t="str">
        <f t="shared" si="11"/>
        <v/>
      </c>
      <c r="K216" s="18"/>
    </row>
    <row r="217" spans="1:11" x14ac:dyDescent="0.25">
      <c r="A217" s="18"/>
      <c r="B217" s="18"/>
      <c r="C217" s="18"/>
      <c r="D217" s="29" t="str">
        <f>IF(A217="","",COUNTIFS(Ventes!$D$6:$D$505,A217,Ventes!$M$6:$M$505,"Livrée et payée"))</f>
        <v/>
      </c>
      <c r="E217" s="25" t="str">
        <f>IF(A217="","",SUMIFS(Ventes!$K$6:$K$505,Ventes!$D$6:$D$505,A217,Ventes!$M$6:$M$505,"Livrée et payée"))</f>
        <v/>
      </c>
      <c r="F217" s="42" t="str">
        <f>IF(A217="","",IF(D217=0,"",_xlfn.MAXIFS(Ventes!$B$6:$B$505,Ventes!$D$6:$D$505,A217,Ventes!$M$6:$M$505,"Livrée et payée")))</f>
        <v/>
      </c>
      <c r="G217" s="29" t="str">
        <f t="shared" ca="1" si="9"/>
        <v/>
      </c>
      <c r="H217" s="29" t="str">
        <f>IF(A217="","",COUNTIFS(Ventes!$D$6:$D$505,A217,Ventes!$M$6:$M$505,"Annulée"))</f>
        <v/>
      </c>
      <c r="I217" s="28" t="str">
        <f t="shared" si="10"/>
        <v/>
      </c>
      <c r="J217" s="28" t="str">
        <f t="shared" si="11"/>
        <v/>
      </c>
      <c r="K217" s="18"/>
    </row>
    <row r="218" spans="1:11" x14ac:dyDescent="0.25">
      <c r="A218" s="18"/>
      <c r="B218" s="18"/>
      <c r="C218" s="18"/>
      <c r="D218" s="29" t="str">
        <f>IF(A218="","",COUNTIFS(Ventes!$D$6:$D$505,A218,Ventes!$M$6:$M$505,"Livrée et payée"))</f>
        <v/>
      </c>
      <c r="E218" s="25" t="str">
        <f>IF(A218="","",SUMIFS(Ventes!$K$6:$K$505,Ventes!$D$6:$D$505,A218,Ventes!$M$6:$M$505,"Livrée et payée"))</f>
        <v/>
      </c>
      <c r="F218" s="42" t="str">
        <f>IF(A218="","",IF(D218=0,"",_xlfn.MAXIFS(Ventes!$B$6:$B$505,Ventes!$D$6:$D$505,A218,Ventes!$M$6:$M$505,"Livrée et payée")))</f>
        <v/>
      </c>
      <c r="G218" s="29" t="str">
        <f t="shared" ca="1" si="9"/>
        <v/>
      </c>
      <c r="H218" s="29" t="str">
        <f>IF(A218="","",COUNTIFS(Ventes!$D$6:$D$505,A218,Ventes!$M$6:$M$505,"Annulée"))</f>
        <v/>
      </c>
      <c r="I218" s="28" t="str">
        <f t="shared" si="10"/>
        <v/>
      </c>
      <c r="J218" s="28" t="str">
        <f t="shared" si="11"/>
        <v/>
      </c>
      <c r="K218" s="18"/>
    </row>
    <row r="219" spans="1:11" x14ac:dyDescent="0.25">
      <c r="A219" s="18"/>
      <c r="B219" s="18"/>
      <c r="C219" s="18"/>
      <c r="D219" s="29" t="str">
        <f>IF(A219="","",COUNTIFS(Ventes!$D$6:$D$505,A219,Ventes!$M$6:$M$505,"Livrée et payée"))</f>
        <v/>
      </c>
      <c r="E219" s="25" t="str">
        <f>IF(A219="","",SUMIFS(Ventes!$K$6:$K$505,Ventes!$D$6:$D$505,A219,Ventes!$M$6:$M$505,"Livrée et payée"))</f>
        <v/>
      </c>
      <c r="F219" s="42" t="str">
        <f>IF(A219="","",IF(D219=0,"",_xlfn.MAXIFS(Ventes!$B$6:$B$505,Ventes!$D$6:$D$505,A219,Ventes!$M$6:$M$505,"Livrée et payée")))</f>
        <v/>
      </c>
      <c r="G219" s="29" t="str">
        <f t="shared" ca="1" si="9"/>
        <v/>
      </c>
      <c r="H219" s="29" t="str">
        <f>IF(A219="","",COUNTIFS(Ventes!$D$6:$D$505,A219,Ventes!$M$6:$M$505,"Annulée"))</f>
        <v/>
      </c>
      <c r="I219" s="28" t="str">
        <f t="shared" si="10"/>
        <v/>
      </c>
      <c r="J219" s="28" t="str">
        <f t="shared" si="11"/>
        <v/>
      </c>
      <c r="K219" s="18"/>
    </row>
    <row r="220" spans="1:11" x14ac:dyDescent="0.25">
      <c r="A220" s="18"/>
      <c r="B220" s="18"/>
      <c r="C220" s="18"/>
      <c r="D220" s="29" t="str">
        <f>IF(A220="","",COUNTIFS(Ventes!$D$6:$D$505,A220,Ventes!$M$6:$M$505,"Livrée et payée"))</f>
        <v/>
      </c>
      <c r="E220" s="25" t="str">
        <f>IF(A220="","",SUMIFS(Ventes!$K$6:$K$505,Ventes!$D$6:$D$505,A220,Ventes!$M$6:$M$505,"Livrée et payée"))</f>
        <v/>
      </c>
      <c r="F220" s="42" t="str">
        <f>IF(A220="","",IF(D220=0,"",_xlfn.MAXIFS(Ventes!$B$6:$B$505,Ventes!$D$6:$D$505,A220,Ventes!$M$6:$M$505,"Livrée et payée")))</f>
        <v/>
      </c>
      <c r="G220" s="29" t="str">
        <f t="shared" ca="1" si="9"/>
        <v/>
      </c>
      <c r="H220" s="29" t="str">
        <f>IF(A220="","",COUNTIFS(Ventes!$D$6:$D$505,A220,Ventes!$M$6:$M$505,"Annulée"))</f>
        <v/>
      </c>
      <c r="I220" s="28" t="str">
        <f t="shared" si="10"/>
        <v/>
      </c>
      <c r="J220" s="28" t="str">
        <f t="shared" si="11"/>
        <v/>
      </c>
      <c r="K220" s="18"/>
    </row>
    <row r="221" spans="1:11" x14ac:dyDescent="0.25">
      <c r="A221" s="18"/>
      <c r="B221" s="18"/>
      <c r="C221" s="18"/>
      <c r="D221" s="29" t="str">
        <f>IF(A221="","",COUNTIFS(Ventes!$D$6:$D$505,A221,Ventes!$M$6:$M$505,"Livrée et payée"))</f>
        <v/>
      </c>
      <c r="E221" s="25" t="str">
        <f>IF(A221="","",SUMIFS(Ventes!$K$6:$K$505,Ventes!$D$6:$D$505,A221,Ventes!$M$6:$M$505,"Livrée et payée"))</f>
        <v/>
      </c>
      <c r="F221" s="42" t="str">
        <f>IF(A221="","",IF(D221=0,"",_xlfn.MAXIFS(Ventes!$B$6:$B$505,Ventes!$D$6:$D$505,A221,Ventes!$M$6:$M$505,"Livrée et payée")))</f>
        <v/>
      </c>
      <c r="G221" s="29" t="str">
        <f t="shared" ca="1" si="9"/>
        <v/>
      </c>
      <c r="H221" s="29" t="str">
        <f>IF(A221="","",COUNTIFS(Ventes!$D$6:$D$505,A221,Ventes!$M$6:$M$505,"Annulée"))</f>
        <v/>
      </c>
      <c r="I221" s="28" t="str">
        <f t="shared" si="10"/>
        <v/>
      </c>
      <c r="J221" s="28" t="str">
        <f t="shared" si="11"/>
        <v/>
      </c>
      <c r="K221" s="18"/>
    </row>
    <row r="222" spans="1:11" x14ac:dyDescent="0.25">
      <c r="A222" s="18"/>
      <c r="B222" s="18"/>
      <c r="C222" s="18"/>
      <c r="D222" s="29" t="str">
        <f>IF(A222="","",COUNTIFS(Ventes!$D$6:$D$505,A222,Ventes!$M$6:$M$505,"Livrée et payée"))</f>
        <v/>
      </c>
      <c r="E222" s="25" t="str">
        <f>IF(A222="","",SUMIFS(Ventes!$K$6:$K$505,Ventes!$D$6:$D$505,A222,Ventes!$M$6:$M$505,"Livrée et payée"))</f>
        <v/>
      </c>
      <c r="F222" s="42" t="str">
        <f>IF(A222="","",IF(D222=0,"",_xlfn.MAXIFS(Ventes!$B$6:$B$505,Ventes!$D$6:$D$505,A222,Ventes!$M$6:$M$505,"Livrée et payée")))</f>
        <v/>
      </c>
      <c r="G222" s="29" t="str">
        <f t="shared" ca="1" si="9"/>
        <v/>
      </c>
      <c r="H222" s="29" t="str">
        <f>IF(A222="","",COUNTIFS(Ventes!$D$6:$D$505,A222,Ventes!$M$6:$M$505,"Annulée"))</f>
        <v/>
      </c>
      <c r="I222" s="28" t="str">
        <f t="shared" si="10"/>
        <v/>
      </c>
      <c r="J222" s="28" t="str">
        <f t="shared" si="11"/>
        <v/>
      </c>
      <c r="K222" s="18"/>
    </row>
    <row r="223" spans="1:11" x14ac:dyDescent="0.25">
      <c r="A223" s="18"/>
      <c r="B223" s="18"/>
      <c r="C223" s="18"/>
      <c r="D223" s="29" t="str">
        <f>IF(A223="","",COUNTIFS(Ventes!$D$6:$D$505,A223,Ventes!$M$6:$M$505,"Livrée et payée"))</f>
        <v/>
      </c>
      <c r="E223" s="25" t="str">
        <f>IF(A223="","",SUMIFS(Ventes!$K$6:$K$505,Ventes!$D$6:$D$505,A223,Ventes!$M$6:$M$505,"Livrée et payée"))</f>
        <v/>
      </c>
      <c r="F223" s="42" t="str">
        <f>IF(A223="","",IF(D223=0,"",_xlfn.MAXIFS(Ventes!$B$6:$B$505,Ventes!$D$6:$D$505,A223,Ventes!$M$6:$M$505,"Livrée et payée")))</f>
        <v/>
      </c>
      <c r="G223" s="29" t="str">
        <f t="shared" ca="1" si="9"/>
        <v/>
      </c>
      <c r="H223" s="29" t="str">
        <f>IF(A223="","",COUNTIFS(Ventes!$D$6:$D$505,A223,Ventes!$M$6:$M$505,"Annulée"))</f>
        <v/>
      </c>
      <c r="I223" s="28" t="str">
        <f t="shared" si="10"/>
        <v/>
      </c>
      <c r="J223" s="28" t="str">
        <f t="shared" si="11"/>
        <v/>
      </c>
      <c r="K223" s="18"/>
    </row>
    <row r="224" spans="1:11" x14ac:dyDescent="0.25">
      <c r="A224" s="18"/>
      <c r="B224" s="18"/>
      <c r="C224" s="18"/>
      <c r="D224" s="29" t="str">
        <f>IF(A224="","",COUNTIFS(Ventes!$D$6:$D$505,A224,Ventes!$M$6:$M$505,"Livrée et payée"))</f>
        <v/>
      </c>
      <c r="E224" s="25" t="str">
        <f>IF(A224="","",SUMIFS(Ventes!$K$6:$K$505,Ventes!$D$6:$D$505,A224,Ventes!$M$6:$M$505,"Livrée et payée"))</f>
        <v/>
      </c>
      <c r="F224" s="42" t="str">
        <f>IF(A224="","",IF(D224=0,"",_xlfn.MAXIFS(Ventes!$B$6:$B$505,Ventes!$D$6:$D$505,A224,Ventes!$M$6:$M$505,"Livrée et payée")))</f>
        <v/>
      </c>
      <c r="G224" s="29" t="str">
        <f t="shared" ca="1" si="9"/>
        <v/>
      </c>
      <c r="H224" s="29" t="str">
        <f>IF(A224="","",COUNTIFS(Ventes!$D$6:$D$505,A224,Ventes!$M$6:$M$505,"Annulée"))</f>
        <v/>
      </c>
      <c r="I224" s="28" t="str">
        <f t="shared" si="10"/>
        <v/>
      </c>
      <c r="J224" s="28" t="str">
        <f t="shared" si="11"/>
        <v/>
      </c>
      <c r="K224" s="18"/>
    </row>
    <row r="225" spans="1:11" x14ac:dyDescent="0.25">
      <c r="A225" s="18"/>
      <c r="B225" s="18"/>
      <c r="C225" s="18"/>
      <c r="D225" s="29" t="str">
        <f>IF(A225="","",COUNTIFS(Ventes!$D$6:$D$505,A225,Ventes!$M$6:$M$505,"Livrée et payée"))</f>
        <v/>
      </c>
      <c r="E225" s="25" t="str">
        <f>IF(A225="","",SUMIFS(Ventes!$K$6:$K$505,Ventes!$D$6:$D$505,A225,Ventes!$M$6:$M$505,"Livrée et payée"))</f>
        <v/>
      </c>
      <c r="F225" s="42" t="str">
        <f>IF(A225="","",IF(D225=0,"",_xlfn.MAXIFS(Ventes!$B$6:$B$505,Ventes!$D$6:$D$505,A225,Ventes!$M$6:$M$505,"Livrée et payée")))</f>
        <v/>
      </c>
      <c r="G225" s="29" t="str">
        <f t="shared" ca="1" si="9"/>
        <v/>
      </c>
      <c r="H225" s="29" t="str">
        <f>IF(A225="","",COUNTIFS(Ventes!$D$6:$D$505,A225,Ventes!$M$6:$M$505,"Annulée"))</f>
        <v/>
      </c>
      <c r="I225" s="28" t="str">
        <f t="shared" si="10"/>
        <v/>
      </c>
      <c r="J225" s="28" t="str">
        <f t="shared" si="11"/>
        <v/>
      </c>
      <c r="K225" s="18"/>
    </row>
    <row r="226" spans="1:11" x14ac:dyDescent="0.25">
      <c r="A226" s="18"/>
      <c r="B226" s="18"/>
      <c r="C226" s="18"/>
      <c r="D226" s="29" t="str">
        <f>IF(A226="","",COUNTIFS(Ventes!$D$6:$D$505,A226,Ventes!$M$6:$M$505,"Livrée et payée"))</f>
        <v/>
      </c>
      <c r="E226" s="25" t="str">
        <f>IF(A226="","",SUMIFS(Ventes!$K$6:$K$505,Ventes!$D$6:$D$505,A226,Ventes!$M$6:$M$505,"Livrée et payée"))</f>
        <v/>
      </c>
      <c r="F226" s="42" t="str">
        <f>IF(A226="","",IF(D226=0,"",_xlfn.MAXIFS(Ventes!$B$6:$B$505,Ventes!$D$6:$D$505,A226,Ventes!$M$6:$M$505,"Livrée et payée")))</f>
        <v/>
      </c>
      <c r="G226" s="29" t="str">
        <f t="shared" ca="1" si="9"/>
        <v/>
      </c>
      <c r="H226" s="29" t="str">
        <f>IF(A226="","",COUNTIFS(Ventes!$D$6:$D$505,A226,Ventes!$M$6:$M$505,"Annulée"))</f>
        <v/>
      </c>
      <c r="I226" s="28" t="str">
        <f t="shared" si="10"/>
        <v/>
      </c>
      <c r="J226" s="28" t="str">
        <f t="shared" si="11"/>
        <v/>
      </c>
      <c r="K226" s="18"/>
    </row>
    <row r="227" spans="1:11" x14ac:dyDescent="0.25">
      <c r="A227" s="18"/>
      <c r="B227" s="18"/>
      <c r="C227" s="18"/>
      <c r="D227" s="29" t="str">
        <f>IF(A227="","",COUNTIFS(Ventes!$D$6:$D$505,A227,Ventes!$M$6:$M$505,"Livrée et payée"))</f>
        <v/>
      </c>
      <c r="E227" s="25" t="str">
        <f>IF(A227="","",SUMIFS(Ventes!$K$6:$K$505,Ventes!$D$6:$D$505,A227,Ventes!$M$6:$M$505,"Livrée et payée"))</f>
        <v/>
      </c>
      <c r="F227" s="42" t="str">
        <f>IF(A227="","",IF(D227=0,"",_xlfn.MAXIFS(Ventes!$B$6:$B$505,Ventes!$D$6:$D$505,A227,Ventes!$M$6:$M$505,"Livrée et payée")))</f>
        <v/>
      </c>
      <c r="G227" s="29" t="str">
        <f t="shared" ca="1" si="9"/>
        <v/>
      </c>
      <c r="H227" s="29" t="str">
        <f>IF(A227="","",COUNTIFS(Ventes!$D$6:$D$505,A227,Ventes!$M$6:$M$505,"Annulée"))</f>
        <v/>
      </c>
      <c r="I227" s="28" t="str">
        <f t="shared" si="10"/>
        <v/>
      </c>
      <c r="J227" s="28" t="str">
        <f t="shared" si="11"/>
        <v/>
      </c>
      <c r="K227" s="18"/>
    </row>
    <row r="228" spans="1:11" x14ac:dyDescent="0.25">
      <c r="A228" s="18"/>
      <c r="B228" s="18"/>
      <c r="C228" s="18"/>
      <c r="D228" s="29" t="str">
        <f>IF(A228="","",COUNTIFS(Ventes!$D$6:$D$505,A228,Ventes!$M$6:$M$505,"Livrée et payée"))</f>
        <v/>
      </c>
      <c r="E228" s="25" t="str">
        <f>IF(A228="","",SUMIFS(Ventes!$K$6:$K$505,Ventes!$D$6:$D$505,A228,Ventes!$M$6:$M$505,"Livrée et payée"))</f>
        <v/>
      </c>
      <c r="F228" s="42" t="str">
        <f>IF(A228="","",IF(D228=0,"",_xlfn.MAXIFS(Ventes!$B$6:$B$505,Ventes!$D$6:$D$505,A228,Ventes!$M$6:$M$505,"Livrée et payée")))</f>
        <v/>
      </c>
      <c r="G228" s="29" t="str">
        <f t="shared" ca="1" si="9"/>
        <v/>
      </c>
      <c r="H228" s="29" t="str">
        <f>IF(A228="","",COUNTIFS(Ventes!$D$6:$D$505,A228,Ventes!$M$6:$M$505,"Annulée"))</f>
        <v/>
      </c>
      <c r="I228" s="28" t="str">
        <f t="shared" si="10"/>
        <v/>
      </c>
      <c r="J228" s="28" t="str">
        <f t="shared" si="11"/>
        <v/>
      </c>
      <c r="K228" s="18"/>
    </row>
    <row r="229" spans="1:11" x14ac:dyDescent="0.25">
      <c r="A229" s="18"/>
      <c r="B229" s="18"/>
      <c r="C229" s="18"/>
      <c r="D229" s="29" t="str">
        <f>IF(A229="","",COUNTIFS(Ventes!$D$6:$D$505,A229,Ventes!$M$6:$M$505,"Livrée et payée"))</f>
        <v/>
      </c>
      <c r="E229" s="25" t="str">
        <f>IF(A229="","",SUMIFS(Ventes!$K$6:$K$505,Ventes!$D$6:$D$505,A229,Ventes!$M$6:$M$505,"Livrée et payée"))</f>
        <v/>
      </c>
      <c r="F229" s="42" t="str">
        <f>IF(A229="","",IF(D229=0,"",_xlfn.MAXIFS(Ventes!$B$6:$B$505,Ventes!$D$6:$D$505,A229,Ventes!$M$6:$M$505,"Livrée et payée")))</f>
        <v/>
      </c>
      <c r="G229" s="29" t="str">
        <f t="shared" ca="1" si="9"/>
        <v/>
      </c>
      <c r="H229" s="29" t="str">
        <f>IF(A229="","",COUNTIFS(Ventes!$D$6:$D$505,A229,Ventes!$M$6:$M$505,"Annulée"))</f>
        <v/>
      </c>
      <c r="I229" s="28" t="str">
        <f t="shared" si="10"/>
        <v/>
      </c>
      <c r="J229" s="28" t="str">
        <f t="shared" si="11"/>
        <v/>
      </c>
      <c r="K229" s="18"/>
    </row>
    <row r="230" spans="1:11" x14ac:dyDescent="0.25">
      <c r="A230" s="18"/>
      <c r="B230" s="18"/>
      <c r="C230" s="18"/>
      <c r="D230" s="29" t="str">
        <f>IF(A230="","",COUNTIFS(Ventes!$D$6:$D$505,A230,Ventes!$M$6:$M$505,"Livrée et payée"))</f>
        <v/>
      </c>
      <c r="E230" s="25" t="str">
        <f>IF(A230="","",SUMIFS(Ventes!$K$6:$K$505,Ventes!$D$6:$D$505,A230,Ventes!$M$6:$M$505,"Livrée et payée"))</f>
        <v/>
      </c>
      <c r="F230" s="42" t="str">
        <f>IF(A230="","",IF(D230=0,"",_xlfn.MAXIFS(Ventes!$B$6:$B$505,Ventes!$D$6:$D$505,A230,Ventes!$M$6:$M$505,"Livrée et payée")))</f>
        <v/>
      </c>
      <c r="G230" s="29" t="str">
        <f t="shared" ca="1" si="9"/>
        <v/>
      </c>
      <c r="H230" s="29" t="str">
        <f>IF(A230="","",COUNTIFS(Ventes!$D$6:$D$505,A230,Ventes!$M$6:$M$505,"Annulée"))</f>
        <v/>
      </c>
      <c r="I230" s="28" t="str">
        <f t="shared" si="10"/>
        <v/>
      </c>
      <c r="J230" s="28" t="str">
        <f t="shared" si="11"/>
        <v/>
      </c>
      <c r="K230" s="18"/>
    </row>
    <row r="231" spans="1:11" x14ac:dyDescent="0.25">
      <c r="A231" s="18"/>
      <c r="B231" s="18"/>
      <c r="C231" s="18"/>
      <c r="D231" s="29" t="str">
        <f>IF(A231="","",COUNTIFS(Ventes!$D$6:$D$505,A231,Ventes!$M$6:$M$505,"Livrée et payée"))</f>
        <v/>
      </c>
      <c r="E231" s="25" t="str">
        <f>IF(A231="","",SUMIFS(Ventes!$K$6:$K$505,Ventes!$D$6:$D$505,A231,Ventes!$M$6:$M$505,"Livrée et payée"))</f>
        <v/>
      </c>
      <c r="F231" s="42" t="str">
        <f>IF(A231="","",IF(D231=0,"",_xlfn.MAXIFS(Ventes!$B$6:$B$505,Ventes!$D$6:$D$505,A231,Ventes!$M$6:$M$505,"Livrée et payée")))</f>
        <v/>
      </c>
      <c r="G231" s="29" t="str">
        <f t="shared" ca="1" si="9"/>
        <v/>
      </c>
      <c r="H231" s="29" t="str">
        <f>IF(A231="","",COUNTIFS(Ventes!$D$6:$D$505,A231,Ventes!$M$6:$M$505,"Annulée"))</f>
        <v/>
      </c>
      <c r="I231" s="28" t="str">
        <f t="shared" si="10"/>
        <v/>
      </c>
      <c r="J231" s="28" t="str">
        <f t="shared" si="11"/>
        <v/>
      </c>
      <c r="K231" s="18"/>
    </row>
    <row r="232" spans="1:11" x14ac:dyDescent="0.25">
      <c r="A232" s="18"/>
      <c r="B232" s="18"/>
      <c r="C232" s="18"/>
      <c r="D232" s="29" t="str">
        <f>IF(A232="","",COUNTIFS(Ventes!$D$6:$D$505,A232,Ventes!$M$6:$M$505,"Livrée et payée"))</f>
        <v/>
      </c>
      <c r="E232" s="25" t="str">
        <f>IF(A232="","",SUMIFS(Ventes!$K$6:$K$505,Ventes!$D$6:$D$505,A232,Ventes!$M$6:$M$505,"Livrée et payée"))</f>
        <v/>
      </c>
      <c r="F232" s="42" t="str">
        <f>IF(A232="","",IF(D232=0,"",_xlfn.MAXIFS(Ventes!$B$6:$B$505,Ventes!$D$6:$D$505,A232,Ventes!$M$6:$M$505,"Livrée et payée")))</f>
        <v/>
      </c>
      <c r="G232" s="29" t="str">
        <f t="shared" ca="1" si="9"/>
        <v/>
      </c>
      <c r="H232" s="29" t="str">
        <f>IF(A232="","",COUNTIFS(Ventes!$D$6:$D$505,A232,Ventes!$M$6:$M$505,"Annulée"))</f>
        <v/>
      </c>
      <c r="I232" s="28" t="str">
        <f t="shared" si="10"/>
        <v/>
      </c>
      <c r="J232" s="28" t="str">
        <f t="shared" si="11"/>
        <v/>
      </c>
      <c r="K232" s="18"/>
    </row>
    <row r="233" spans="1:11" x14ac:dyDescent="0.25">
      <c r="A233" s="18"/>
      <c r="B233" s="18"/>
      <c r="C233" s="18"/>
      <c r="D233" s="29" t="str">
        <f>IF(A233="","",COUNTIFS(Ventes!$D$6:$D$505,A233,Ventes!$M$6:$M$505,"Livrée et payée"))</f>
        <v/>
      </c>
      <c r="E233" s="25" t="str">
        <f>IF(A233="","",SUMIFS(Ventes!$K$6:$K$505,Ventes!$D$6:$D$505,A233,Ventes!$M$6:$M$505,"Livrée et payée"))</f>
        <v/>
      </c>
      <c r="F233" s="42" t="str">
        <f>IF(A233="","",IF(D233=0,"",_xlfn.MAXIFS(Ventes!$B$6:$B$505,Ventes!$D$6:$D$505,A233,Ventes!$M$6:$M$505,"Livrée et payée")))</f>
        <v/>
      </c>
      <c r="G233" s="29" t="str">
        <f t="shared" ca="1" si="9"/>
        <v/>
      </c>
      <c r="H233" s="29" t="str">
        <f>IF(A233="","",COUNTIFS(Ventes!$D$6:$D$505,A233,Ventes!$M$6:$M$505,"Annulée"))</f>
        <v/>
      </c>
      <c r="I233" s="28" t="str">
        <f t="shared" si="10"/>
        <v/>
      </c>
      <c r="J233" s="28" t="str">
        <f t="shared" si="11"/>
        <v/>
      </c>
      <c r="K233" s="18"/>
    </row>
    <row r="234" spans="1:11" x14ac:dyDescent="0.25">
      <c r="A234" s="18"/>
      <c r="B234" s="18"/>
      <c r="C234" s="18"/>
      <c r="D234" s="29" t="str">
        <f>IF(A234="","",COUNTIFS(Ventes!$D$6:$D$505,A234,Ventes!$M$6:$M$505,"Livrée et payée"))</f>
        <v/>
      </c>
      <c r="E234" s="25" t="str">
        <f>IF(A234="","",SUMIFS(Ventes!$K$6:$K$505,Ventes!$D$6:$D$505,A234,Ventes!$M$6:$M$505,"Livrée et payée"))</f>
        <v/>
      </c>
      <c r="F234" s="42" t="str">
        <f>IF(A234="","",IF(D234=0,"",_xlfn.MAXIFS(Ventes!$B$6:$B$505,Ventes!$D$6:$D$505,A234,Ventes!$M$6:$M$505,"Livrée et payée")))</f>
        <v/>
      </c>
      <c r="G234" s="29" t="str">
        <f t="shared" ca="1" si="9"/>
        <v/>
      </c>
      <c r="H234" s="29" t="str">
        <f>IF(A234="","",COUNTIFS(Ventes!$D$6:$D$505,A234,Ventes!$M$6:$M$505,"Annulée"))</f>
        <v/>
      </c>
      <c r="I234" s="28" t="str">
        <f t="shared" si="10"/>
        <v/>
      </c>
      <c r="J234" s="28" t="str">
        <f t="shared" si="11"/>
        <v/>
      </c>
      <c r="K234" s="18"/>
    </row>
    <row r="235" spans="1:11" x14ac:dyDescent="0.25">
      <c r="A235" s="18"/>
      <c r="B235" s="18"/>
      <c r="C235" s="18"/>
      <c r="D235" s="29" t="str">
        <f>IF(A235="","",COUNTIFS(Ventes!$D$6:$D$505,A235,Ventes!$M$6:$M$505,"Livrée et payée"))</f>
        <v/>
      </c>
      <c r="E235" s="25" t="str">
        <f>IF(A235="","",SUMIFS(Ventes!$K$6:$K$505,Ventes!$D$6:$D$505,A235,Ventes!$M$6:$M$505,"Livrée et payée"))</f>
        <v/>
      </c>
      <c r="F235" s="42" t="str">
        <f>IF(A235="","",IF(D235=0,"",_xlfn.MAXIFS(Ventes!$B$6:$B$505,Ventes!$D$6:$D$505,A235,Ventes!$M$6:$M$505,"Livrée et payée")))</f>
        <v/>
      </c>
      <c r="G235" s="29" t="str">
        <f t="shared" ca="1" si="9"/>
        <v/>
      </c>
      <c r="H235" s="29" t="str">
        <f>IF(A235="","",COUNTIFS(Ventes!$D$6:$D$505,A235,Ventes!$M$6:$M$505,"Annulée"))</f>
        <v/>
      </c>
      <c r="I235" s="28" t="str">
        <f t="shared" si="10"/>
        <v/>
      </c>
      <c r="J235" s="28" t="str">
        <f t="shared" si="11"/>
        <v/>
      </c>
      <c r="K235" s="18"/>
    </row>
    <row r="236" spans="1:11" x14ac:dyDescent="0.25">
      <c r="A236" s="18"/>
      <c r="B236" s="18"/>
      <c r="C236" s="18"/>
      <c r="D236" s="29" t="str">
        <f>IF(A236="","",COUNTIFS(Ventes!$D$6:$D$505,A236,Ventes!$M$6:$M$505,"Livrée et payée"))</f>
        <v/>
      </c>
      <c r="E236" s="25" t="str">
        <f>IF(A236="","",SUMIFS(Ventes!$K$6:$K$505,Ventes!$D$6:$D$505,A236,Ventes!$M$6:$M$505,"Livrée et payée"))</f>
        <v/>
      </c>
      <c r="F236" s="42" t="str">
        <f>IF(A236="","",IF(D236=0,"",_xlfn.MAXIFS(Ventes!$B$6:$B$505,Ventes!$D$6:$D$505,A236,Ventes!$M$6:$M$505,"Livrée et payée")))</f>
        <v/>
      </c>
      <c r="G236" s="29" t="str">
        <f t="shared" ca="1" si="9"/>
        <v/>
      </c>
      <c r="H236" s="29" t="str">
        <f>IF(A236="","",COUNTIFS(Ventes!$D$6:$D$505,A236,Ventes!$M$6:$M$505,"Annulée"))</f>
        <v/>
      </c>
      <c r="I236" s="28" t="str">
        <f t="shared" si="10"/>
        <v/>
      </c>
      <c r="J236" s="28" t="str">
        <f t="shared" si="11"/>
        <v/>
      </c>
      <c r="K236" s="18"/>
    </row>
    <row r="237" spans="1:11" x14ac:dyDescent="0.25">
      <c r="A237" s="18"/>
      <c r="B237" s="18"/>
      <c r="C237" s="18"/>
      <c r="D237" s="29" t="str">
        <f>IF(A237="","",COUNTIFS(Ventes!$D$6:$D$505,A237,Ventes!$M$6:$M$505,"Livrée et payée"))</f>
        <v/>
      </c>
      <c r="E237" s="25" t="str">
        <f>IF(A237="","",SUMIFS(Ventes!$K$6:$K$505,Ventes!$D$6:$D$505,A237,Ventes!$M$6:$M$505,"Livrée et payée"))</f>
        <v/>
      </c>
      <c r="F237" s="42" t="str">
        <f>IF(A237="","",IF(D237=0,"",_xlfn.MAXIFS(Ventes!$B$6:$B$505,Ventes!$D$6:$D$505,A237,Ventes!$M$6:$M$505,"Livrée et payée")))</f>
        <v/>
      </c>
      <c r="G237" s="29" t="str">
        <f t="shared" ca="1" si="9"/>
        <v/>
      </c>
      <c r="H237" s="29" t="str">
        <f>IF(A237="","",COUNTIFS(Ventes!$D$6:$D$505,A237,Ventes!$M$6:$M$505,"Annulée"))</f>
        <v/>
      </c>
      <c r="I237" s="28" t="str">
        <f t="shared" si="10"/>
        <v/>
      </c>
      <c r="J237" s="28" t="str">
        <f t="shared" si="11"/>
        <v/>
      </c>
      <c r="K237" s="18"/>
    </row>
    <row r="238" spans="1:11" x14ac:dyDescent="0.25">
      <c r="A238" s="18"/>
      <c r="B238" s="18"/>
      <c r="C238" s="18"/>
      <c r="D238" s="29" t="str">
        <f>IF(A238="","",COUNTIFS(Ventes!$D$6:$D$505,A238,Ventes!$M$6:$M$505,"Livrée et payée"))</f>
        <v/>
      </c>
      <c r="E238" s="25" t="str">
        <f>IF(A238="","",SUMIFS(Ventes!$K$6:$K$505,Ventes!$D$6:$D$505,A238,Ventes!$M$6:$M$505,"Livrée et payée"))</f>
        <v/>
      </c>
      <c r="F238" s="42" t="str">
        <f>IF(A238="","",IF(D238=0,"",_xlfn.MAXIFS(Ventes!$B$6:$B$505,Ventes!$D$6:$D$505,A238,Ventes!$M$6:$M$505,"Livrée et payée")))</f>
        <v/>
      </c>
      <c r="G238" s="29" t="str">
        <f t="shared" ca="1" si="9"/>
        <v/>
      </c>
      <c r="H238" s="29" t="str">
        <f>IF(A238="","",COUNTIFS(Ventes!$D$6:$D$505,A238,Ventes!$M$6:$M$505,"Annulée"))</f>
        <v/>
      </c>
      <c r="I238" s="28" t="str">
        <f t="shared" si="10"/>
        <v/>
      </c>
      <c r="J238" s="28" t="str">
        <f t="shared" si="11"/>
        <v/>
      </c>
      <c r="K238" s="18"/>
    </row>
    <row r="239" spans="1:11" x14ac:dyDescent="0.25">
      <c r="A239" s="18"/>
      <c r="B239" s="18"/>
      <c r="C239" s="18"/>
      <c r="D239" s="29" t="str">
        <f>IF(A239="","",COUNTIFS(Ventes!$D$6:$D$505,A239,Ventes!$M$6:$M$505,"Livrée et payée"))</f>
        <v/>
      </c>
      <c r="E239" s="25" t="str">
        <f>IF(A239="","",SUMIFS(Ventes!$K$6:$K$505,Ventes!$D$6:$D$505,A239,Ventes!$M$6:$M$505,"Livrée et payée"))</f>
        <v/>
      </c>
      <c r="F239" s="42" t="str">
        <f>IF(A239="","",IF(D239=0,"",_xlfn.MAXIFS(Ventes!$B$6:$B$505,Ventes!$D$6:$D$505,A239,Ventes!$M$6:$M$505,"Livrée et payée")))</f>
        <v/>
      </c>
      <c r="G239" s="29" t="str">
        <f t="shared" ca="1" si="9"/>
        <v/>
      </c>
      <c r="H239" s="29" t="str">
        <f>IF(A239="","",COUNTIFS(Ventes!$D$6:$D$505,A239,Ventes!$M$6:$M$505,"Annulée"))</f>
        <v/>
      </c>
      <c r="I239" s="28" t="str">
        <f t="shared" si="10"/>
        <v/>
      </c>
      <c r="J239" s="28" t="str">
        <f t="shared" si="11"/>
        <v/>
      </c>
      <c r="K239" s="18"/>
    </row>
    <row r="240" spans="1:11" x14ac:dyDescent="0.25">
      <c r="A240" s="18"/>
      <c r="B240" s="18"/>
      <c r="C240" s="18"/>
      <c r="D240" s="29" t="str">
        <f>IF(A240="","",COUNTIFS(Ventes!$D$6:$D$505,A240,Ventes!$M$6:$M$505,"Livrée et payée"))</f>
        <v/>
      </c>
      <c r="E240" s="25" t="str">
        <f>IF(A240="","",SUMIFS(Ventes!$K$6:$K$505,Ventes!$D$6:$D$505,A240,Ventes!$M$6:$M$505,"Livrée et payée"))</f>
        <v/>
      </c>
      <c r="F240" s="42" t="str">
        <f>IF(A240="","",IF(D240=0,"",_xlfn.MAXIFS(Ventes!$B$6:$B$505,Ventes!$D$6:$D$505,A240,Ventes!$M$6:$M$505,"Livrée et payée")))</f>
        <v/>
      </c>
      <c r="G240" s="29" t="str">
        <f t="shared" ca="1" si="9"/>
        <v/>
      </c>
      <c r="H240" s="29" t="str">
        <f>IF(A240="","",COUNTIFS(Ventes!$D$6:$D$505,A240,Ventes!$M$6:$M$505,"Annulée"))</f>
        <v/>
      </c>
      <c r="I240" s="28" t="str">
        <f t="shared" si="10"/>
        <v/>
      </c>
      <c r="J240" s="28" t="str">
        <f t="shared" si="11"/>
        <v/>
      </c>
      <c r="K240" s="18"/>
    </row>
    <row r="241" spans="1:11" x14ac:dyDescent="0.25">
      <c r="A241" s="18"/>
      <c r="B241" s="18"/>
      <c r="C241" s="18"/>
      <c r="D241" s="29" t="str">
        <f>IF(A241="","",COUNTIFS(Ventes!$D$6:$D$505,A241,Ventes!$M$6:$M$505,"Livrée et payée"))</f>
        <v/>
      </c>
      <c r="E241" s="25" t="str">
        <f>IF(A241="","",SUMIFS(Ventes!$K$6:$K$505,Ventes!$D$6:$D$505,A241,Ventes!$M$6:$M$505,"Livrée et payée"))</f>
        <v/>
      </c>
      <c r="F241" s="42" t="str">
        <f>IF(A241="","",IF(D241=0,"",_xlfn.MAXIFS(Ventes!$B$6:$B$505,Ventes!$D$6:$D$505,A241,Ventes!$M$6:$M$505,"Livrée et payée")))</f>
        <v/>
      </c>
      <c r="G241" s="29" t="str">
        <f t="shared" ca="1" si="9"/>
        <v/>
      </c>
      <c r="H241" s="29" t="str">
        <f>IF(A241="","",COUNTIFS(Ventes!$D$6:$D$505,A241,Ventes!$M$6:$M$505,"Annulée"))</f>
        <v/>
      </c>
      <c r="I241" s="28" t="str">
        <f t="shared" si="10"/>
        <v/>
      </c>
      <c r="J241" s="28" t="str">
        <f t="shared" si="11"/>
        <v/>
      </c>
      <c r="K241" s="18"/>
    </row>
    <row r="242" spans="1:11" x14ac:dyDescent="0.25">
      <c r="A242" s="18"/>
      <c r="B242" s="18"/>
      <c r="C242" s="18"/>
      <c r="D242" s="29" t="str">
        <f>IF(A242="","",COUNTIFS(Ventes!$D$6:$D$505,A242,Ventes!$M$6:$M$505,"Livrée et payée"))</f>
        <v/>
      </c>
      <c r="E242" s="25" t="str">
        <f>IF(A242="","",SUMIFS(Ventes!$K$6:$K$505,Ventes!$D$6:$D$505,A242,Ventes!$M$6:$M$505,"Livrée et payée"))</f>
        <v/>
      </c>
      <c r="F242" s="42" t="str">
        <f>IF(A242="","",IF(D242=0,"",_xlfn.MAXIFS(Ventes!$B$6:$B$505,Ventes!$D$6:$D$505,A242,Ventes!$M$6:$M$505,"Livrée et payée")))</f>
        <v/>
      </c>
      <c r="G242" s="29" t="str">
        <f t="shared" ca="1" si="9"/>
        <v/>
      </c>
      <c r="H242" s="29" t="str">
        <f>IF(A242="","",COUNTIFS(Ventes!$D$6:$D$505,A242,Ventes!$M$6:$M$505,"Annulée"))</f>
        <v/>
      </c>
      <c r="I242" s="28" t="str">
        <f t="shared" si="10"/>
        <v/>
      </c>
      <c r="J242" s="28" t="str">
        <f t="shared" si="11"/>
        <v/>
      </c>
      <c r="K242" s="18"/>
    </row>
    <row r="243" spans="1:11" x14ac:dyDescent="0.25">
      <c r="A243" s="18"/>
      <c r="B243" s="18"/>
      <c r="C243" s="18"/>
      <c r="D243" s="29" t="str">
        <f>IF(A243="","",COUNTIFS(Ventes!$D$6:$D$505,A243,Ventes!$M$6:$M$505,"Livrée et payée"))</f>
        <v/>
      </c>
      <c r="E243" s="25" t="str">
        <f>IF(A243="","",SUMIFS(Ventes!$K$6:$K$505,Ventes!$D$6:$D$505,A243,Ventes!$M$6:$M$505,"Livrée et payée"))</f>
        <v/>
      </c>
      <c r="F243" s="42" t="str">
        <f>IF(A243="","",IF(D243=0,"",_xlfn.MAXIFS(Ventes!$B$6:$B$505,Ventes!$D$6:$D$505,A243,Ventes!$M$6:$M$505,"Livrée et payée")))</f>
        <v/>
      </c>
      <c r="G243" s="29" t="str">
        <f t="shared" ca="1" si="9"/>
        <v/>
      </c>
      <c r="H243" s="29" t="str">
        <f>IF(A243="","",COUNTIFS(Ventes!$D$6:$D$505,A243,Ventes!$M$6:$M$505,"Annulée"))</f>
        <v/>
      </c>
      <c r="I243" s="28" t="str">
        <f t="shared" si="10"/>
        <v/>
      </c>
      <c r="J243" s="28" t="str">
        <f t="shared" si="11"/>
        <v/>
      </c>
      <c r="K243" s="18"/>
    </row>
    <row r="244" spans="1:11" x14ac:dyDescent="0.25">
      <c r="A244" s="18"/>
      <c r="B244" s="18"/>
      <c r="C244" s="18"/>
      <c r="D244" s="29" t="str">
        <f>IF(A244="","",COUNTIFS(Ventes!$D$6:$D$505,A244,Ventes!$M$6:$M$505,"Livrée et payée"))</f>
        <v/>
      </c>
      <c r="E244" s="25" t="str">
        <f>IF(A244="","",SUMIFS(Ventes!$K$6:$K$505,Ventes!$D$6:$D$505,A244,Ventes!$M$6:$M$505,"Livrée et payée"))</f>
        <v/>
      </c>
      <c r="F244" s="42" t="str">
        <f>IF(A244="","",IF(D244=0,"",_xlfn.MAXIFS(Ventes!$B$6:$B$505,Ventes!$D$6:$D$505,A244,Ventes!$M$6:$M$505,"Livrée et payée")))</f>
        <v/>
      </c>
      <c r="G244" s="29" t="str">
        <f t="shared" ca="1" si="9"/>
        <v/>
      </c>
      <c r="H244" s="29" t="str">
        <f>IF(A244="","",COUNTIFS(Ventes!$D$6:$D$505,A244,Ventes!$M$6:$M$505,"Annulée"))</f>
        <v/>
      </c>
      <c r="I244" s="28" t="str">
        <f t="shared" si="10"/>
        <v/>
      </c>
      <c r="J244" s="28" t="str">
        <f t="shared" si="11"/>
        <v/>
      </c>
      <c r="K244" s="18"/>
    </row>
    <row r="245" spans="1:11" x14ac:dyDescent="0.25">
      <c r="A245" s="18"/>
      <c r="B245" s="18"/>
      <c r="C245" s="18"/>
      <c r="D245" s="29" t="str">
        <f>IF(A245="","",COUNTIFS(Ventes!$D$6:$D$505,A245,Ventes!$M$6:$M$505,"Livrée et payée"))</f>
        <v/>
      </c>
      <c r="E245" s="25" t="str">
        <f>IF(A245="","",SUMIFS(Ventes!$K$6:$K$505,Ventes!$D$6:$D$505,A245,Ventes!$M$6:$M$505,"Livrée et payée"))</f>
        <v/>
      </c>
      <c r="F245" s="42" t="str">
        <f>IF(A245="","",IF(D245=0,"",_xlfn.MAXIFS(Ventes!$B$6:$B$505,Ventes!$D$6:$D$505,A245,Ventes!$M$6:$M$505,"Livrée et payée")))</f>
        <v/>
      </c>
      <c r="G245" s="29" t="str">
        <f t="shared" ca="1" si="9"/>
        <v/>
      </c>
      <c r="H245" s="29" t="str">
        <f>IF(A245="","",COUNTIFS(Ventes!$D$6:$D$505,A245,Ventes!$M$6:$M$505,"Annulée"))</f>
        <v/>
      </c>
      <c r="I245" s="28" t="str">
        <f t="shared" si="10"/>
        <v/>
      </c>
      <c r="J245" s="28" t="str">
        <f t="shared" si="11"/>
        <v/>
      </c>
      <c r="K245" s="18"/>
    </row>
    <row r="246" spans="1:11" x14ac:dyDescent="0.25">
      <c r="A246" s="18"/>
      <c r="B246" s="18"/>
      <c r="C246" s="18"/>
      <c r="D246" s="29" t="str">
        <f>IF(A246="","",COUNTIFS(Ventes!$D$6:$D$505,A246,Ventes!$M$6:$M$505,"Livrée et payée"))</f>
        <v/>
      </c>
      <c r="E246" s="25" t="str">
        <f>IF(A246="","",SUMIFS(Ventes!$K$6:$K$505,Ventes!$D$6:$D$505,A246,Ventes!$M$6:$M$505,"Livrée et payée"))</f>
        <v/>
      </c>
      <c r="F246" s="42" t="str">
        <f>IF(A246="","",IF(D246=0,"",_xlfn.MAXIFS(Ventes!$B$6:$B$505,Ventes!$D$6:$D$505,A246,Ventes!$M$6:$M$505,"Livrée et payée")))</f>
        <v/>
      </c>
      <c r="G246" s="29" t="str">
        <f t="shared" ca="1" si="9"/>
        <v/>
      </c>
      <c r="H246" s="29" t="str">
        <f>IF(A246="","",COUNTIFS(Ventes!$D$6:$D$505,A246,Ventes!$M$6:$M$505,"Annulée"))</f>
        <v/>
      </c>
      <c r="I246" s="28" t="str">
        <f t="shared" si="10"/>
        <v/>
      </c>
      <c r="J246" s="28" t="str">
        <f t="shared" si="11"/>
        <v/>
      </c>
      <c r="K246" s="18"/>
    </row>
    <row r="247" spans="1:11" x14ac:dyDescent="0.25">
      <c r="A247" s="18"/>
      <c r="B247" s="18"/>
      <c r="C247" s="18"/>
      <c r="D247" s="29" t="str">
        <f>IF(A247="","",COUNTIFS(Ventes!$D$6:$D$505,A247,Ventes!$M$6:$M$505,"Livrée et payée"))</f>
        <v/>
      </c>
      <c r="E247" s="25" t="str">
        <f>IF(A247="","",SUMIFS(Ventes!$K$6:$K$505,Ventes!$D$6:$D$505,A247,Ventes!$M$6:$M$505,"Livrée et payée"))</f>
        <v/>
      </c>
      <c r="F247" s="42" t="str">
        <f>IF(A247="","",IF(D247=0,"",_xlfn.MAXIFS(Ventes!$B$6:$B$505,Ventes!$D$6:$D$505,A247,Ventes!$M$6:$M$505,"Livrée et payée")))</f>
        <v/>
      </c>
      <c r="G247" s="29" t="str">
        <f t="shared" ca="1" si="9"/>
        <v/>
      </c>
      <c r="H247" s="29" t="str">
        <f>IF(A247="","",COUNTIFS(Ventes!$D$6:$D$505,A247,Ventes!$M$6:$M$505,"Annulée"))</f>
        <v/>
      </c>
      <c r="I247" s="28" t="str">
        <f t="shared" si="10"/>
        <v/>
      </c>
      <c r="J247" s="28" t="str">
        <f t="shared" si="11"/>
        <v/>
      </c>
      <c r="K247" s="18"/>
    </row>
    <row r="248" spans="1:11" x14ac:dyDescent="0.25">
      <c r="A248" s="18"/>
      <c r="B248" s="18"/>
      <c r="C248" s="18"/>
      <c r="D248" s="29" t="str">
        <f>IF(A248="","",COUNTIFS(Ventes!$D$6:$D$505,A248,Ventes!$M$6:$M$505,"Livrée et payée"))</f>
        <v/>
      </c>
      <c r="E248" s="25" t="str">
        <f>IF(A248="","",SUMIFS(Ventes!$K$6:$K$505,Ventes!$D$6:$D$505,A248,Ventes!$M$6:$M$505,"Livrée et payée"))</f>
        <v/>
      </c>
      <c r="F248" s="42" t="str">
        <f>IF(A248="","",IF(D248=0,"",_xlfn.MAXIFS(Ventes!$B$6:$B$505,Ventes!$D$6:$D$505,A248,Ventes!$M$6:$M$505,"Livrée et payée")))</f>
        <v/>
      </c>
      <c r="G248" s="29" t="str">
        <f t="shared" ca="1" si="9"/>
        <v/>
      </c>
      <c r="H248" s="29" t="str">
        <f>IF(A248="","",COUNTIFS(Ventes!$D$6:$D$505,A248,Ventes!$M$6:$M$505,"Annulée"))</f>
        <v/>
      </c>
      <c r="I248" s="28" t="str">
        <f t="shared" si="10"/>
        <v/>
      </c>
      <c r="J248" s="28" t="str">
        <f t="shared" si="11"/>
        <v/>
      </c>
      <c r="K248" s="18"/>
    </row>
    <row r="249" spans="1:11" x14ac:dyDescent="0.25">
      <c r="A249" s="18"/>
      <c r="B249" s="18"/>
      <c r="C249" s="18"/>
      <c r="D249" s="29" t="str">
        <f>IF(A249="","",COUNTIFS(Ventes!$D$6:$D$505,A249,Ventes!$M$6:$M$505,"Livrée et payée"))</f>
        <v/>
      </c>
      <c r="E249" s="25" t="str">
        <f>IF(A249="","",SUMIFS(Ventes!$K$6:$K$505,Ventes!$D$6:$D$505,A249,Ventes!$M$6:$M$505,"Livrée et payée"))</f>
        <v/>
      </c>
      <c r="F249" s="42" t="str">
        <f>IF(A249="","",IF(D249=0,"",_xlfn.MAXIFS(Ventes!$B$6:$B$505,Ventes!$D$6:$D$505,A249,Ventes!$M$6:$M$505,"Livrée et payée")))</f>
        <v/>
      </c>
      <c r="G249" s="29" t="str">
        <f t="shared" ca="1" si="9"/>
        <v/>
      </c>
      <c r="H249" s="29" t="str">
        <f>IF(A249="","",COUNTIFS(Ventes!$D$6:$D$505,A249,Ventes!$M$6:$M$505,"Annulée"))</f>
        <v/>
      </c>
      <c r="I249" s="28" t="str">
        <f t="shared" si="10"/>
        <v/>
      </c>
      <c r="J249" s="28" t="str">
        <f t="shared" si="11"/>
        <v/>
      </c>
      <c r="K249" s="18"/>
    </row>
    <row r="250" spans="1:11" x14ac:dyDescent="0.25">
      <c r="A250" s="18"/>
      <c r="B250" s="18"/>
      <c r="C250" s="18"/>
      <c r="D250" s="29" t="str">
        <f>IF(A250="","",COUNTIFS(Ventes!$D$6:$D$505,A250,Ventes!$M$6:$M$505,"Livrée et payée"))</f>
        <v/>
      </c>
      <c r="E250" s="25" t="str">
        <f>IF(A250="","",SUMIFS(Ventes!$K$6:$K$505,Ventes!$D$6:$D$505,A250,Ventes!$M$6:$M$505,"Livrée et payée"))</f>
        <v/>
      </c>
      <c r="F250" s="42" t="str">
        <f>IF(A250="","",IF(D250=0,"",_xlfn.MAXIFS(Ventes!$B$6:$B$505,Ventes!$D$6:$D$505,A250,Ventes!$M$6:$M$505,"Livrée et payée")))</f>
        <v/>
      </c>
      <c r="G250" s="29" t="str">
        <f t="shared" ca="1" si="9"/>
        <v/>
      </c>
      <c r="H250" s="29" t="str">
        <f>IF(A250="","",COUNTIFS(Ventes!$D$6:$D$505,A250,Ventes!$M$6:$M$505,"Annulée"))</f>
        <v/>
      </c>
      <c r="I250" s="28" t="str">
        <f t="shared" si="10"/>
        <v/>
      </c>
      <c r="J250" s="28" t="str">
        <f t="shared" si="11"/>
        <v/>
      </c>
      <c r="K250" s="18"/>
    </row>
    <row r="251" spans="1:11" x14ac:dyDescent="0.25">
      <c r="A251" s="18"/>
      <c r="B251" s="18"/>
      <c r="C251" s="18"/>
      <c r="D251" s="29" t="str">
        <f>IF(A251="","",COUNTIFS(Ventes!$D$6:$D$505,A251,Ventes!$M$6:$M$505,"Livrée et payée"))</f>
        <v/>
      </c>
      <c r="E251" s="25" t="str">
        <f>IF(A251="","",SUMIFS(Ventes!$K$6:$K$505,Ventes!$D$6:$D$505,A251,Ventes!$M$6:$M$505,"Livrée et payée"))</f>
        <v/>
      </c>
      <c r="F251" s="42" t="str">
        <f>IF(A251="","",IF(D251=0,"",_xlfn.MAXIFS(Ventes!$B$6:$B$505,Ventes!$D$6:$D$505,A251,Ventes!$M$6:$M$505,"Livrée et payée")))</f>
        <v/>
      </c>
      <c r="G251" s="29" t="str">
        <f t="shared" ca="1" si="9"/>
        <v/>
      </c>
      <c r="H251" s="29" t="str">
        <f>IF(A251="","",COUNTIFS(Ventes!$D$6:$D$505,A251,Ventes!$M$6:$M$505,"Annulée"))</f>
        <v/>
      </c>
      <c r="I251" s="28" t="str">
        <f t="shared" si="10"/>
        <v/>
      </c>
      <c r="J251" s="28" t="str">
        <f t="shared" si="11"/>
        <v/>
      </c>
      <c r="K251" s="18"/>
    </row>
    <row r="252" spans="1:11" x14ac:dyDescent="0.25">
      <c r="A252" s="18"/>
      <c r="B252" s="18"/>
      <c r="C252" s="18"/>
      <c r="D252" s="29" t="str">
        <f>IF(A252="","",COUNTIFS(Ventes!$D$6:$D$505,A252,Ventes!$M$6:$M$505,"Livrée et payée"))</f>
        <v/>
      </c>
      <c r="E252" s="25" t="str">
        <f>IF(A252="","",SUMIFS(Ventes!$K$6:$K$505,Ventes!$D$6:$D$505,A252,Ventes!$M$6:$M$505,"Livrée et payée"))</f>
        <v/>
      </c>
      <c r="F252" s="42" t="str">
        <f>IF(A252="","",IF(D252=0,"",_xlfn.MAXIFS(Ventes!$B$6:$B$505,Ventes!$D$6:$D$505,A252,Ventes!$M$6:$M$505,"Livrée et payée")))</f>
        <v/>
      </c>
      <c r="G252" s="29" t="str">
        <f t="shared" ca="1" si="9"/>
        <v/>
      </c>
      <c r="H252" s="29" t="str">
        <f>IF(A252="","",COUNTIFS(Ventes!$D$6:$D$505,A252,Ventes!$M$6:$M$505,"Annulée"))</f>
        <v/>
      </c>
      <c r="I252" s="28" t="str">
        <f t="shared" si="10"/>
        <v/>
      </c>
      <c r="J252" s="28" t="str">
        <f t="shared" si="11"/>
        <v/>
      </c>
      <c r="K252" s="18"/>
    </row>
    <row r="253" spans="1:11" x14ac:dyDescent="0.25">
      <c r="A253" s="18"/>
      <c r="B253" s="18"/>
      <c r="C253" s="18"/>
      <c r="D253" s="29" t="str">
        <f>IF(A253="","",COUNTIFS(Ventes!$D$6:$D$505,A253,Ventes!$M$6:$M$505,"Livrée et payée"))</f>
        <v/>
      </c>
      <c r="E253" s="25" t="str">
        <f>IF(A253="","",SUMIFS(Ventes!$K$6:$K$505,Ventes!$D$6:$D$505,A253,Ventes!$M$6:$M$505,"Livrée et payée"))</f>
        <v/>
      </c>
      <c r="F253" s="42" t="str">
        <f>IF(A253="","",IF(D253=0,"",_xlfn.MAXIFS(Ventes!$B$6:$B$505,Ventes!$D$6:$D$505,A253,Ventes!$M$6:$M$505,"Livrée et payée")))</f>
        <v/>
      </c>
      <c r="G253" s="29" t="str">
        <f t="shared" ca="1" si="9"/>
        <v/>
      </c>
      <c r="H253" s="29" t="str">
        <f>IF(A253="","",COUNTIFS(Ventes!$D$6:$D$505,A253,Ventes!$M$6:$M$505,"Annulée"))</f>
        <v/>
      </c>
      <c r="I253" s="28" t="str">
        <f t="shared" si="10"/>
        <v/>
      </c>
      <c r="J253" s="28" t="str">
        <f t="shared" si="11"/>
        <v/>
      </c>
      <c r="K253" s="18"/>
    </row>
    <row r="254" spans="1:11" x14ac:dyDescent="0.25">
      <c r="A254" s="18"/>
      <c r="B254" s="18"/>
      <c r="C254" s="18"/>
      <c r="D254" s="29" t="str">
        <f>IF(A254="","",COUNTIFS(Ventes!$D$6:$D$505,A254,Ventes!$M$6:$M$505,"Livrée et payée"))</f>
        <v/>
      </c>
      <c r="E254" s="25" t="str">
        <f>IF(A254="","",SUMIFS(Ventes!$K$6:$K$505,Ventes!$D$6:$D$505,A254,Ventes!$M$6:$M$505,"Livrée et payée"))</f>
        <v/>
      </c>
      <c r="F254" s="42" t="str">
        <f>IF(A254="","",IF(D254=0,"",_xlfn.MAXIFS(Ventes!$B$6:$B$505,Ventes!$D$6:$D$505,A254,Ventes!$M$6:$M$505,"Livrée et payée")))</f>
        <v/>
      </c>
      <c r="G254" s="29" t="str">
        <f t="shared" ca="1" si="9"/>
        <v/>
      </c>
      <c r="H254" s="29" t="str">
        <f>IF(A254="","",COUNTIFS(Ventes!$D$6:$D$505,A254,Ventes!$M$6:$M$505,"Annulée"))</f>
        <v/>
      </c>
      <c r="I254" s="28" t="str">
        <f t="shared" si="10"/>
        <v/>
      </c>
      <c r="J254" s="28" t="str">
        <f t="shared" si="11"/>
        <v/>
      </c>
      <c r="K254" s="18"/>
    </row>
    <row r="255" spans="1:11" x14ac:dyDescent="0.25">
      <c r="A255" s="18"/>
      <c r="B255" s="18"/>
      <c r="C255" s="18"/>
      <c r="D255" s="29" t="str">
        <f>IF(A255="","",COUNTIFS(Ventes!$D$6:$D$505,A255,Ventes!$M$6:$M$505,"Livrée et payée"))</f>
        <v/>
      </c>
      <c r="E255" s="25" t="str">
        <f>IF(A255="","",SUMIFS(Ventes!$K$6:$K$505,Ventes!$D$6:$D$505,A255,Ventes!$M$6:$M$505,"Livrée et payée"))</f>
        <v/>
      </c>
      <c r="F255" s="42" t="str">
        <f>IF(A255="","",IF(D255=0,"",_xlfn.MAXIFS(Ventes!$B$6:$B$505,Ventes!$D$6:$D$505,A255,Ventes!$M$6:$M$505,"Livrée et payée")))</f>
        <v/>
      </c>
      <c r="G255" s="29" t="str">
        <f t="shared" ca="1" si="9"/>
        <v/>
      </c>
      <c r="H255" s="29" t="str">
        <f>IF(A255="","",COUNTIFS(Ventes!$D$6:$D$505,A255,Ventes!$M$6:$M$505,"Annulée"))</f>
        <v/>
      </c>
      <c r="I255" s="28" t="str">
        <f t="shared" si="10"/>
        <v/>
      </c>
      <c r="J255" s="28" t="str">
        <f t="shared" si="11"/>
        <v/>
      </c>
      <c r="K255" s="18"/>
    </row>
    <row r="256" spans="1:11" x14ac:dyDescent="0.25">
      <c r="A256" s="18"/>
      <c r="B256" s="18"/>
      <c r="C256" s="18"/>
      <c r="D256" s="29" t="str">
        <f>IF(A256="","",COUNTIFS(Ventes!$D$6:$D$505,A256,Ventes!$M$6:$M$505,"Livrée et payée"))</f>
        <v/>
      </c>
      <c r="E256" s="25" t="str">
        <f>IF(A256="","",SUMIFS(Ventes!$K$6:$K$505,Ventes!$D$6:$D$505,A256,Ventes!$M$6:$M$505,"Livrée et payée"))</f>
        <v/>
      </c>
      <c r="F256" s="42" t="str">
        <f>IF(A256="","",IF(D256=0,"",_xlfn.MAXIFS(Ventes!$B$6:$B$505,Ventes!$D$6:$D$505,A256,Ventes!$M$6:$M$505,"Livrée et payée")))</f>
        <v/>
      </c>
      <c r="G256" s="29" t="str">
        <f t="shared" ca="1" si="9"/>
        <v/>
      </c>
      <c r="H256" s="29" t="str">
        <f>IF(A256="","",COUNTIFS(Ventes!$D$6:$D$505,A256,Ventes!$M$6:$M$505,"Annulée"))</f>
        <v/>
      </c>
      <c r="I256" s="28" t="str">
        <f t="shared" si="10"/>
        <v/>
      </c>
      <c r="J256" s="28" t="str">
        <f t="shared" si="11"/>
        <v/>
      </c>
      <c r="K256" s="18"/>
    </row>
    <row r="257" spans="1:11" x14ac:dyDescent="0.25">
      <c r="A257" s="18"/>
      <c r="B257" s="18"/>
      <c r="C257" s="18"/>
      <c r="D257" s="29" t="str">
        <f>IF(A257="","",COUNTIFS(Ventes!$D$6:$D$505,A257,Ventes!$M$6:$M$505,"Livrée et payée"))</f>
        <v/>
      </c>
      <c r="E257" s="25" t="str">
        <f>IF(A257="","",SUMIFS(Ventes!$K$6:$K$505,Ventes!$D$6:$D$505,A257,Ventes!$M$6:$M$505,"Livrée et payée"))</f>
        <v/>
      </c>
      <c r="F257" s="42" t="str">
        <f>IF(A257="","",IF(D257=0,"",_xlfn.MAXIFS(Ventes!$B$6:$B$505,Ventes!$D$6:$D$505,A257,Ventes!$M$6:$M$505,"Livrée et payée")))</f>
        <v/>
      </c>
      <c r="G257" s="29" t="str">
        <f t="shared" ca="1" si="9"/>
        <v/>
      </c>
      <c r="H257" s="29" t="str">
        <f>IF(A257="","",COUNTIFS(Ventes!$D$6:$D$505,A257,Ventes!$M$6:$M$505,"Annulée"))</f>
        <v/>
      </c>
      <c r="I257" s="28" t="str">
        <f t="shared" si="10"/>
        <v/>
      </c>
      <c r="J257" s="28" t="str">
        <f t="shared" si="11"/>
        <v/>
      </c>
      <c r="K257" s="18"/>
    </row>
    <row r="258" spans="1:11" x14ac:dyDescent="0.25">
      <c r="A258" s="18"/>
      <c r="B258" s="18"/>
      <c r="C258" s="18"/>
      <c r="D258" s="29" t="str">
        <f>IF(A258="","",COUNTIFS(Ventes!$D$6:$D$505,A258,Ventes!$M$6:$M$505,"Livrée et payée"))</f>
        <v/>
      </c>
      <c r="E258" s="25" t="str">
        <f>IF(A258="","",SUMIFS(Ventes!$K$6:$K$505,Ventes!$D$6:$D$505,A258,Ventes!$M$6:$M$505,"Livrée et payée"))</f>
        <v/>
      </c>
      <c r="F258" s="42" t="str">
        <f>IF(A258="","",IF(D258=0,"",_xlfn.MAXIFS(Ventes!$B$6:$B$505,Ventes!$D$6:$D$505,A258,Ventes!$M$6:$M$505,"Livrée et payée")))</f>
        <v/>
      </c>
      <c r="G258" s="29" t="str">
        <f t="shared" ca="1" si="9"/>
        <v/>
      </c>
      <c r="H258" s="29" t="str">
        <f>IF(A258="","",COUNTIFS(Ventes!$D$6:$D$505,A258,Ventes!$M$6:$M$505,"Annulée"))</f>
        <v/>
      </c>
      <c r="I258" s="28" t="str">
        <f t="shared" si="10"/>
        <v/>
      </c>
      <c r="J258" s="28" t="str">
        <f t="shared" si="11"/>
        <v/>
      </c>
      <c r="K258" s="18"/>
    </row>
    <row r="259" spans="1:11" x14ac:dyDescent="0.25">
      <c r="A259" s="18"/>
      <c r="B259" s="18"/>
      <c r="C259" s="18"/>
      <c r="D259" s="29" t="str">
        <f>IF(A259="","",COUNTIFS(Ventes!$D$6:$D$505,A259,Ventes!$M$6:$M$505,"Livrée et payée"))</f>
        <v/>
      </c>
      <c r="E259" s="25" t="str">
        <f>IF(A259="","",SUMIFS(Ventes!$K$6:$K$505,Ventes!$D$6:$D$505,A259,Ventes!$M$6:$M$505,"Livrée et payée"))</f>
        <v/>
      </c>
      <c r="F259" s="42" t="str">
        <f>IF(A259="","",IF(D259=0,"",_xlfn.MAXIFS(Ventes!$B$6:$B$505,Ventes!$D$6:$D$505,A259,Ventes!$M$6:$M$505,"Livrée et payée")))</f>
        <v/>
      </c>
      <c r="G259" s="29" t="str">
        <f t="shared" ca="1" si="9"/>
        <v/>
      </c>
      <c r="H259" s="29" t="str">
        <f>IF(A259="","",COUNTIFS(Ventes!$D$6:$D$505,A259,Ventes!$M$6:$M$505,"Annulée"))</f>
        <v/>
      </c>
      <c r="I259" s="28" t="str">
        <f t="shared" si="10"/>
        <v/>
      </c>
      <c r="J259" s="28" t="str">
        <f t="shared" si="11"/>
        <v/>
      </c>
      <c r="K259" s="18"/>
    </row>
    <row r="260" spans="1:11" x14ac:dyDescent="0.25">
      <c r="A260" s="18"/>
      <c r="B260" s="18"/>
      <c r="C260" s="18"/>
      <c r="D260" s="29" t="str">
        <f>IF(A260="","",COUNTIFS(Ventes!$D$6:$D$505,A260,Ventes!$M$6:$M$505,"Livrée et payée"))</f>
        <v/>
      </c>
      <c r="E260" s="25" t="str">
        <f>IF(A260="","",SUMIFS(Ventes!$K$6:$K$505,Ventes!$D$6:$D$505,A260,Ventes!$M$6:$M$505,"Livrée et payée"))</f>
        <v/>
      </c>
      <c r="F260" s="42" t="str">
        <f>IF(A260="","",IF(D260=0,"",_xlfn.MAXIFS(Ventes!$B$6:$B$505,Ventes!$D$6:$D$505,A260,Ventes!$M$6:$M$505,"Livrée et payée")))</f>
        <v/>
      </c>
      <c r="G260" s="29" t="str">
        <f t="shared" ca="1" si="9"/>
        <v/>
      </c>
      <c r="H260" s="29" t="str">
        <f>IF(A260="","",COUNTIFS(Ventes!$D$6:$D$505,A260,Ventes!$M$6:$M$505,"Annulée"))</f>
        <v/>
      </c>
      <c r="I260" s="28" t="str">
        <f t="shared" si="10"/>
        <v/>
      </c>
      <c r="J260" s="28" t="str">
        <f t="shared" si="11"/>
        <v/>
      </c>
      <c r="K260" s="18"/>
    </row>
    <row r="261" spans="1:11" x14ac:dyDescent="0.25">
      <c r="A261" s="18"/>
      <c r="B261" s="18"/>
      <c r="C261" s="18"/>
      <c r="D261" s="29" t="str">
        <f>IF(A261="","",COUNTIFS(Ventes!$D$6:$D$505,A261,Ventes!$M$6:$M$505,"Livrée et payée"))</f>
        <v/>
      </c>
      <c r="E261" s="25" t="str">
        <f>IF(A261="","",SUMIFS(Ventes!$K$6:$K$505,Ventes!$D$6:$D$505,A261,Ventes!$M$6:$M$505,"Livrée et payée"))</f>
        <v/>
      </c>
      <c r="F261" s="42" t="str">
        <f>IF(A261="","",IF(D261=0,"",_xlfn.MAXIFS(Ventes!$B$6:$B$505,Ventes!$D$6:$D$505,A261,Ventes!$M$6:$M$505,"Livrée et payée")))</f>
        <v/>
      </c>
      <c r="G261" s="29" t="str">
        <f t="shared" ca="1" si="9"/>
        <v/>
      </c>
      <c r="H261" s="29" t="str">
        <f>IF(A261="","",COUNTIFS(Ventes!$D$6:$D$505,A261,Ventes!$M$6:$M$505,"Annulée"))</f>
        <v/>
      </c>
      <c r="I261" s="28" t="str">
        <f t="shared" si="10"/>
        <v/>
      </c>
      <c r="J261" s="28" t="str">
        <f t="shared" si="11"/>
        <v/>
      </c>
      <c r="K261" s="18"/>
    </row>
    <row r="262" spans="1:11" x14ac:dyDescent="0.25">
      <c r="A262" s="18"/>
      <c r="B262" s="18"/>
      <c r="C262" s="18"/>
      <c r="D262" s="29" t="str">
        <f>IF(A262="","",COUNTIFS(Ventes!$D$6:$D$505,A262,Ventes!$M$6:$M$505,"Livrée et payée"))</f>
        <v/>
      </c>
      <c r="E262" s="25" t="str">
        <f>IF(A262="","",SUMIFS(Ventes!$K$6:$K$505,Ventes!$D$6:$D$505,A262,Ventes!$M$6:$M$505,"Livrée et payée"))</f>
        <v/>
      </c>
      <c r="F262" s="42" t="str">
        <f>IF(A262="","",IF(D262=0,"",_xlfn.MAXIFS(Ventes!$B$6:$B$505,Ventes!$D$6:$D$505,A262,Ventes!$M$6:$M$505,"Livrée et payée")))</f>
        <v/>
      </c>
      <c r="G262" s="29" t="str">
        <f t="shared" ref="G262:G325" ca="1" si="12">IF(OR(A262="",F262=""),"",TODAY()-F262)</f>
        <v/>
      </c>
      <c r="H262" s="29" t="str">
        <f>IF(A262="","",COUNTIFS(Ventes!$D$6:$D$505,A262,Ventes!$M$6:$M$505,"Annulée"))</f>
        <v/>
      </c>
      <c r="I262" s="28" t="str">
        <f t="shared" ref="I262:I305" si="13">IF(A262="","",IF(D262=0,"Prospect",IF(G262&gt;60,"À relancer",IF(D262&gt;=3,"VIP",IF(D262=2,"Fidèle","Nouveau")))))</f>
        <v/>
      </c>
      <c r="J262" s="28" t="str">
        <f t="shared" ref="J262:J305" si="14">IF(A262="","",IF(H262&gt;=1,"Oui (a déjà annulé)","Non"))</f>
        <v/>
      </c>
      <c r="K262" s="18"/>
    </row>
    <row r="263" spans="1:11" x14ac:dyDescent="0.25">
      <c r="A263" s="18"/>
      <c r="B263" s="18"/>
      <c r="C263" s="18"/>
      <c r="D263" s="29" t="str">
        <f>IF(A263="","",COUNTIFS(Ventes!$D$6:$D$505,A263,Ventes!$M$6:$M$505,"Livrée et payée"))</f>
        <v/>
      </c>
      <c r="E263" s="25" t="str">
        <f>IF(A263="","",SUMIFS(Ventes!$K$6:$K$505,Ventes!$D$6:$D$505,A263,Ventes!$M$6:$M$505,"Livrée et payée"))</f>
        <v/>
      </c>
      <c r="F263" s="42" t="str">
        <f>IF(A263="","",IF(D263=0,"",_xlfn.MAXIFS(Ventes!$B$6:$B$505,Ventes!$D$6:$D$505,A263,Ventes!$M$6:$M$505,"Livrée et payée")))</f>
        <v/>
      </c>
      <c r="G263" s="29" t="str">
        <f t="shared" ca="1" si="12"/>
        <v/>
      </c>
      <c r="H263" s="29" t="str">
        <f>IF(A263="","",COUNTIFS(Ventes!$D$6:$D$505,A263,Ventes!$M$6:$M$505,"Annulée"))</f>
        <v/>
      </c>
      <c r="I263" s="28" t="str">
        <f t="shared" si="13"/>
        <v/>
      </c>
      <c r="J263" s="28" t="str">
        <f t="shared" si="14"/>
        <v/>
      </c>
      <c r="K263" s="18"/>
    </row>
    <row r="264" spans="1:11" x14ac:dyDescent="0.25">
      <c r="A264" s="18"/>
      <c r="B264" s="18"/>
      <c r="C264" s="18"/>
      <c r="D264" s="29" t="str">
        <f>IF(A264="","",COUNTIFS(Ventes!$D$6:$D$505,A264,Ventes!$M$6:$M$505,"Livrée et payée"))</f>
        <v/>
      </c>
      <c r="E264" s="25" t="str">
        <f>IF(A264="","",SUMIFS(Ventes!$K$6:$K$505,Ventes!$D$6:$D$505,A264,Ventes!$M$6:$M$505,"Livrée et payée"))</f>
        <v/>
      </c>
      <c r="F264" s="42" t="str">
        <f>IF(A264="","",IF(D264=0,"",_xlfn.MAXIFS(Ventes!$B$6:$B$505,Ventes!$D$6:$D$505,A264,Ventes!$M$6:$M$505,"Livrée et payée")))</f>
        <v/>
      </c>
      <c r="G264" s="29" t="str">
        <f t="shared" ca="1" si="12"/>
        <v/>
      </c>
      <c r="H264" s="29" t="str">
        <f>IF(A264="","",COUNTIFS(Ventes!$D$6:$D$505,A264,Ventes!$M$6:$M$505,"Annulée"))</f>
        <v/>
      </c>
      <c r="I264" s="28" t="str">
        <f t="shared" si="13"/>
        <v/>
      </c>
      <c r="J264" s="28" t="str">
        <f t="shared" si="14"/>
        <v/>
      </c>
      <c r="K264" s="18"/>
    </row>
    <row r="265" spans="1:11" x14ac:dyDescent="0.25">
      <c r="A265" s="18"/>
      <c r="B265" s="18"/>
      <c r="C265" s="18"/>
      <c r="D265" s="29" t="str">
        <f>IF(A265="","",COUNTIFS(Ventes!$D$6:$D$505,A265,Ventes!$M$6:$M$505,"Livrée et payée"))</f>
        <v/>
      </c>
      <c r="E265" s="25" t="str">
        <f>IF(A265="","",SUMIFS(Ventes!$K$6:$K$505,Ventes!$D$6:$D$505,A265,Ventes!$M$6:$M$505,"Livrée et payée"))</f>
        <v/>
      </c>
      <c r="F265" s="42" t="str">
        <f>IF(A265="","",IF(D265=0,"",_xlfn.MAXIFS(Ventes!$B$6:$B$505,Ventes!$D$6:$D$505,A265,Ventes!$M$6:$M$505,"Livrée et payée")))</f>
        <v/>
      </c>
      <c r="G265" s="29" t="str">
        <f t="shared" ca="1" si="12"/>
        <v/>
      </c>
      <c r="H265" s="29" t="str">
        <f>IF(A265="","",COUNTIFS(Ventes!$D$6:$D$505,A265,Ventes!$M$6:$M$505,"Annulée"))</f>
        <v/>
      </c>
      <c r="I265" s="28" t="str">
        <f t="shared" si="13"/>
        <v/>
      </c>
      <c r="J265" s="28" t="str">
        <f t="shared" si="14"/>
        <v/>
      </c>
      <c r="K265" s="18"/>
    </row>
    <row r="266" spans="1:11" x14ac:dyDescent="0.25">
      <c r="A266" s="18"/>
      <c r="B266" s="18"/>
      <c r="C266" s="18"/>
      <c r="D266" s="29" t="str">
        <f>IF(A266="","",COUNTIFS(Ventes!$D$6:$D$505,A266,Ventes!$M$6:$M$505,"Livrée et payée"))</f>
        <v/>
      </c>
      <c r="E266" s="25" t="str">
        <f>IF(A266="","",SUMIFS(Ventes!$K$6:$K$505,Ventes!$D$6:$D$505,A266,Ventes!$M$6:$M$505,"Livrée et payée"))</f>
        <v/>
      </c>
      <c r="F266" s="42" t="str">
        <f>IF(A266="","",IF(D266=0,"",_xlfn.MAXIFS(Ventes!$B$6:$B$505,Ventes!$D$6:$D$505,A266,Ventes!$M$6:$M$505,"Livrée et payée")))</f>
        <v/>
      </c>
      <c r="G266" s="29" t="str">
        <f t="shared" ca="1" si="12"/>
        <v/>
      </c>
      <c r="H266" s="29" t="str">
        <f>IF(A266="","",COUNTIFS(Ventes!$D$6:$D$505,A266,Ventes!$M$6:$M$505,"Annulée"))</f>
        <v/>
      </c>
      <c r="I266" s="28" t="str">
        <f t="shared" si="13"/>
        <v/>
      </c>
      <c r="J266" s="28" t="str">
        <f t="shared" si="14"/>
        <v/>
      </c>
      <c r="K266" s="18"/>
    </row>
    <row r="267" spans="1:11" x14ac:dyDescent="0.25">
      <c r="A267" s="18"/>
      <c r="B267" s="18"/>
      <c r="C267" s="18"/>
      <c r="D267" s="29" t="str">
        <f>IF(A267="","",COUNTIFS(Ventes!$D$6:$D$505,A267,Ventes!$M$6:$M$505,"Livrée et payée"))</f>
        <v/>
      </c>
      <c r="E267" s="25" t="str">
        <f>IF(A267="","",SUMIFS(Ventes!$K$6:$K$505,Ventes!$D$6:$D$505,A267,Ventes!$M$6:$M$505,"Livrée et payée"))</f>
        <v/>
      </c>
      <c r="F267" s="42" t="str">
        <f>IF(A267="","",IF(D267=0,"",_xlfn.MAXIFS(Ventes!$B$6:$B$505,Ventes!$D$6:$D$505,A267,Ventes!$M$6:$M$505,"Livrée et payée")))</f>
        <v/>
      </c>
      <c r="G267" s="29" t="str">
        <f t="shared" ca="1" si="12"/>
        <v/>
      </c>
      <c r="H267" s="29" t="str">
        <f>IF(A267="","",COUNTIFS(Ventes!$D$6:$D$505,A267,Ventes!$M$6:$M$505,"Annulée"))</f>
        <v/>
      </c>
      <c r="I267" s="28" t="str">
        <f t="shared" si="13"/>
        <v/>
      </c>
      <c r="J267" s="28" t="str">
        <f t="shared" si="14"/>
        <v/>
      </c>
      <c r="K267" s="18"/>
    </row>
    <row r="268" spans="1:11" x14ac:dyDescent="0.25">
      <c r="A268" s="18"/>
      <c r="B268" s="18"/>
      <c r="C268" s="18"/>
      <c r="D268" s="29" t="str">
        <f>IF(A268="","",COUNTIFS(Ventes!$D$6:$D$505,A268,Ventes!$M$6:$M$505,"Livrée et payée"))</f>
        <v/>
      </c>
      <c r="E268" s="25" t="str">
        <f>IF(A268="","",SUMIFS(Ventes!$K$6:$K$505,Ventes!$D$6:$D$505,A268,Ventes!$M$6:$M$505,"Livrée et payée"))</f>
        <v/>
      </c>
      <c r="F268" s="42" t="str">
        <f>IF(A268="","",IF(D268=0,"",_xlfn.MAXIFS(Ventes!$B$6:$B$505,Ventes!$D$6:$D$505,A268,Ventes!$M$6:$M$505,"Livrée et payée")))</f>
        <v/>
      </c>
      <c r="G268" s="29" t="str">
        <f t="shared" ca="1" si="12"/>
        <v/>
      </c>
      <c r="H268" s="29" t="str">
        <f>IF(A268="","",COUNTIFS(Ventes!$D$6:$D$505,A268,Ventes!$M$6:$M$505,"Annulée"))</f>
        <v/>
      </c>
      <c r="I268" s="28" t="str">
        <f t="shared" si="13"/>
        <v/>
      </c>
      <c r="J268" s="28" t="str">
        <f t="shared" si="14"/>
        <v/>
      </c>
      <c r="K268" s="18"/>
    </row>
    <row r="269" spans="1:11" x14ac:dyDescent="0.25">
      <c r="A269" s="18"/>
      <c r="B269" s="18"/>
      <c r="C269" s="18"/>
      <c r="D269" s="29" t="str">
        <f>IF(A269="","",COUNTIFS(Ventes!$D$6:$D$505,A269,Ventes!$M$6:$M$505,"Livrée et payée"))</f>
        <v/>
      </c>
      <c r="E269" s="25" t="str">
        <f>IF(A269="","",SUMIFS(Ventes!$K$6:$K$505,Ventes!$D$6:$D$505,A269,Ventes!$M$6:$M$505,"Livrée et payée"))</f>
        <v/>
      </c>
      <c r="F269" s="42" t="str">
        <f>IF(A269="","",IF(D269=0,"",_xlfn.MAXIFS(Ventes!$B$6:$B$505,Ventes!$D$6:$D$505,A269,Ventes!$M$6:$M$505,"Livrée et payée")))</f>
        <v/>
      </c>
      <c r="G269" s="29" t="str">
        <f t="shared" ca="1" si="12"/>
        <v/>
      </c>
      <c r="H269" s="29" t="str">
        <f>IF(A269="","",COUNTIFS(Ventes!$D$6:$D$505,A269,Ventes!$M$6:$M$505,"Annulée"))</f>
        <v/>
      </c>
      <c r="I269" s="28" t="str">
        <f t="shared" si="13"/>
        <v/>
      </c>
      <c r="J269" s="28" t="str">
        <f t="shared" si="14"/>
        <v/>
      </c>
      <c r="K269" s="18"/>
    </row>
    <row r="270" spans="1:11" x14ac:dyDescent="0.25">
      <c r="A270" s="18"/>
      <c r="B270" s="18"/>
      <c r="C270" s="18"/>
      <c r="D270" s="29" t="str">
        <f>IF(A270="","",COUNTIFS(Ventes!$D$6:$D$505,A270,Ventes!$M$6:$M$505,"Livrée et payée"))</f>
        <v/>
      </c>
      <c r="E270" s="25" t="str">
        <f>IF(A270="","",SUMIFS(Ventes!$K$6:$K$505,Ventes!$D$6:$D$505,A270,Ventes!$M$6:$M$505,"Livrée et payée"))</f>
        <v/>
      </c>
      <c r="F270" s="42" t="str">
        <f>IF(A270="","",IF(D270=0,"",_xlfn.MAXIFS(Ventes!$B$6:$B$505,Ventes!$D$6:$D$505,A270,Ventes!$M$6:$M$505,"Livrée et payée")))</f>
        <v/>
      </c>
      <c r="G270" s="29" t="str">
        <f t="shared" ca="1" si="12"/>
        <v/>
      </c>
      <c r="H270" s="29" t="str">
        <f>IF(A270="","",COUNTIFS(Ventes!$D$6:$D$505,A270,Ventes!$M$6:$M$505,"Annulée"))</f>
        <v/>
      </c>
      <c r="I270" s="28" t="str">
        <f t="shared" si="13"/>
        <v/>
      </c>
      <c r="J270" s="28" t="str">
        <f t="shared" si="14"/>
        <v/>
      </c>
      <c r="K270" s="18"/>
    </row>
    <row r="271" spans="1:11" x14ac:dyDescent="0.25">
      <c r="A271" s="18"/>
      <c r="B271" s="18"/>
      <c r="C271" s="18"/>
      <c r="D271" s="29" t="str">
        <f>IF(A271="","",COUNTIFS(Ventes!$D$6:$D$505,A271,Ventes!$M$6:$M$505,"Livrée et payée"))</f>
        <v/>
      </c>
      <c r="E271" s="25" t="str">
        <f>IF(A271="","",SUMIFS(Ventes!$K$6:$K$505,Ventes!$D$6:$D$505,A271,Ventes!$M$6:$M$505,"Livrée et payée"))</f>
        <v/>
      </c>
      <c r="F271" s="42" t="str">
        <f>IF(A271="","",IF(D271=0,"",_xlfn.MAXIFS(Ventes!$B$6:$B$505,Ventes!$D$6:$D$505,A271,Ventes!$M$6:$M$505,"Livrée et payée")))</f>
        <v/>
      </c>
      <c r="G271" s="29" t="str">
        <f t="shared" ca="1" si="12"/>
        <v/>
      </c>
      <c r="H271" s="29" t="str">
        <f>IF(A271="","",COUNTIFS(Ventes!$D$6:$D$505,A271,Ventes!$M$6:$M$505,"Annulée"))</f>
        <v/>
      </c>
      <c r="I271" s="28" t="str">
        <f t="shared" si="13"/>
        <v/>
      </c>
      <c r="J271" s="28" t="str">
        <f t="shared" si="14"/>
        <v/>
      </c>
      <c r="K271" s="18"/>
    </row>
    <row r="272" spans="1:11" x14ac:dyDescent="0.25">
      <c r="A272" s="18"/>
      <c r="B272" s="18"/>
      <c r="C272" s="18"/>
      <c r="D272" s="29" t="str">
        <f>IF(A272="","",COUNTIFS(Ventes!$D$6:$D$505,A272,Ventes!$M$6:$M$505,"Livrée et payée"))</f>
        <v/>
      </c>
      <c r="E272" s="25" t="str">
        <f>IF(A272="","",SUMIFS(Ventes!$K$6:$K$505,Ventes!$D$6:$D$505,A272,Ventes!$M$6:$M$505,"Livrée et payée"))</f>
        <v/>
      </c>
      <c r="F272" s="42" t="str">
        <f>IF(A272="","",IF(D272=0,"",_xlfn.MAXIFS(Ventes!$B$6:$B$505,Ventes!$D$6:$D$505,A272,Ventes!$M$6:$M$505,"Livrée et payée")))</f>
        <v/>
      </c>
      <c r="G272" s="29" t="str">
        <f t="shared" ca="1" si="12"/>
        <v/>
      </c>
      <c r="H272" s="29" t="str">
        <f>IF(A272="","",COUNTIFS(Ventes!$D$6:$D$505,A272,Ventes!$M$6:$M$505,"Annulée"))</f>
        <v/>
      </c>
      <c r="I272" s="28" t="str">
        <f t="shared" si="13"/>
        <v/>
      </c>
      <c r="J272" s="28" t="str">
        <f t="shared" si="14"/>
        <v/>
      </c>
      <c r="K272" s="18"/>
    </row>
    <row r="273" spans="1:11" x14ac:dyDescent="0.25">
      <c r="A273" s="18"/>
      <c r="B273" s="18"/>
      <c r="C273" s="18"/>
      <c r="D273" s="29" t="str">
        <f>IF(A273="","",COUNTIFS(Ventes!$D$6:$D$505,A273,Ventes!$M$6:$M$505,"Livrée et payée"))</f>
        <v/>
      </c>
      <c r="E273" s="25" t="str">
        <f>IF(A273="","",SUMIFS(Ventes!$K$6:$K$505,Ventes!$D$6:$D$505,A273,Ventes!$M$6:$M$505,"Livrée et payée"))</f>
        <v/>
      </c>
      <c r="F273" s="42" t="str">
        <f>IF(A273="","",IF(D273=0,"",_xlfn.MAXIFS(Ventes!$B$6:$B$505,Ventes!$D$6:$D$505,A273,Ventes!$M$6:$M$505,"Livrée et payée")))</f>
        <v/>
      </c>
      <c r="G273" s="29" t="str">
        <f t="shared" ca="1" si="12"/>
        <v/>
      </c>
      <c r="H273" s="29" t="str">
        <f>IF(A273="","",COUNTIFS(Ventes!$D$6:$D$505,A273,Ventes!$M$6:$M$505,"Annulée"))</f>
        <v/>
      </c>
      <c r="I273" s="28" t="str">
        <f t="shared" si="13"/>
        <v/>
      </c>
      <c r="J273" s="28" t="str">
        <f t="shared" si="14"/>
        <v/>
      </c>
      <c r="K273" s="18"/>
    </row>
    <row r="274" spans="1:11" x14ac:dyDescent="0.25">
      <c r="A274" s="18"/>
      <c r="B274" s="18"/>
      <c r="C274" s="18"/>
      <c r="D274" s="29" t="str">
        <f>IF(A274="","",COUNTIFS(Ventes!$D$6:$D$505,A274,Ventes!$M$6:$M$505,"Livrée et payée"))</f>
        <v/>
      </c>
      <c r="E274" s="25" t="str">
        <f>IF(A274="","",SUMIFS(Ventes!$K$6:$K$505,Ventes!$D$6:$D$505,A274,Ventes!$M$6:$M$505,"Livrée et payée"))</f>
        <v/>
      </c>
      <c r="F274" s="42" t="str">
        <f>IF(A274="","",IF(D274=0,"",_xlfn.MAXIFS(Ventes!$B$6:$B$505,Ventes!$D$6:$D$505,A274,Ventes!$M$6:$M$505,"Livrée et payée")))</f>
        <v/>
      </c>
      <c r="G274" s="29" t="str">
        <f t="shared" ca="1" si="12"/>
        <v/>
      </c>
      <c r="H274" s="29" t="str">
        <f>IF(A274="","",COUNTIFS(Ventes!$D$6:$D$505,A274,Ventes!$M$6:$M$505,"Annulée"))</f>
        <v/>
      </c>
      <c r="I274" s="28" t="str">
        <f t="shared" si="13"/>
        <v/>
      </c>
      <c r="J274" s="28" t="str">
        <f t="shared" si="14"/>
        <v/>
      </c>
      <c r="K274" s="18"/>
    </row>
    <row r="275" spans="1:11" x14ac:dyDescent="0.25">
      <c r="A275" s="18"/>
      <c r="B275" s="18"/>
      <c r="C275" s="18"/>
      <c r="D275" s="29" t="str">
        <f>IF(A275="","",COUNTIFS(Ventes!$D$6:$D$505,A275,Ventes!$M$6:$M$505,"Livrée et payée"))</f>
        <v/>
      </c>
      <c r="E275" s="25" t="str">
        <f>IF(A275="","",SUMIFS(Ventes!$K$6:$K$505,Ventes!$D$6:$D$505,A275,Ventes!$M$6:$M$505,"Livrée et payée"))</f>
        <v/>
      </c>
      <c r="F275" s="42" t="str">
        <f>IF(A275="","",IF(D275=0,"",_xlfn.MAXIFS(Ventes!$B$6:$B$505,Ventes!$D$6:$D$505,A275,Ventes!$M$6:$M$505,"Livrée et payée")))</f>
        <v/>
      </c>
      <c r="G275" s="29" t="str">
        <f t="shared" ca="1" si="12"/>
        <v/>
      </c>
      <c r="H275" s="29" t="str">
        <f>IF(A275="","",COUNTIFS(Ventes!$D$6:$D$505,A275,Ventes!$M$6:$M$505,"Annulée"))</f>
        <v/>
      </c>
      <c r="I275" s="28" t="str">
        <f t="shared" si="13"/>
        <v/>
      </c>
      <c r="J275" s="28" t="str">
        <f t="shared" si="14"/>
        <v/>
      </c>
      <c r="K275" s="18"/>
    </row>
    <row r="276" spans="1:11" x14ac:dyDescent="0.25">
      <c r="A276" s="18"/>
      <c r="B276" s="18"/>
      <c r="C276" s="18"/>
      <c r="D276" s="29" t="str">
        <f>IF(A276="","",COUNTIFS(Ventes!$D$6:$D$505,A276,Ventes!$M$6:$M$505,"Livrée et payée"))</f>
        <v/>
      </c>
      <c r="E276" s="25" t="str">
        <f>IF(A276="","",SUMIFS(Ventes!$K$6:$K$505,Ventes!$D$6:$D$505,A276,Ventes!$M$6:$M$505,"Livrée et payée"))</f>
        <v/>
      </c>
      <c r="F276" s="42" t="str">
        <f>IF(A276="","",IF(D276=0,"",_xlfn.MAXIFS(Ventes!$B$6:$B$505,Ventes!$D$6:$D$505,A276,Ventes!$M$6:$M$505,"Livrée et payée")))</f>
        <v/>
      </c>
      <c r="G276" s="29" t="str">
        <f t="shared" ca="1" si="12"/>
        <v/>
      </c>
      <c r="H276" s="29" t="str">
        <f>IF(A276="","",COUNTIFS(Ventes!$D$6:$D$505,A276,Ventes!$M$6:$M$505,"Annulée"))</f>
        <v/>
      </c>
      <c r="I276" s="28" t="str">
        <f t="shared" si="13"/>
        <v/>
      </c>
      <c r="J276" s="28" t="str">
        <f t="shared" si="14"/>
        <v/>
      </c>
      <c r="K276" s="18"/>
    </row>
    <row r="277" spans="1:11" x14ac:dyDescent="0.25">
      <c r="A277" s="18"/>
      <c r="B277" s="18"/>
      <c r="C277" s="18"/>
      <c r="D277" s="29" t="str">
        <f>IF(A277="","",COUNTIFS(Ventes!$D$6:$D$505,A277,Ventes!$M$6:$M$505,"Livrée et payée"))</f>
        <v/>
      </c>
      <c r="E277" s="25" t="str">
        <f>IF(A277="","",SUMIFS(Ventes!$K$6:$K$505,Ventes!$D$6:$D$505,A277,Ventes!$M$6:$M$505,"Livrée et payée"))</f>
        <v/>
      </c>
      <c r="F277" s="42" t="str">
        <f>IF(A277="","",IF(D277=0,"",_xlfn.MAXIFS(Ventes!$B$6:$B$505,Ventes!$D$6:$D$505,A277,Ventes!$M$6:$M$505,"Livrée et payée")))</f>
        <v/>
      </c>
      <c r="G277" s="29" t="str">
        <f t="shared" ca="1" si="12"/>
        <v/>
      </c>
      <c r="H277" s="29" t="str">
        <f>IF(A277="","",COUNTIFS(Ventes!$D$6:$D$505,A277,Ventes!$M$6:$M$505,"Annulée"))</f>
        <v/>
      </c>
      <c r="I277" s="28" t="str">
        <f t="shared" si="13"/>
        <v/>
      </c>
      <c r="J277" s="28" t="str">
        <f t="shared" si="14"/>
        <v/>
      </c>
      <c r="K277" s="18"/>
    </row>
    <row r="278" spans="1:11" x14ac:dyDescent="0.25">
      <c r="A278" s="18"/>
      <c r="B278" s="18"/>
      <c r="C278" s="18"/>
      <c r="D278" s="29" t="str">
        <f>IF(A278="","",COUNTIFS(Ventes!$D$6:$D$505,A278,Ventes!$M$6:$M$505,"Livrée et payée"))</f>
        <v/>
      </c>
      <c r="E278" s="25" t="str">
        <f>IF(A278="","",SUMIFS(Ventes!$K$6:$K$505,Ventes!$D$6:$D$505,A278,Ventes!$M$6:$M$505,"Livrée et payée"))</f>
        <v/>
      </c>
      <c r="F278" s="42" t="str">
        <f>IF(A278="","",IF(D278=0,"",_xlfn.MAXIFS(Ventes!$B$6:$B$505,Ventes!$D$6:$D$505,A278,Ventes!$M$6:$M$505,"Livrée et payée")))</f>
        <v/>
      </c>
      <c r="G278" s="29" t="str">
        <f t="shared" ca="1" si="12"/>
        <v/>
      </c>
      <c r="H278" s="29" t="str">
        <f>IF(A278="","",COUNTIFS(Ventes!$D$6:$D$505,A278,Ventes!$M$6:$M$505,"Annulée"))</f>
        <v/>
      </c>
      <c r="I278" s="28" t="str">
        <f t="shared" si="13"/>
        <v/>
      </c>
      <c r="J278" s="28" t="str">
        <f t="shared" si="14"/>
        <v/>
      </c>
      <c r="K278" s="18"/>
    </row>
    <row r="279" spans="1:11" x14ac:dyDescent="0.25">
      <c r="A279" s="18"/>
      <c r="B279" s="18"/>
      <c r="C279" s="18"/>
      <c r="D279" s="29" t="str">
        <f>IF(A279="","",COUNTIFS(Ventes!$D$6:$D$505,A279,Ventes!$M$6:$M$505,"Livrée et payée"))</f>
        <v/>
      </c>
      <c r="E279" s="25" t="str">
        <f>IF(A279="","",SUMIFS(Ventes!$K$6:$K$505,Ventes!$D$6:$D$505,A279,Ventes!$M$6:$M$505,"Livrée et payée"))</f>
        <v/>
      </c>
      <c r="F279" s="42" t="str">
        <f>IF(A279="","",IF(D279=0,"",_xlfn.MAXIFS(Ventes!$B$6:$B$505,Ventes!$D$6:$D$505,A279,Ventes!$M$6:$M$505,"Livrée et payée")))</f>
        <v/>
      </c>
      <c r="G279" s="29" t="str">
        <f t="shared" ca="1" si="12"/>
        <v/>
      </c>
      <c r="H279" s="29" t="str">
        <f>IF(A279="","",COUNTIFS(Ventes!$D$6:$D$505,A279,Ventes!$M$6:$M$505,"Annulée"))</f>
        <v/>
      </c>
      <c r="I279" s="28" t="str">
        <f t="shared" si="13"/>
        <v/>
      </c>
      <c r="J279" s="28" t="str">
        <f t="shared" si="14"/>
        <v/>
      </c>
      <c r="K279" s="18"/>
    </row>
    <row r="280" spans="1:11" x14ac:dyDescent="0.25">
      <c r="A280" s="18"/>
      <c r="B280" s="18"/>
      <c r="C280" s="18"/>
      <c r="D280" s="29" t="str">
        <f>IF(A280="","",COUNTIFS(Ventes!$D$6:$D$505,A280,Ventes!$M$6:$M$505,"Livrée et payée"))</f>
        <v/>
      </c>
      <c r="E280" s="25" t="str">
        <f>IF(A280="","",SUMIFS(Ventes!$K$6:$K$505,Ventes!$D$6:$D$505,A280,Ventes!$M$6:$M$505,"Livrée et payée"))</f>
        <v/>
      </c>
      <c r="F280" s="42" t="str">
        <f>IF(A280="","",IF(D280=0,"",_xlfn.MAXIFS(Ventes!$B$6:$B$505,Ventes!$D$6:$D$505,A280,Ventes!$M$6:$M$505,"Livrée et payée")))</f>
        <v/>
      </c>
      <c r="G280" s="29" t="str">
        <f t="shared" ca="1" si="12"/>
        <v/>
      </c>
      <c r="H280" s="29" t="str">
        <f>IF(A280="","",COUNTIFS(Ventes!$D$6:$D$505,A280,Ventes!$M$6:$M$505,"Annulée"))</f>
        <v/>
      </c>
      <c r="I280" s="28" t="str">
        <f t="shared" si="13"/>
        <v/>
      </c>
      <c r="J280" s="28" t="str">
        <f t="shared" si="14"/>
        <v/>
      </c>
      <c r="K280" s="18"/>
    </row>
    <row r="281" spans="1:11" x14ac:dyDescent="0.25">
      <c r="A281" s="18"/>
      <c r="B281" s="18"/>
      <c r="C281" s="18"/>
      <c r="D281" s="29" t="str">
        <f>IF(A281="","",COUNTIFS(Ventes!$D$6:$D$505,A281,Ventes!$M$6:$M$505,"Livrée et payée"))</f>
        <v/>
      </c>
      <c r="E281" s="25" t="str">
        <f>IF(A281="","",SUMIFS(Ventes!$K$6:$K$505,Ventes!$D$6:$D$505,A281,Ventes!$M$6:$M$505,"Livrée et payée"))</f>
        <v/>
      </c>
      <c r="F281" s="42" t="str">
        <f>IF(A281="","",IF(D281=0,"",_xlfn.MAXIFS(Ventes!$B$6:$B$505,Ventes!$D$6:$D$505,A281,Ventes!$M$6:$M$505,"Livrée et payée")))</f>
        <v/>
      </c>
      <c r="G281" s="29" t="str">
        <f t="shared" ca="1" si="12"/>
        <v/>
      </c>
      <c r="H281" s="29" t="str">
        <f>IF(A281="","",COUNTIFS(Ventes!$D$6:$D$505,A281,Ventes!$M$6:$M$505,"Annulée"))</f>
        <v/>
      </c>
      <c r="I281" s="28" t="str">
        <f t="shared" si="13"/>
        <v/>
      </c>
      <c r="J281" s="28" t="str">
        <f t="shared" si="14"/>
        <v/>
      </c>
      <c r="K281" s="18"/>
    </row>
    <row r="282" spans="1:11" x14ac:dyDescent="0.25">
      <c r="A282" s="18"/>
      <c r="B282" s="18"/>
      <c r="C282" s="18"/>
      <c r="D282" s="29" t="str">
        <f>IF(A282="","",COUNTIFS(Ventes!$D$6:$D$505,A282,Ventes!$M$6:$M$505,"Livrée et payée"))</f>
        <v/>
      </c>
      <c r="E282" s="25" t="str">
        <f>IF(A282="","",SUMIFS(Ventes!$K$6:$K$505,Ventes!$D$6:$D$505,A282,Ventes!$M$6:$M$505,"Livrée et payée"))</f>
        <v/>
      </c>
      <c r="F282" s="42" t="str">
        <f>IF(A282="","",IF(D282=0,"",_xlfn.MAXIFS(Ventes!$B$6:$B$505,Ventes!$D$6:$D$505,A282,Ventes!$M$6:$M$505,"Livrée et payée")))</f>
        <v/>
      </c>
      <c r="G282" s="29" t="str">
        <f t="shared" ca="1" si="12"/>
        <v/>
      </c>
      <c r="H282" s="29" t="str">
        <f>IF(A282="","",COUNTIFS(Ventes!$D$6:$D$505,A282,Ventes!$M$6:$M$505,"Annulée"))</f>
        <v/>
      </c>
      <c r="I282" s="28" t="str">
        <f t="shared" si="13"/>
        <v/>
      </c>
      <c r="J282" s="28" t="str">
        <f t="shared" si="14"/>
        <v/>
      </c>
      <c r="K282" s="18"/>
    </row>
    <row r="283" spans="1:11" x14ac:dyDescent="0.25">
      <c r="A283" s="18"/>
      <c r="B283" s="18"/>
      <c r="C283" s="18"/>
      <c r="D283" s="29" t="str">
        <f>IF(A283="","",COUNTIFS(Ventes!$D$6:$D$505,A283,Ventes!$M$6:$M$505,"Livrée et payée"))</f>
        <v/>
      </c>
      <c r="E283" s="25" t="str">
        <f>IF(A283="","",SUMIFS(Ventes!$K$6:$K$505,Ventes!$D$6:$D$505,A283,Ventes!$M$6:$M$505,"Livrée et payée"))</f>
        <v/>
      </c>
      <c r="F283" s="42" t="str">
        <f>IF(A283="","",IF(D283=0,"",_xlfn.MAXIFS(Ventes!$B$6:$B$505,Ventes!$D$6:$D$505,A283,Ventes!$M$6:$M$505,"Livrée et payée")))</f>
        <v/>
      </c>
      <c r="G283" s="29" t="str">
        <f t="shared" ca="1" si="12"/>
        <v/>
      </c>
      <c r="H283" s="29" t="str">
        <f>IF(A283="","",COUNTIFS(Ventes!$D$6:$D$505,A283,Ventes!$M$6:$M$505,"Annulée"))</f>
        <v/>
      </c>
      <c r="I283" s="28" t="str">
        <f t="shared" si="13"/>
        <v/>
      </c>
      <c r="J283" s="28" t="str">
        <f t="shared" si="14"/>
        <v/>
      </c>
      <c r="K283" s="18"/>
    </row>
    <row r="284" spans="1:11" x14ac:dyDescent="0.25">
      <c r="A284" s="18"/>
      <c r="B284" s="18"/>
      <c r="C284" s="18"/>
      <c r="D284" s="29" t="str">
        <f>IF(A284="","",COUNTIFS(Ventes!$D$6:$D$505,A284,Ventes!$M$6:$M$505,"Livrée et payée"))</f>
        <v/>
      </c>
      <c r="E284" s="25" t="str">
        <f>IF(A284="","",SUMIFS(Ventes!$K$6:$K$505,Ventes!$D$6:$D$505,A284,Ventes!$M$6:$M$505,"Livrée et payée"))</f>
        <v/>
      </c>
      <c r="F284" s="42" t="str">
        <f>IF(A284="","",IF(D284=0,"",_xlfn.MAXIFS(Ventes!$B$6:$B$505,Ventes!$D$6:$D$505,A284,Ventes!$M$6:$M$505,"Livrée et payée")))</f>
        <v/>
      </c>
      <c r="G284" s="29" t="str">
        <f t="shared" ca="1" si="12"/>
        <v/>
      </c>
      <c r="H284" s="29" t="str">
        <f>IF(A284="","",COUNTIFS(Ventes!$D$6:$D$505,A284,Ventes!$M$6:$M$505,"Annulée"))</f>
        <v/>
      </c>
      <c r="I284" s="28" t="str">
        <f t="shared" si="13"/>
        <v/>
      </c>
      <c r="J284" s="28" t="str">
        <f t="shared" si="14"/>
        <v/>
      </c>
      <c r="K284" s="18"/>
    </row>
    <row r="285" spans="1:11" x14ac:dyDescent="0.25">
      <c r="A285" s="18"/>
      <c r="B285" s="18"/>
      <c r="C285" s="18"/>
      <c r="D285" s="29" t="str">
        <f>IF(A285="","",COUNTIFS(Ventes!$D$6:$D$505,A285,Ventes!$M$6:$M$505,"Livrée et payée"))</f>
        <v/>
      </c>
      <c r="E285" s="25" t="str">
        <f>IF(A285="","",SUMIFS(Ventes!$K$6:$K$505,Ventes!$D$6:$D$505,A285,Ventes!$M$6:$M$505,"Livrée et payée"))</f>
        <v/>
      </c>
      <c r="F285" s="42" t="str">
        <f>IF(A285="","",IF(D285=0,"",_xlfn.MAXIFS(Ventes!$B$6:$B$505,Ventes!$D$6:$D$505,A285,Ventes!$M$6:$M$505,"Livrée et payée")))</f>
        <v/>
      </c>
      <c r="G285" s="29" t="str">
        <f t="shared" ca="1" si="12"/>
        <v/>
      </c>
      <c r="H285" s="29" t="str">
        <f>IF(A285="","",COUNTIFS(Ventes!$D$6:$D$505,A285,Ventes!$M$6:$M$505,"Annulée"))</f>
        <v/>
      </c>
      <c r="I285" s="28" t="str">
        <f t="shared" si="13"/>
        <v/>
      </c>
      <c r="J285" s="28" t="str">
        <f t="shared" si="14"/>
        <v/>
      </c>
      <c r="K285" s="18"/>
    </row>
    <row r="286" spans="1:11" x14ac:dyDescent="0.25">
      <c r="A286" s="18"/>
      <c r="B286" s="18"/>
      <c r="C286" s="18"/>
      <c r="D286" s="29" t="str">
        <f>IF(A286="","",COUNTIFS(Ventes!$D$6:$D$505,A286,Ventes!$M$6:$M$505,"Livrée et payée"))</f>
        <v/>
      </c>
      <c r="E286" s="25" t="str">
        <f>IF(A286="","",SUMIFS(Ventes!$K$6:$K$505,Ventes!$D$6:$D$505,A286,Ventes!$M$6:$M$505,"Livrée et payée"))</f>
        <v/>
      </c>
      <c r="F286" s="42" t="str">
        <f>IF(A286="","",IF(D286=0,"",_xlfn.MAXIFS(Ventes!$B$6:$B$505,Ventes!$D$6:$D$505,A286,Ventes!$M$6:$M$505,"Livrée et payée")))</f>
        <v/>
      </c>
      <c r="G286" s="29" t="str">
        <f t="shared" ca="1" si="12"/>
        <v/>
      </c>
      <c r="H286" s="29" t="str">
        <f>IF(A286="","",COUNTIFS(Ventes!$D$6:$D$505,A286,Ventes!$M$6:$M$505,"Annulée"))</f>
        <v/>
      </c>
      <c r="I286" s="28" t="str">
        <f t="shared" si="13"/>
        <v/>
      </c>
      <c r="J286" s="28" t="str">
        <f t="shared" si="14"/>
        <v/>
      </c>
      <c r="K286" s="18"/>
    </row>
    <row r="287" spans="1:11" x14ac:dyDescent="0.25">
      <c r="A287" s="18"/>
      <c r="B287" s="18"/>
      <c r="C287" s="18"/>
      <c r="D287" s="29" t="str">
        <f>IF(A287="","",COUNTIFS(Ventes!$D$6:$D$505,A287,Ventes!$M$6:$M$505,"Livrée et payée"))</f>
        <v/>
      </c>
      <c r="E287" s="25" t="str">
        <f>IF(A287="","",SUMIFS(Ventes!$K$6:$K$505,Ventes!$D$6:$D$505,A287,Ventes!$M$6:$M$505,"Livrée et payée"))</f>
        <v/>
      </c>
      <c r="F287" s="42" t="str">
        <f>IF(A287="","",IF(D287=0,"",_xlfn.MAXIFS(Ventes!$B$6:$B$505,Ventes!$D$6:$D$505,A287,Ventes!$M$6:$M$505,"Livrée et payée")))</f>
        <v/>
      </c>
      <c r="G287" s="29" t="str">
        <f t="shared" ca="1" si="12"/>
        <v/>
      </c>
      <c r="H287" s="29" t="str">
        <f>IF(A287="","",COUNTIFS(Ventes!$D$6:$D$505,A287,Ventes!$M$6:$M$505,"Annulée"))</f>
        <v/>
      </c>
      <c r="I287" s="28" t="str">
        <f t="shared" si="13"/>
        <v/>
      </c>
      <c r="J287" s="28" t="str">
        <f t="shared" si="14"/>
        <v/>
      </c>
      <c r="K287" s="18"/>
    </row>
    <row r="288" spans="1:11" x14ac:dyDescent="0.25">
      <c r="A288" s="18"/>
      <c r="B288" s="18"/>
      <c r="C288" s="18"/>
      <c r="D288" s="29" t="str">
        <f>IF(A288="","",COUNTIFS(Ventes!$D$6:$D$505,A288,Ventes!$M$6:$M$505,"Livrée et payée"))</f>
        <v/>
      </c>
      <c r="E288" s="25" t="str">
        <f>IF(A288="","",SUMIFS(Ventes!$K$6:$K$505,Ventes!$D$6:$D$505,A288,Ventes!$M$6:$M$505,"Livrée et payée"))</f>
        <v/>
      </c>
      <c r="F288" s="42" t="str">
        <f>IF(A288="","",IF(D288=0,"",_xlfn.MAXIFS(Ventes!$B$6:$B$505,Ventes!$D$6:$D$505,A288,Ventes!$M$6:$M$505,"Livrée et payée")))</f>
        <v/>
      </c>
      <c r="G288" s="29" t="str">
        <f t="shared" ca="1" si="12"/>
        <v/>
      </c>
      <c r="H288" s="29" t="str">
        <f>IF(A288="","",COUNTIFS(Ventes!$D$6:$D$505,A288,Ventes!$M$6:$M$505,"Annulée"))</f>
        <v/>
      </c>
      <c r="I288" s="28" t="str">
        <f t="shared" si="13"/>
        <v/>
      </c>
      <c r="J288" s="28" t="str">
        <f t="shared" si="14"/>
        <v/>
      </c>
      <c r="K288" s="18"/>
    </row>
    <row r="289" spans="1:11" x14ac:dyDescent="0.25">
      <c r="A289" s="18"/>
      <c r="B289" s="18"/>
      <c r="C289" s="18"/>
      <c r="D289" s="29" t="str">
        <f>IF(A289="","",COUNTIFS(Ventes!$D$6:$D$505,A289,Ventes!$M$6:$M$505,"Livrée et payée"))</f>
        <v/>
      </c>
      <c r="E289" s="25" t="str">
        <f>IF(A289="","",SUMIFS(Ventes!$K$6:$K$505,Ventes!$D$6:$D$505,A289,Ventes!$M$6:$M$505,"Livrée et payée"))</f>
        <v/>
      </c>
      <c r="F289" s="42" t="str">
        <f>IF(A289="","",IF(D289=0,"",_xlfn.MAXIFS(Ventes!$B$6:$B$505,Ventes!$D$6:$D$505,A289,Ventes!$M$6:$M$505,"Livrée et payée")))</f>
        <v/>
      </c>
      <c r="G289" s="29" t="str">
        <f t="shared" ca="1" si="12"/>
        <v/>
      </c>
      <c r="H289" s="29" t="str">
        <f>IF(A289="","",COUNTIFS(Ventes!$D$6:$D$505,A289,Ventes!$M$6:$M$505,"Annulée"))</f>
        <v/>
      </c>
      <c r="I289" s="28" t="str">
        <f t="shared" si="13"/>
        <v/>
      </c>
      <c r="J289" s="28" t="str">
        <f t="shared" si="14"/>
        <v/>
      </c>
      <c r="K289" s="18"/>
    </row>
    <row r="290" spans="1:11" x14ac:dyDescent="0.25">
      <c r="A290" s="18"/>
      <c r="B290" s="18"/>
      <c r="C290" s="18"/>
      <c r="D290" s="29" t="str">
        <f>IF(A290="","",COUNTIFS(Ventes!$D$6:$D$505,A290,Ventes!$M$6:$M$505,"Livrée et payée"))</f>
        <v/>
      </c>
      <c r="E290" s="25" t="str">
        <f>IF(A290="","",SUMIFS(Ventes!$K$6:$K$505,Ventes!$D$6:$D$505,A290,Ventes!$M$6:$M$505,"Livrée et payée"))</f>
        <v/>
      </c>
      <c r="F290" s="42" t="str">
        <f>IF(A290="","",IF(D290=0,"",_xlfn.MAXIFS(Ventes!$B$6:$B$505,Ventes!$D$6:$D$505,A290,Ventes!$M$6:$M$505,"Livrée et payée")))</f>
        <v/>
      </c>
      <c r="G290" s="29" t="str">
        <f t="shared" ca="1" si="12"/>
        <v/>
      </c>
      <c r="H290" s="29" t="str">
        <f>IF(A290="","",COUNTIFS(Ventes!$D$6:$D$505,A290,Ventes!$M$6:$M$505,"Annulée"))</f>
        <v/>
      </c>
      <c r="I290" s="28" t="str">
        <f t="shared" si="13"/>
        <v/>
      </c>
      <c r="J290" s="28" t="str">
        <f t="shared" si="14"/>
        <v/>
      </c>
      <c r="K290" s="18"/>
    </row>
    <row r="291" spans="1:11" x14ac:dyDescent="0.25">
      <c r="A291" s="18"/>
      <c r="B291" s="18"/>
      <c r="C291" s="18"/>
      <c r="D291" s="29" t="str">
        <f>IF(A291="","",COUNTIFS(Ventes!$D$6:$D$505,A291,Ventes!$M$6:$M$505,"Livrée et payée"))</f>
        <v/>
      </c>
      <c r="E291" s="25" t="str">
        <f>IF(A291="","",SUMIFS(Ventes!$K$6:$K$505,Ventes!$D$6:$D$505,A291,Ventes!$M$6:$M$505,"Livrée et payée"))</f>
        <v/>
      </c>
      <c r="F291" s="42" t="str">
        <f>IF(A291="","",IF(D291=0,"",_xlfn.MAXIFS(Ventes!$B$6:$B$505,Ventes!$D$6:$D$505,A291,Ventes!$M$6:$M$505,"Livrée et payée")))</f>
        <v/>
      </c>
      <c r="G291" s="29" t="str">
        <f t="shared" ca="1" si="12"/>
        <v/>
      </c>
      <c r="H291" s="29" t="str">
        <f>IF(A291="","",COUNTIFS(Ventes!$D$6:$D$505,A291,Ventes!$M$6:$M$505,"Annulée"))</f>
        <v/>
      </c>
      <c r="I291" s="28" t="str">
        <f t="shared" si="13"/>
        <v/>
      </c>
      <c r="J291" s="28" t="str">
        <f t="shared" si="14"/>
        <v/>
      </c>
      <c r="K291" s="18"/>
    </row>
    <row r="292" spans="1:11" x14ac:dyDescent="0.25">
      <c r="A292" s="18"/>
      <c r="B292" s="18"/>
      <c r="C292" s="18"/>
      <c r="D292" s="29" t="str">
        <f>IF(A292="","",COUNTIFS(Ventes!$D$6:$D$505,A292,Ventes!$M$6:$M$505,"Livrée et payée"))</f>
        <v/>
      </c>
      <c r="E292" s="25" t="str">
        <f>IF(A292="","",SUMIFS(Ventes!$K$6:$K$505,Ventes!$D$6:$D$505,A292,Ventes!$M$6:$M$505,"Livrée et payée"))</f>
        <v/>
      </c>
      <c r="F292" s="42" t="str">
        <f>IF(A292="","",IF(D292=0,"",_xlfn.MAXIFS(Ventes!$B$6:$B$505,Ventes!$D$6:$D$505,A292,Ventes!$M$6:$M$505,"Livrée et payée")))</f>
        <v/>
      </c>
      <c r="G292" s="29" t="str">
        <f t="shared" ca="1" si="12"/>
        <v/>
      </c>
      <c r="H292" s="29" t="str">
        <f>IF(A292="","",COUNTIFS(Ventes!$D$6:$D$505,A292,Ventes!$M$6:$M$505,"Annulée"))</f>
        <v/>
      </c>
      <c r="I292" s="28" t="str">
        <f t="shared" si="13"/>
        <v/>
      </c>
      <c r="J292" s="28" t="str">
        <f t="shared" si="14"/>
        <v/>
      </c>
      <c r="K292" s="18"/>
    </row>
    <row r="293" spans="1:11" x14ac:dyDescent="0.25">
      <c r="A293" s="18"/>
      <c r="B293" s="18"/>
      <c r="C293" s="18"/>
      <c r="D293" s="29" t="str">
        <f>IF(A293="","",COUNTIFS(Ventes!$D$6:$D$505,A293,Ventes!$M$6:$M$505,"Livrée et payée"))</f>
        <v/>
      </c>
      <c r="E293" s="25" t="str">
        <f>IF(A293="","",SUMIFS(Ventes!$K$6:$K$505,Ventes!$D$6:$D$505,A293,Ventes!$M$6:$M$505,"Livrée et payée"))</f>
        <v/>
      </c>
      <c r="F293" s="42" t="str">
        <f>IF(A293="","",IF(D293=0,"",_xlfn.MAXIFS(Ventes!$B$6:$B$505,Ventes!$D$6:$D$505,A293,Ventes!$M$6:$M$505,"Livrée et payée")))</f>
        <v/>
      </c>
      <c r="G293" s="29" t="str">
        <f t="shared" ca="1" si="12"/>
        <v/>
      </c>
      <c r="H293" s="29" t="str">
        <f>IF(A293="","",COUNTIFS(Ventes!$D$6:$D$505,A293,Ventes!$M$6:$M$505,"Annulée"))</f>
        <v/>
      </c>
      <c r="I293" s="28" t="str">
        <f t="shared" si="13"/>
        <v/>
      </c>
      <c r="J293" s="28" t="str">
        <f t="shared" si="14"/>
        <v/>
      </c>
      <c r="K293" s="18"/>
    </row>
    <row r="294" spans="1:11" x14ac:dyDescent="0.25">
      <c r="A294" s="18"/>
      <c r="B294" s="18"/>
      <c r="C294" s="18"/>
      <c r="D294" s="29" t="str">
        <f>IF(A294="","",COUNTIFS(Ventes!$D$6:$D$505,A294,Ventes!$M$6:$M$505,"Livrée et payée"))</f>
        <v/>
      </c>
      <c r="E294" s="25" t="str">
        <f>IF(A294="","",SUMIFS(Ventes!$K$6:$K$505,Ventes!$D$6:$D$505,A294,Ventes!$M$6:$M$505,"Livrée et payée"))</f>
        <v/>
      </c>
      <c r="F294" s="42" t="str">
        <f>IF(A294="","",IF(D294=0,"",_xlfn.MAXIFS(Ventes!$B$6:$B$505,Ventes!$D$6:$D$505,A294,Ventes!$M$6:$M$505,"Livrée et payée")))</f>
        <v/>
      </c>
      <c r="G294" s="29" t="str">
        <f t="shared" ca="1" si="12"/>
        <v/>
      </c>
      <c r="H294" s="29" t="str">
        <f>IF(A294="","",COUNTIFS(Ventes!$D$6:$D$505,A294,Ventes!$M$6:$M$505,"Annulée"))</f>
        <v/>
      </c>
      <c r="I294" s="28" t="str">
        <f t="shared" si="13"/>
        <v/>
      </c>
      <c r="J294" s="28" t="str">
        <f t="shared" si="14"/>
        <v/>
      </c>
      <c r="K294" s="18"/>
    </row>
    <row r="295" spans="1:11" x14ac:dyDescent="0.25">
      <c r="A295" s="18"/>
      <c r="B295" s="18"/>
      <c r="C295" s="18"/>
      <c r="D295" s="29" t="str">
        <f>IF(A295="","",COUNTIFS(Ventes!$D$6:$D$505,A295,Ventes!$M$6:$M$505,"Livrée et payée"))</f>
        <v/>
      </c>
      <c r="E295" s="25" t="str">
        <f>IF(A295="","",SUMIFS(Ventes!$K$6:$K$505,Ventes!$D$6:$D$505,A295,Ventes!$M$6:$M$505,"Livrée et payée"))</f>
        <v/>
      </c>
      <c r="F295" s="42" t="str">
        <f>IF(A295="","",IF(D295=0,"",_xlfn.MAXIFS(Ventes!$B$6:$B$505,Ventes!$D$6:$D$505,A295,Ventes!$M$6:$M$505,"Livrée et payée")))</f>
        <v/>
      </c>
      <c r="G295" s="29" t="str">
        <f t="shared" ca="1" si="12"/>
        <v/>
      </c>
      <c r="H295" s="29" t="str">
        <f>IF(A295="","",COUNTIFS(Ventes!$D$6:$D$505,A295,Ventes!$M$6:$M$505,"Annulée"))</f>
        <v/>
      </c>
      <c r="I295" s="28" t="str">
        <f t="shared" si="13"/>
        <v/>
      </c>
      <c r="J295" s="28" t="str">
        <f t="shared" si="14"/>
        <v/>
      </c>
      <c r="K295" s="18"/>
    </row>
    <row r="296" spans="1:11" x14ac:dyDescent="0.25">
      <c r="A296" s="18"/>
      <c r="B296" s="18"/>
      <c r="C296" s="18"/>
      <c r="D296" s="29" t="str">
        <f>IF(A296="","",COUNTIFS(Ventes!$D$6:$D$505,A296,Ventes!$M$6:$M$505,"Livrée et payée"))</f>
        <v/>
      </c>
      <c r="E296" s="25" t="str">
        <f>IF(A296="","",SUMIFS(Ventes!$K$6:$K$505,Ventes!$D$6:$D$505,A296,Ventes!$M$6:$M$505,"Livrée et payée"))</f>
        <v/>
      </c>
      <c r="F296" s="42" t="str">
        <f>IF(A296="","",IF(D296=0,"",_xlfn.MAXIFS(Ventes!$B$6:$B$505,Ventes!$D$6:$D$505,A296,Ventes!$M$6:$M$505,"Livrée et payée")))</f>
        <v/>
      </c>
      <c r="G296" s="29" t="str">
        <f t="shared" ca="1" si="12"/>
        <v/>
      </c>
      <c r="H296" s="29" t="str">
        <f>IF(A296="","",COUNTIFS(Ventes!$D$6:$D$505,A296,Ventes!$M$6:$M$505,"Annulée"))</f>
        <v/>
      </c>
      <c r="I296" s="28" t="str">
        <f t="shared" si="13"/>
        <v/>
      </c>
      <c r="J296" s="28" t="str">
        <f t="shared" si="14"/>
        <v/>
      </c>
      <c r="K296" s="18"/>
    </row>
    <row r="297" spans="1:11" x14ac:dyDescent="0.25">
      <c r="A297" s="18"/>
      <c r="B297" s="18"/>
      <c r="C297" s="18"/>
      <c r="D297" s="29" t="str">
        <f>IF(A297="","",COUNTIFS(Ventes!$D$6:$D$505,A297,Ventes!$M$6:$M$505,"Livrée et payée"))</f>
        <v/>
      </c>
      <c r="E297" s="25" t="str">
        <f>IF(A297="","",SUMIFS(Ventes!$K$6:$K$505,Ventes!$D$6:$D$505,A297,Ventes!$M$6:$M$505,"Livrée et payée"))</f>
        <v/>
      </c>
      <c r="F297" s="42" t="str">
        <f>IF(A297="","",IF(D297=0,"",_xlfn.MAXIFS(Ventes!$B$6:$B$505,Ventes!$D$6:$D$505,A297,Ventes!$M$6:$M$505,"Livrée et payée")))</f>
        <v/>
      </c>
      <c r="G297" s="29" t="str">
        <f t="shared" ca="1" si="12"/>
        <v/>
      </c>
      <c r="H297" s="29" t="str">
        <f>IF(A297="","",COUNTIFS(Ventes!$D$6:$D$505,A297,Ventes!$M$6:$M$505,"Annulée"))</f>
        <v/>
      </c>
      <c r="I297" s="28" t="str">
        <f t="shared" si="13"/>
        <v/>
      </c>
      <c r="J297" s="28" t="str">
        <f t="shared" si="14"/>
        <v/>
      </c>
      <c r="K297" s="18"/>
    </row>
    <row r="298" spans="1:11" x14ac:dyDescent="0.25">
      <c r="A298" s="18"/>
      <c r="B298" s="18"/>
      <c r="C298" s="18"/>
      <c r="D298" s="29" t="str">
        <f>IF(A298="","",COUNTIFS(Ventes!$D$6:$D$505,A298,Ventes!$M$6:$M$505,"Livrée et payée"))</f>
        <v/>
      </c>
      <c r="E298" s="25" t="str">
        <f>IF(A298="","",SUMIFS(Ventes!$K$6:$K$505,Ventes!$D$6:$D$505,A298,Ventes!$M$6:$M$505,"Livrée et payée"))</f>
        <v/>
      </c>
      <c r="F298" s="42" t="str">
        <f>IF(A298="","",IF(D298=0,"",_xlfn.MAXIFS(Ventes!$B$6:$B$505,Ventes!$D$6:$D$505,A298,Ventes!$M$6:$M$505,"Livrée et payée")))</f>
        <v/>
      </c>
      <c r="G298" s="29" t="str">
        <f t="shared" ca="1" si="12"/>
        <v/>
      </c>
      <c r="H298" s="29" t="str">
        <f>IF(A298="","",COUNTIFS(Ventes!$D$6:$D$505,A298,Ventes!$M$6:$M$505,"Annulée"))</f>
        <v/>
      </c>
      <c r="I298" s="28" t="str">
        <f t="shared" si="13"/>
        <v/>
      </c>
      <c r="J298" s="28" t="str">
        <f t="shared" si="14"/>
        <v/>
      </c>
      <c r="K298" s="18"/>
    </row>
    <row r="299" spans="1:11" x14ac:dyDescent="0.25">
      <c r="A299" s="18"/>
      <c r="B299" s="18"/>
      <c r="C299" s="18"/>
      <c r="D299" s="29" t="str">
        <f>IF(A299="","",COUNTIFS(Ventes!$D$6:$D$505,A299,Ventes!$M$6:$M$505,"Livrée et payée"))</f>
        <v/>
      </c>
      <c r="E299" s="25" t="str">
        <f>IF(A299="","",SUMIFS(Ventes!$K$6:$K$505,Ventes!$D$6:$D$505,A299,Ventes!$M$6:$M$505,"Livrée et payée"))</f>
        <v/>
      </c>
      <c r="F299" s="42" t="str">
        <f>IF(A299="","",IF(D299=0,"",_xlfn.MAXIFS(Ventes!$B$6:$B$505,Ventes!$D$6:$D$505,A299,Ventes!$M$6:$M$505,"Livrée et payée")))</f>
        <v/>
      </c>
      <c r="G299" s="29" t="str">
        <f t="shared" ca="1" si="12"/>
        <v/>
      </c>
      <c r="H299" s="29" t="str">
        <f>IF(A299="","",COUNTIFS(Ventes!$D$6:$D$505,A299,Ventes!$M$6:$M$505,"Annulée"))</f>
        <v/>
      </c>
      <c r="I299" s="28" t="str">
        <f t="shared" si="13"/>
        <v/>
      </c>
      <c r="J299" s="28" t="str">
        <f t="shared" si="14"/>
        <v/>
      </c>
      <c r="K299" s="18"/>
    </row>
    <row r="300" spans="1:11" x14ac:dyDescent="0.25">
      <c r="A300" s="18"/>
      <c r="B300" s="18"/>
      <c r="C300" s="18"/>
      <c r="D300" s="29" t="str">
        <f>IF(A300="","",COUNTIFS(Ventes!$D$6:$D$505,A300,Ventes!$M$6:$M$505,"Livrée et payée"))</f>
        <v/>
      </c>
      <c r="E300" s="25" t="str">
        <f>IF(A300="","",SUMIFS(Ventes!$K$6:$K$505,Ventes!$D$6:$D$505,A300,Ventes!$M$6:$M$505,"Livrée et payée"))</f>
        <v/>
      </c>
      <c r="F300" s="42" t="str">
        <f>IF(A300="","",IF(D300=0,"",_xlfn.MAXIFS(Ventes!$B$6:$B$505,Ventes!$D$6:$D$505,A300,Ventes!$M$6:$M$505,"Livrée et payée")))</f>
        <v/>
      </c>
      <c r="G300" s="29" t="str">
        <f t="shared" ca="1" si="12"/>
        <v/>
      </c>
      <c r="H300" s="29" t="str">
        <f>IF(A300="","",COUNTIFS(Ventes!$D$6:$D$505,A300,Ventes!$M$6:$M$505,"Annulée"))</f>
        <v/>
      </c>
      <c r="I300" s="28" t="str">
        <f t="shared" si="13"/>
        <v/>
      </c>
      <c r="J300" s="28" t="str">
        <f t="shared" si="14"/>
        <v/>
      </c>
      <c r="K300" s="18"/>
    </row>
    <row r="301" spans="1:11" x14ac:dyDescent="0.25">
      <c r="A301" s="18"/>
      <c r="B301" s="18"/>
      <c r="C301" s="18"/>
      <c r="D301" s="29" t="str">
        <f>IF(A301="","",COUNTIFS(Ventes!$D$6:$D$505,A301,Ventes!$M$6:$M$505,"Livrée et payée"))</f>
        <v/>
      </c>
      <c r="E301" s="25" t="str">
        <f>IF(A301="","",SUMIFS(Ventes!$K$6:$K$505,Ventes!$D$6:$D$505,A301,Ventes!$M$6:$M$505,"Livrée et payée"))</f>
        <v/>
      </c>
      <c r="F301" s="42" t="str">
        <f>IF(A301="","",IF(D301=0,"",_xlfn.MAXIFS(Ventes!$B$6:$B$505,Ventes!$D$6:$D$505,A301,Ventes!$M$6:$M$505,"Livrée et payée")))</f>
        <v/>
      </c>
      <c r="G301" s="29" t="str">
        <f t="shared" ca="1" si="12"/>
        <v/>
      </c>
      <c r="H301" s="29" t="str">
        <f>IF(A301="","",COUNTIFS(Ventes!$D$6:$D$505,A301,Ventes!$M$6:$M$505,"Annulée"))</f>
        <v/>
      </c>
      <c r="I301" s="28" t="str">
        <f t="shared" si="13"/>
        <v/>
      </c>
      <c r="J301" s="28" t="str">
        <f t="shared" si="14"/>
        <v/>
      </c>
      <c r="K301" s="18"/>
    </row>
    <row r="302" spans="1:11" x14ac:dyDescent="0.25">
      <c r="A302" s="18"/>
      <c r="B302" s="18"/>
      <c r="C302" s="18"/>
      <c r="D302" s="29" t="str">
        <f>IF(A302="","",COUNTIFS(Ventes!$D$6:$D$505,A302,Ventes!$M$6:$M$505,"Livrée et payée"))</f>
        <v/>
      </c>
      <c r="E302" s="25" t="str">
        <f>IF(A302="","",SUMIFS(Ventes!$K$6:$K$505,Ventes!$D$6:$D$505,A302,Ventes!$M$6:$M$505,"Livrée et payée"))</f>
        <v/>
      </c>
      <c r="F302" s="42" t="str">
        <f>IF(A302="","",IF(D302=0,"",_xlfn.MAXIFS(Ventes!$B$6:$B$505,Ventes!$D$6:$D$505,A302,Ventes!$M$6:$M$505,"Livrée et payée")))</f>
        <v/>
      </c>
      <c r="G302" s="29" t="str">
        <f t="shared" ca="1" si="12"/>
        <v/>
      </c>
      <c r="H302" s="29" t="str">
        <f>IF(A302="","",COUNTIFS(Ventes!$D$6:$D$505,A302,Ventes!$M$6:$M$505,"Annulée"))</f>
        <v/>
      </c>
      <c r="I302" s="28" t="str">
        <f t="shared" si="13"/>
        <v/>
      </c>
      <c r="J302" s="28" t="str">
        <f t="shared" si="14"/>
        <v/>
      </c>
      <c r="K302" s="18"/>
    </row>
    <row r="303" spans="1:11" x14ac:dyDescent="0.25">
      <c r="A303" s="18"/>
      <c r="B303" s="18"/>
      <c r="C303" s="18"/>
      <c r="D303" s="29" t="str">
        <f>IF(A303="","",COUNTIFS(Ventes!$D$6:$D$505,A303,Ventes!$M$6:$M$505,"Livrée et payée"))</f>
        <v/>
      </c>
      <c r="E303" s="25" t="str">
        <f>IF(A303="","",SUMIFS(Ventes!$K$6:$K$505,Ventes!$D$6:$D$505,A303,Ventes!$M$6:$M$505,"Livrée et payée"))</f>
        <v/>
      </c>
      <c r="F303" s="42" t="str">
        <f>IF(A303="","",IF(D303=0,"",_xlfn.MAXIFS(Ventes!$B$6:$B$505,Ventes!$D$6:$D$505,A303,Ventes!$M$6:$M$505,"Livrée et payée")))</f>
        <v/>
      </c>
      <c r="G303" s="29" t="str">
        <f t="shared" ca="1" si="12"/>
        <v/>
      </c>
      <c r="H303" s="29" t="str">
        <f>IF(A303="","",COUNTIFS(Ventes!$D$6:$D$505,A303,Ventes!$M$6:$M$505,"Annulée"))</f>
        <v/>
      </c>
      <c r="I303" s="28" t="str">
        <f t="shared" si="13"/>
        <v/>
      </c>
      <c r="J303" s="28" t="str">
        <f t="shared" si="14"/>
        <v/>
      </c>
      <c r="K303" s="18"/>
    </row>
    <row r="304" spans="1:11" x14ac:dyDescent="0.25">
      <c r="A304" s="18"/>
      <c r="B304" s="18"/>
      <c r="C304" s="18"/>
      <c r="D304" s="29" t="str">
        <f>IF(A304="","",COUNTIFS(Ventes!$D$6:$D$505,A304,Ventes!$M$6:$M$505,"Livrée et payée"))</f>
        <v/>
      </c>
      <c r="E304" s="25" t="str">
        <f>IF(A304="","",SUMIFS(Ventes!$K$6:$K$505,Ventes!$D$6:$D$505,A304,Ventes!$M$6:$M$505,"Livrée et payée"))</f>
        <v/>
      </c>
      <c r="F304" s="42" t="str">
        <f>IF(A304="","",IF(D304=0,"",_xlfn.MAXIFS(Ventes!$B$6:$B$505,Ventes!$D$6:$D$505,A304,Ventes!$M$6:$M$505,"Livrée et payée")))</f>
        <v/>
      </c>
      <c r="G304" s="29" t="str">
        <f t="shared" ca="1" si="12"/>
        <v/>
      </c>
      <c r="H304" s="29" t="str">
        <f>IF(A304="","",COUNTIFS(Ventes!$D$6:$D$505,A304,Ventes!$M$6:$M$505,"Annulée"))</f>
        <v/>
      </c>
      <c r="I304" s="28" t="str">
        <f t="shared" si="13"/>
        <v/>
      </c>
      <c r="J304" s="28" t="str">
        <f t="shared" si="14"/>
        <v/>
      </c>
      <c r="K304" s="18"/>
    </row>
    <row r="305" spans="1:11" x14ac:dyDescent="0.25">
      <c r="A305" s="18"/>
      <c r="B305" s="18"/>
      <c r="C305" s="18"/>
      <c r="D305" s="29" t="str">
        <f>IF(A305="","",COUNTIFS(Ventes!$D$6:$D$505,A305,Ventes!$M$6:$M$505,"Livrée et payée"))</f>
        <v/>
      </c>
      <c r="E305" s="25" t="str">
        <f>IF(A305="","",SUMIFS(Ventes!$K$6:$K$505,Ventes!$D$6:$D$505,A305,Ventes!$M$6:$M$505,"Livrée et payée"))</f>
        <v/>
      </c>
      <c r="F305" s="42" t="str">
        <f>IF(A305="","",IF(D305=0,"",_xlfn.MAXIFS(Ventes!$B$6:$B$505,Ventes!$D$6:$D$505,A305,Ventes!$M$6:$M$505,"Livrée et payée")))</f>
        <v/>
      </c>
      <c r="G305" s="29" t="str">
        <f t="shared" ca="1" si="12"/>
        <v/>
      </c>
      <c r="H305" s="29" t="str">
        <f>IF(A305="","",COUNTIFS(Ventes!$D$6:$D$505,A305,Ventes!$M$6:$M$505,"Annulée"))</f>
        <v/>
      </c>
      <c r="I305" s="28" t="str">
        <f t="shared" si="13"/>
        <v/>
      </c>
      <c r="J305" s="28" t="str">
        <f t="shared" si="14"/>
        <v/>
      </c>
      <c r="K305" s="18"/>
    </row>
  </sheetData>
  <conditionalFormatting sqref="I6:I305">
    <cfRule type="cellIs" dxfId="22" priority="2" operator="equal">
      <formula>"VIP"</formula>
    </cfRule>
    <cfRule type="cellIs" dxfId="21" priority="3" operator="equal">
      <formula>"Fidèle"</formula>
    </cfRule>
    <cfRule type="cellIs" dxfId="20" priority="4" operator="equal">
      <formula>"À relancer"</formula>
    </cfRule>
    <cfRule type="cellIs" dxfId="19" priority="5" operator="equal">
      <formula>"Prospect"</formula>
    </cfRule>
  </conditionalFormatting>
  <conditionalFormatting sqref="J6:J305">
    <cfRule type="cellIs" dxfId="18" priority="6" operator="equal">
      <formula>"Oui (a déjà annulé)"</formula>
    </cfRule>
  </conditionalFormatting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800-000000000000}">
          <x14:formula1>
            <xm:f>Paramètres!$J$6:$J$20</xm:f>
          </x14:formula1>
          <x14:formula2>
            <xm:f>0</xm:f>
          </x14:formula2>
          <xm:sqref>C6:C305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2F6DB5"/>
  </sheetPr>
  <dimension ref="A1:E205"/>
  <sheetViews>
    <sheetView showGridLines="0" zoomScaleNormal="100" workbookViewId="0">
      <selection activeCell="D7" sqref="D7"/>
    </sheetView>
  </sheetViews>
  <sheetFormatPr baseColWidth="10" defaultColWidth="8.7109375" defaultRowHeight="15" x14ac:dyDescent="0.25"/>
  <cols>
    <col min="1" max="1" width="12" customWidth="1"/>
    <col min="2" max="2" width="24" customWidth="1"/>
    <col min="3" max="3" width="40" customWidth="1"/>
    <col min="4" max="4" width="14" customWidth="1"/>
    <col min="5" max="5" width="12" customWidth="1"/>
  </cols>
  <sheetData>
    <row r="1" spans="1:5" ht="20.25" x14ac:dyDescent="0.3">
      <c r="A1" s="13" t="s">
        <v>248</v>
      </c>
    </row>
    <row r="2" spans="1:5" x14ac:dyDescent="0.25">
      <c r="A2" s="3" t="s">
        <v>249</v>
      </c>
    </row>
    <row r="3" spans="1:5" x14ac:dyDescent="0.25">
      <c r="A3" s="4" t="s">
        <v>2</v>
      </c>
    </row>
    <row r="5" spans="1:5" ht="31.5" customHeight="1" x14ac:dyDescent="0.25">
      <c r="A5" s="14" t="s">
        <v>177</v>
      </c>
      <c r="B5" s="14" t="s">
        <v>104</v>
      </c>
      <c r="C5" s="14" t="s">
        <v>250</v>
      </c>
      <c r="D5" s="14" t="s">
        <v>251</v>
      </c>
      <c r="E5" s="14" t="s">
        <v>185</v>
      </c>
    </row>
    <row r="6" spans="1:5" x14ac:dyDescent="0.25">
      <c r="A6" s="38">
        <v>46268</v>
      </c>
      <c r="B6" s="18" t="s">
        <v>59</v>
      </c>
      <c r="C6" s="18" t="s">
        <v>252</v>
      </c>
      <c r="D6" s="19">
        <v>6000</v>
      </c>
      <c r="E6" s="24">
        <f t="shared" ref="E6:E37" si="0">IF(A6="","",DATE(YEAR(A6),MONTH(A6),1))</f>
        <v>46266</v>
      </c>
    </row>
    <row r="7" spans="1:5" x14ac:dyDescent="0.25">
      <c r="A7" s="38">
        <v>46275</v>
      </c>
      <c r="B7" s="18" t="s">
        <v>73</v>
      </c>
      <c r="C7" s="18" t="s">
        <v>253</v>
      </c>
      <c r="D7" s="19">
        <v>3000</v>
      </c>
      <c r="E7" s="24">
        <f t="shared" si="0"/>
        <v>46266</v>
      </c>
    </row>
    <row r="8" spans="1:5" x14ac:dyDescent="0.25">
      <c r="A8" s="38">
        <v>46296</v>
      </c>
      <c r="B8" s="18" t="s">
        <v>59</v>
      </c>
      <c r="C8" s="18" t="s">
        <v>254</v>
      </c>
      <c r="D8" s="19">
        <v>5000</v>
      </c>
      <c r="E8" s="24">
        <f t="shared" si="0"/>
        <v>46296</v>
      </c>
    </row>
    <row r="9" spans="1:5" x14ac:dyDescent="0.25">
      <c r="A9" s="38">
        <v>46297</v>
      </c>
      <c r="B9" s="18" t="s">
        <v>73</v>
      </c>
      <c r="C9" s="18" t="s">
        <v>253</v>
      </c>
      <c r="D9" s="19">
        <v>3000</v>
      </c>
      <c r="E9" s="24">
        <f t="shared" si="0"/>
        <v>46296</v>
      </c>
    </row>
    <row r="10" spans="1:5" x14ac:dyDescent="0.25">
      <c r="A10" s="38">
        <v>46299</v>
      </c>
      <c r="B10" s="18" t="s">
        <v>66</v>
      </c>
      <c r="C10" s="18" t="s">
        <v>255</v>
      </c>
      <c r="D10" s="19">
        <v>4000</v>
      </c>
      <c r="E10" s="24">
        <f t="shared" si="0"/>
        <v>46296</v>
      </c>
    </row>
    <row r="11" spans="1:5" x14ac:dyDescent="0.25">
      <c r="A11" s="38"/>
      <c r="B11" s="18"/>
      <c r="C11" s="18"/>
      <c r="D11" s="19"/>
      <c r="E11" s="24" t="str">
        <f t="shared" si="0"/>
        <v/>
      </c>
    </row>
    <row r="12" spans="1:5" x14ac:dyDescent="0.25">
      <c r="A12" s="38"/>
      <c r="B12" s="18"/>
      <c r="C12" s="18"/>
      <c r="D12" s="19"/>
      <c r="E12" s="24" t="str">
        <f t="shared" si="0"/>
        <v/>
      </c>
    </row>
    <row r="13" spans="1:5" x14ac:dyDescent="0.25">
      <c r="A13" s="38"/>
      <c r="B13" s="18"/>
      <c r="C13" s="18"/>
      <c r="D13" s="19"/>
      <c r="E13" s="24" t="str">
        <f t="shared" si="0"/>
        <v/>
      </c>
    </row>
    <row r="14" spans="1:5" x14ac:dyDescent="0.25">
      <c r="A14" s="38"/>
      <c r="B14" s="18"/>
      <c r="C14" s="18"/>
      <c r="D14" s="19"/>
      <c r="E14" s="24" t="str">
        <f t="shared" si="0"/>
        <v/>
      </c>
    </row>
    <row r="15" spans="1:5" x14ac:dyDescent="0.25">
      <c r="A15" s="38"/>
      <c r="B15" s="18"/>
      <c r="C15" s="18"/>
      <c r="D15" s="19"/>
      <c r="E15" s="24" t="str">
        <f t="shared" si="0"/>
        <v/>
      </c>
    </row>
    <row r="16" spans="1:5" x14ac:dyDescent="0.25">
      <c r="A16" s="38"/>
      <c r="B16" s="18"/>
      <c r="C16" s="18"/>
      <c r="D16" s="19"/>
      <c r="E16" s="24" t="str">
        <f t="shared" si="0"/>
        <v/>
      </c>
    </row>
    <row r="17" spans="1:5" x14ac:dyDescent="0.25">
      <c r="A17" s="38"/>
      <c r="B17" s="18"/>
      <c r="C17" s="18"/>
      <c r="D17" s="19"/>
      <c r="E17" s="24" t="str">
        <f t="shared" si="0"/>
        <v/>
      </c>
    </row>
    <row r="18" spans="1:5" x14ac:dyDescent="0.25">
      <c r="A18" s="38"/>
      <c r="B18" s="18"/>
      <c r="C18" s="18"/>
      <c r="D18" s="19"/>
      <c r="E18" s="24" t="str">
        <f t="shared" si="0"/>
        <v/>
      </c>
    </row>
    <row r="19" spans="1:5" x14ac:dyDescent="0.25">
      <c r="A19" s="38"/>
      <c r="B19" s="18"/>
      <c r="C19" s="18"/>
      <c r="D19" s="19"/>
      <c r="E19" s="24" t="str">
        <f t="shared" si="0"/>
        <v/>
      </c>
    </row>
    <row r="20" spans="1:5" x14ac:dyDescent="0.25">
      <c r="A20" s="38"/>
      <c r="B20" s="18"/>
      <c r="C20" s="18"/>
      <c r="D20" s="19"/>
      <c r="E20" s="24" t="str">
        <f t="shared" si="0"/>
        <v/>
      </c>
    </row>
    <row r="21" spans="1:5" x14ac:dyDescent="0.25">
      <c r="A21" s="38"/>
      <c r="B21" s="18"/>
      <c r="C21" s="18"/>
      <c r="D21" s="19"/>
      <c r="E21" s="24" t="str">
        <f t="shared" si="0"/>
        <v/>
      </c>
    </row>
    <row r="22" spans="1:5" x14ac:dyDescent="0.25">
      <c r="A22" s="38"/>
      <c r="B22" s="18"/>
      <c r="C22" s="18"/>
      <c r="D22" s="19"/>
      <c r="E22" s="24" t="str">
        <f t="shared" si="0"/>
        <v/>
      </c>
    </row>
    <row r="23" spans="1:5" x14ac:dyDescent="0.25">
      <c r="A23" s="38"/>
      <c r="B23" s="18"/>
      <c r="C23" s="18"/>
      <c r="D23" s="19"/>
      <c r="E23" s="24" t="str">
        <f t="shared" si="0"/>
        <v/>
      </c>
    </row>
    <row r="24" spans="1:5" x14ac:dyDescent="0.25">
      <c r="A24" s="38"/>
      <c r="B24" s="18"/>
      <c r="C24" s="18"/>
      <c r="D24" s="19"/>
      <c r="E24" s="24" t="str">
        <f t="shared" si="0"/>
        <v/>
      </c>
    </row>
    <row r="25" spans="1:5" x14ac:dyDescent="0.25">
      <c r="A25" s="38"/>
      <c r="B25" s="18"/>
      <c r="C25" s="18"/>
      <c r="D25" s="19"/>
      <c r="E25" s="24" t="str">
        <f t="shared" si="0"/>
        <v/>
      </c>
    </row>
    <row r="26" spans="1:5" x14ac:dyDescent="0.25">
      <c r="A26" s="38"/>
      <c r="B26" s="18"/>
      <c r="C26" s="18"/>
      <c r="D26" s="19"/>
      <c r="E26" s="24" t="str">
        <f t="shared" si="0"/>
        <v/>
      </c>
    </row>
    <row r="27" spans="1:5" x14ac:dyDescent="0.25">
      <c r="A27" s="38"/>
      <c r="B27" s="18"/>
      <c r="C27" s="18"/>
      <c r="D27" s="19"/>
      <c r="E27" s="24" t="str">
        <f t="shared" si="0"/>
        <v/>
      </c>
    </row>
    <row r="28" spans="1:5" x14ac:dyDescent="0.25">
      <c r="A28" s="38"/>
      <c r="B28" s="18"/>
      <c r="C28" s="18"/>
      <c r="D28" s="19"/>
      <c r="E28" s="24" t="str">
        <f t="shared" si="0"/>
        <v/>
      </c>
    </row>
    <row r="29" spans="1:5" x14ac:dyDescent="0.25">
      <c r="A29" s="38"/>
      <c r="B29" s="18"/>
      <c r="C29" s="18"/>
      <c r="D29" s="19"/>
      <c r="E29" s="24" t="str">
        <f t="shared" si="0"/>
        <v/>
      </c>
    </row>
    <row r="30" spans="1:5" x14ac:dyDescent="0.25">
      <c r="A30" s="38"/>
      <c r="B30" s="18"/>
      <c r="C30" s="18"/>
      <c r="D30" s="19"/>
      <c r="E30" s="24" t="str">
        <f t="shared" si="0"/>
        <v/>
      </c>
    </row>
    <row r="31" spans="1:5" x14ac:dyDescent="0.25">
      <c r="A31" s="38"/>
      <c r="B31" s="18"/>
      <c r="C31" s="18"/>
      <c r="D31" s="19"/>
      <c r="E31" s="24" t="str">
        <f t="shared" si="0"/>
        <v/>
      </c>
    </row>
    <row r="32" spans="1:5" x14ac:dyDescent="0.25">
      <c r="A32" s="38"/>
      <c r="B32" s="18"/>
      <c r="C32" s="18"/>
      <c r="D32" s="19"/>
      <c r="E32" s="24" t="str">
        <f t="shared" si="0"/>
        <v/>
      </c>
    </row>
    <row r="33" spans="1:5" x14ac:dyDescent="0.25">
      <c r="A33" s="38"/>
      <c r="B33" s="18"/>
      <c r="C33" s="18"/>
      <c r="D33" s="19"/>
      <c r="E33" s="24" t="str">
        <f t="shared" si="0"/>
        <v/>
      </c>
    </row>
    <row r="34" spans="1:5" x14ac:dyDescent="0.25">
      <c r="A34" s="38"/>
      <c r="B34" s="18"/>
      <c r="C34" s="18"/>
      <c r="D34" s="19"/>
      <c r="E34" s="24" t="str">
        <f t="shared" si="0"/>
        <v/>
      </c>
    </row>
    <row r="35" spans="1:5" x14ac:dyDescent="0.25">
      <c r="A35" s="38"/>
      <c r="B35" s="18"/>
      <c r="C35" s="18"/>
      <c r="D35" s="19"/>
      <c r="E35" s="24" t="str">
        <f t="shared" si="0"/>
        <v/>
      </c>
    </row>
    <row r="36" spans="1:5" x14ac:dyDescent="0.25">
      <c r="A36" s="38"/>
      <c r="B36" s="18"/>
      <c r="C36" s="18"/>
      <c r="D36" s="19"/>
      <c r="E36" s="24" t="str">
        <f t="shared" si="0"/>
        <v/>
      </c>
    </row>
    <row r="37" spans="1:5" x14ac:dyDescent="0.25">
      <c r="A37" s="38"/>
      <c r="B37" s="18"/>
      <c r="C37" s="18"/>
      <c r="D37" s="19"/>
      <c r="E37" s="24" t="str">
        <f t="shared" si="0"/>
        <v/>
      </c>
    </row>
    <row r="38" spans="1:5" x14ac:dyDescent="0.25">
      <c r="A38" s="38"/>
      <c r="B38" s="18"/>
      <c r="C38" s="18"/>
      <c r="D38" s="19"/>
      <c r="E38" s="24" t="str">
        <f t="shared" ref="E38:E69" si="1">IF(A38="","",DATE(YEAR(A38),MONTH(A38),1))</f>
        <v/>
      </c>
    </row>
    <row r="39" spans="1:5" x14ac:dyDescent="0.25">
      <c r="A39" s="38"/>
      <c r="B39" s="18"/>
      <c r="C39" s="18"/>
      <c r="D39" s="19"/>
      <c r="E39" s="24" t="str">
        <f t="shared" si="1"/>
        <v/>
      </c>
    </row>
    <row r="40" spans="1:5" x14ac:dyDescent="0.25">
      <c r="A40" s="38"/>
      <c r="B40" s="18"/>
      <c r="C40" s="18"/>
      <c r="D40" s="19"/>
      <c r="E40" s="24" t="str">
        <f t="shared" si="1"/>
        <v/>
      </c>
    </row>
    <row r="41" spans="1:5" x14ac:dyDescent="0.25">
      <c r="A41" s="38"/>
      <c r="B41" s="18"/>
      <c r="C41" s="18"/>
      <c r="D41" s="19"/>
      <c r="E41" s="24" t="str">
        <f t="shared" si="1"/>
        <v/>
      </c>
    </row>
    <row r="42" spans="1:5" x14ac:dyDescent="0.25">
      <c r="A42" s="38"/>
      <c r="B42" s="18"/>
      <c r="C42" s="18"/>
      <c r="D42" s="19"/>
      <c r="E42" s="24" t="str">
        <f t="shared" si="1"/>
        <v/>
      </c>
    </row>
    <row r="43" spans="1:5" x14ac:dyDescent="0.25">
      <c r="A43" s="38"/>
      <c r="B43" s="18"/>
      <c r="C43" s="18"/>
      <c r="D43" s="19"/>
      <c r="E43" s="24" t="str">
        <f t="shared" si="1"/>
        <v/>
      </c>
    </row>
    <row r="44" spans="1:5" x14ac:dyDescent="0.25">
      <c r="A44" s="38"/>
      <c r="B44" s="18"/>
      <c r="C44" s="18"/>
      <c r="D44" s="19"/>
      <c r="E44" s="24" t="str">
        <f t="shared" si="1"/>
        <v/>
      </c>
    </row>
    <row r="45" spans="1:5" x14ac:dyDescent="0.25">
      <c r="A45" s="38"/>
      <c r="B45" s="18"/>
      <c r="C45" s="18"/>
      <c r="D45" s="19"/>
      <c r="E45" s="24" t="str">
        <f t="shared" si="1"/>
        <v/>
      </c>
    </row>
    <row r="46" spans="1:5" x14ac:dyDescent="0.25">
      <c r="A46" s="38"/>
      <c r="B46" s="18"/>
      <c r="C46" s="18"/>
      <c r="D46" s="19"/>
      <c r="E46" s="24" t="str">
        <f t="shared" si="1"/>
        <v/>
      </c>
    </row>
    <row r="47" spans="1:5" x14ac:dyDescent="0.25">
      <c r="A47" s="38"/>
      <c r="B47" s="18"/>
      <c r="C47" s="18"/>
      <c r="D47" s="19"/>
      <c r="E47" s="24" t="str">
        <f t="shared" si="1"/>
        <v/>
      </c>
    </row>
    <row r="48" spans="1:5" x14ac:dyDescent="0.25">
      <c r="A48" s="38"/>
      <c r="B48" s="18"/>
      <c r="C48" s="18"/>
      <c r="D48" s="19"/>
      <c r="E48" s="24" t="str">
        <f t="shared" si="1"/>
        <v/>
      </c>
    </row>
    <row r="49" spans="1:5" x14ac:dyDescent="0.25">
      <c r="A49" s="38"/>
      <c r="B49" s="18"/>
      <c r="C49" s="18"/>
      <c r="D49" s="19"/>
      <c r="E49" s="24" t="str">
        <f t="shared" si="1"/>
        <v/>
      </c>
    </row>
    <row r="50" spans="1:5" x14ac:dyDescent="0.25">
      <c r="A50" s="38"/>
      <c r="B50" s="18"/>
      <c r="C50" s="18"/>
      <c r="D50" s="19"/>
      <c r="E50" s="24" t="str">
        <f t="shared" si="1"/>
        <v/>
      </c>
    </row>
    <row r="51" spans="1:5" x14ac:dyDescent="0.25">
      <c r="A51" s="38"/>
      <c r="B51" s="18"/>
      <c r="C51" s="18"/>
      <c r="D51" s="19"/>
      <c r="E51" s="24" t="str">
        <f t="shared" si="1"/>
        <v/>
      </c>
    </row>
    <row r="52" spans="1:5" x14ac:dyDescent="0.25">
      <c r="A52" s="38"/>
      <c r="B52" s="18"/>
      <c r="C52" s="18"/>
      <c r="D52" s="19"/>
      <c r="E52" s="24" t="str">
        <f t="shared" si="1"/>
        <v/>
      </c>
    </row>
    <row r="53" spans="1:5" x14ac:dyDescent="0.25">
      <c r="A53" s="38"/>
      <c r="B53" s="18"/>
      <c r="C53" s="18"/>
      <c r="D53" s="19"/>
      <c r="E53" s="24" t="str">
        <f t="shared" si="1"/>
        <v/>
      </c>
    </row>
    <row r="54" spans="1:5" x14ac:dyDescent="0.25">
      <c r="A54" s="38"/>
      <c r="B54" s="18"/>
      <c r="C54" s="18"/>
      <c r="D54" s="19"/>
      <c r="E54" s="24" t="str">
        <f t="shared" si="1"/>
        <v/>
      </c>
    </row>
    <row r="55" spans="1:5" x14ac:dyDescent="0.25">
      <c r="A55" s="38"/>
      <c r="B55" s="18"/>
      <c r="C55" s="18"/>
      <c r="D55" s="19"/>
      <c r="E55" s="24" t="str">
        <f t="shared" si="1"/>
        <v/>
      </c>
    </row>
    <row r="56" spans="1:5" x14ac:dyDescent="0.25">
      <c r="A56" s="38"/>
      <c r="B56" s="18"/>
      <c r="C56" s="18"/>
      <c r="D56" s="19"/>
      <c r="E56" s="24" t="str">
        <f t="shared" si="1"/>
        <v/>
      </c>
    </row>
    <row r="57" spans="1:5" x14ac:dyDescent="0.25">
      <c r="A57" s="38"/>
      <c r="B57" s="18"/>
      <c r="C57" s="18"/>
      <c r="D57" s="19"/>
      <c r="E57" s="24" t="str">
        <f t="shared" si="1"/>
        <v/>
      </c>
    </row>
    <row r="58" spans="1:5" x14ac:dyDescent="0.25">
      <c r="A58" s="38"/>
      <c r="B58" s="18"/>
      <c r="C58" s="18"/>
      <c r="D58" s="19"/>
      <c r="E58" s="24" t="str">
        <f t="shared" si="1"/>
        <v/>
      </c>
    </row>
    <row r="59" spans="1:5" x14ac:dyDescent="0.25">
      <c r="A59" s="38"/>
      <c r="B59" s="18"/>
      <c r="C59" s="18"/>
      <c r="D59" s="19"/>
      <c r="E59" s="24" t="str">
        <f t="shared" si="1"/>
        <v/>
      </c>
    </row>
    <row r="60" spans="1:5" x14ac:dyDescent="0.25">
      <c r="A60" s="38"/>
      <c r="B60" s="18"/>
      <c r="C60" s="18"/>
      <c r="D60" s="19"/>
      <c r="E60" s="24" t="str">
        <f t="shared" si="1"/>
        <v/>
      </c>
    </row>
    <row r="61" spans="1:5" x14ac:dyDescent="0.25">
      <c r="A61" s="38"/>
      <c r="B61" s="18"/>
      <c r="C61" s="18"/>
      <c r="D61" s="19"/>
      <c r="E61" s="24" t="str">
        <f t="shared" si="1"/>
        <v/>
      </c>
    </row>
    <row r="62" spans="1:5" x14ac:dyDescent="0.25">
      <c r="A62" s="38"/>
      <c r="B62" s="18"/>
      <c r="C62" s="18"/>
      <c r="D62" s="19"/>
      <c r="E62" s="24" t="str">
        <f t="shared" si="1"/>
        <v/>
      </c>
    </row>
    <row r="63" spans="1:5" x14ac:dyDescent="0.25">
      <c r="A63" s="38"/>
      <c r="B63" s="18"/>
      <c r="C63" s="18"/>
      <c r="D63" s="19"/>
      <c r="E63" s="24" t="str">
        <f t="shared" si="1"/>
        <v/>
      </c>
    </row>
    <row r="64" spans="1:5" x14ac:dyDescent="0.25">
      <c r="A64" s="38"/>
      <c r="B64" s="18"/>
      <c r="C64" s="18"/>
      <c r="D64" s="19"/>
      <c r="E64" s="24" t="str">
        <f t="shared" si="1"/>
        <v/>
      </c>
    </row>
    <row r="65" spans="1:5" x14ac:dyDescent="0.25">
      <c r="A65" s="38"/>
      <c r="B65" s="18"/>
      <c r="C65" s="18"/>
      <c r="D65" s="19"/>
      <c r="E65" s="24" t="str">
        <f t="shared" si="1"/>
        <v/>
      </c>
    </row>
    <row r="66" spans="1:5" x14ac:dyDescent="0.25">
      <c r="A66" s="38"/>
      <c r="B66" s="18"/>
      <c r="C66" s="18"/>
      <c r="D66" s="19"/>
      <c r="E66" s="24" t="str">
        <f t="shared" si="1"/>
        <v/>
      </c>
    </row>
    <row r="67" spans="1:5" x14ac:dyDescent="0.25">
      <c r="A67" s="38"/>
      <c r="B67" s="18"/>
      <c r="C67" s="18"/>
      <c r="D67" s="19"/>
      <c r="E67" s="24" t="str">
        <f t="shared" si="1"/>
        <v/>
      </c>
    </row>
    <row r="68" spans="1:5" x14ac:dyDescent="0.25">
      <c r="A68" s="38"/>
      <c r="B68" s="18"/>
      <c r="C68" s="18"/>
      <c r="D68" s="19"/>
      <c r="E68" s="24" t="str">
        <f t="shared" si="1"/>
        <v/>
      </c>
    </row>
    <row r="69" spans="1:5" x14ac:dyDescent="0.25">
      <c r="A69" s="38"/>
      <c r="B69" s="18"/>
      <c r="C69" s="18"/>
      <c r="D69" s="19"/>
      <c r="E69" s="24" t="str">
        <f t="shared" si="1"/>
        <v/>
      </c>
    </row>
    <row r="70" spans="1:5" x14ac:dyDescent="0.25">
      <c r="A70" s="38"/>
      <c r="B70" s="18"/>
      <c r="C70" s="18"/>
      <c r="D70" s="19"/>
      <c r="E70" s="24" t="str">
        <f t="shared" ref="E70:E101" si="2">IF(A70="","",DATE(YEAR(A70),MONTH(A70),1))</f>
        <v/>
      </c>
    </row>
    <row r="71" spans="1:5" x14ac:dyDescent="0.25">
      <c r="A71" s="38"/>
      <c r="B71" s="18"/>
      <c r="C71" s="18"/>
      <c r="D71" s="19"/>
      <c r="E71" s="24" t="str">
        <f t="shared" si="2"/>
        <v/>
      </c>
    </row>
    <row r="72" spans="1:5" x14ac:dyDescent="0.25">
      <c r="A72" s="38"/>
      <c r="B72" s="18"/>
      <c r="C72" s="18"/>
      <c r="D72" s="19"/>
      <c r="E72" s="24" t="str">
        <f t="shared" si="2"/>
        <v/>
      </c>
    </row>
    <row r="73" spans="1:5" x14ac:dyDescent="0.25">
      <c r="A73" s="38"/>
      <c r="B73" s="18"/>
      <c r="C73" s="18"/>
      <c r="D73" s="19"/>
      <c r="E73" s="24" t="str">
        <f t="shared" si="2"/>
        <v/>
      </c>
    </row>
    <row r="74" spans="1:5" x14ac:dyDescent="0.25">
      <c r="A74" s="38"/>
      <c r="B74" s="18"/>
      <c r="C74" s="18"/>
      <c r="D74" s="19"/>
      <c r="E74" s="24" t="str">
        <f t="shared" si="2"/>
        <v/>
      </c>
    </row>
    <row r="75" spans="1:5" x14ac:dyDescent="0.25">
      <c r="A75" s="38"/>
      <c r="B75" s="18"/>
      <c r="C75" s="18"/>
      <c r="D75" s="19"/>
      <c r="E75" s="24" t="str">
        <f t="shared" si="2"/>
        <v/>
      </c>
    </row>
    <row r="76" spans="1:5" x14ac:dyDescent="0.25">
      <c r="A76" s="38"/>
      <c r="B76" s="18"/>
      <c r="C76" s="18"/>
      <c r="D76" s="19"/>
      <c r="E76" s="24" t="str">
        <f t="shared" si="2"/>
        <v/>
      </c>
    </row>
    <row r="77" spans="1:5" x14ac:dyDescent="0.25">
      <c r="A77" s="38"/>
      <c r="B77" s="18"/>
      <c r="C77" s="18"/>
      <c r="D77" s="19"/>
      <c r="E77" s="24" t="str">
        <f t="shared" si="2"/>
        <v/>
      </c>
    </row>
    <row r="78" spans="1:5" x14ac:dyDescent="0.25">
      <c r="A78" s="38"/>
      <c r="B78" s="18"/>
      <c r="C78" s="18"/>
      <c r="D78" s="19"/>
      <c r="E78" s="24" t="str">
        <f t="shared" si="2"/>
        <v/>
      </c>
    </row>
    <row r="79" spans="1:5" x14ac:dyDescent="0.25">
      <c r="A79" s="38"/>
      <c r="B79" s="18"/>
      <c r="C79" s="18"/>
      <c r="D79" s="19"/>
      <c r="E79" s="24" t="str">
        <f t="shared" si="2"/>
        <v/>
      </c>
    </row>
    <row r="80" spans="1:5" x14ac:dyDescent="0.25">
      <c r="A80" s="38"/>
      <c r="B80" s="18"/>
      <c r="C80" s="18"/>
      <c r="D80" s="19"/>
      <c r="E80" s="24" t="str">
        <f t="shared" si="2"/>
        <v/>
      </c>
    </row>
    <row r="81" spans="1:5" x14ac:dyDescent="0.25">
      <c r="A81" s="38"/>
      <c r="B81" s="18"/>
      <c r="C81" s="18"/>
      <c r="D81" s="19"/>
      <c r="E81" s="24" t="str">
        <f t="shared" si="2"/>
        <v/>
      </c>
    </row>
    <row r="82" spans="1:5" x14ac:dyDescent="0.25">
      <c r="A82" s="38"/>
      <c r="B82" s="18"/>
      <c r="C82" s="18"/>
      <c r="D82" s="19"/>
      <c r="E82" s="24" t="str">
        <f t="shared" si="2"/>
        <v/>
      </c>
    </row>
    <row r="83" spans="1:5" x14ac:dyDescent="0.25">
      <c r="A83" s="38"/>
      <c r="B83" s="18"/>
      <c r="C83" s="18"/>
      <c r="D83" s="19"/>
      <c r="E83" s="24" t="str">
        <f t="shared" si="2"/>
        <v/>
      </c>
    </row>
    <row r="84" spans="1:5" x14ac:dyDescent="0.25">
      <c r="A84" s="38"/>
      <c r="B84" s="18"/>
      <c r="C84" s="18"/>
      <c r="D84" s="19"/>
      <c r="E84" s="24" t="str">
        <f t="shared" si="2"/>
        <v/>
      </c>
    </row>
    <row r="85" spans="1:5" x14ac:dyDescent="0.25">
      <c r="A85" s="38"/>
      <c r="B85" s="18"/>
      <c r="C85" s="18"/>
      <c r="D85" s="19"/>
      <c r="E85" s="24" t="str">
        <f t="shared" si="2"/>
        <v/>
      </c>
    </row>
    <row r="86" spans="1:5" x14ac:dyDescent="0.25">
      <c r="A86" s="38"/>
      <c r="B86" s="18"/>
      <c r="C86" s="18"/>
      <c r="D86" s="19"/>
      <c r="E86" s="24" t="str">
        <f t="shared" si="2"/>
        <v/>
      </c>
    </row>
    <row r="87" spans="1:5" x14ac:dyDescent="0.25">
      <c r="A87" s="38"/>
      <c r="B87" s="18"/>
      <c r="C87" s="18"/>
      <c r="D87" s="19"/>
      <c r="E87" s="24" t="str">
        <f t="shared" si="2"/>
        <v/>
      </c>
    </row>
    <row r="88" spans="1:5" x14ac:dyDescent="0.25">
      <c r="A88" s="38"/>
      <c r="B88" s="18"/>
      <c r="C88" s="18"/>
      <c r="D88" s="19"/>
      <c r="E88" s="24" t="str">
        <f t="shared" si="2"/>
        <v/>
      </c>
    </row>
    <row r="89" spans="1:5" x14ac:dyDescent="0.25">
      <c r="A89" s="38"/>
      <c r="B89" s="18"/>
      <c r="C89" s="18"/>
      <c r="D89" s="19"/>
      <c r="E89" s="24" t="str">
        <f t="shared" si="2"/>
        <v/>
      </c>
    </row>
    <row r="90" spans="1:5" x14ac:dyDescent="0.25">
      <c r="A90" s="38"/>
      <c r="B90" s="18"/>
      <c r="C90" s="18"/>
      <c r="D90" s="19"/>
      <c r="E90" s="24" t="str">
        <f t="shared" si="2"/>
        <v/>
      </c>
    </row>
    <row r="91" spans="1:5" x14ac:dyDescent="0.25">
      <c r="A91" s="38"/>
      <c r="B91" s="18"/>
      <c r="C91" s="18"/>
      <c r="D91" s="19"/>
      <c r="E91" s="24" t="str">
        <f t="shared" si="2"/>
        <v/>
      </c>
    </row>
    <row r="92" spans="1:5" x14ac:dyDescent="0.25">
      <c r="A92" s="38"/>
      <c r="B92" s="18"/>
      <c r="C92" s="18"/>
      <c r="D92" s="19"/>
      <c r="E92" s="24" t="str">
        <f t="shared" si="2"/>
        <v/>
      </c>
    </row>
    <row r="93" spans="1:5" x14ac:dyDescent="0.25">
      <c r="A93" s="38"/>
      <c r="B93" s="18"/>
      <c r="C93" s="18"/>
      <c r="D93" s="19"/>
      <c r="E93" s="24" t="str">
        <f t="shared" si="2"/>
        <v/>
      </c>
    </row>
    <row r="94" spans="1:5" x14ac:dyDescent="0.25">
      <c r="A94" s="38"/>
      <c r="B94" s="18"/>
      <c r="C94" s="18"/>
      <c r="D94" s="19"/>
      <c r="E94" s="24" t="str">
        <f t="shared" si="2"/>
        <v/>
      </c>
    </row>
    <row r="95" spans="1:5" x14ac:dyDescent="0.25">
      <c r="A95" s="38"/>
      <c r="B95" s="18"/>
      <c r="C95" s="18"/>
      <c r="D95" s="19"/>
      <c r="E95" s="24" t="str">
        <f t="shared" si="2"/>
        <v/>
      </c>
    </row>
    <row r="96" spans="1:5" x14ac:dyDescent="0.25">
      <c r="A96" s="38"/>
      <c r="B96" s="18"/>
      <c r="C96" s="18"/>
      <c r="D96" s="19"/>
      <c r="E96" s="24" t="str">
        <f t="shared" si="2"/>
        <v/>
      </c>
    </row>
    <row r="97" spans="1:5" x14ac:dyDescent="0.25">
      <c r="A97" s="38"/>
      <c r="B97" s="18"/>
      <c r="C97" s="18"/>
      <c r="D97" s="19"/>
      <c r="E97" s="24" t="str">
        <f t="shared" si="2"/>
        <v/>
      </c>
    </row>
    <row r="98" spans="1:5" x14ac:dyDescent="0.25">
      <c r="A98" s="38"/>
      <c r="B98" s="18"/>
      <c r="C98" s="18"/>
      <c r="D98" s="19"/>
      <c r="E98" s="24" t="str">
        <f t="shared" si="2"/>
        <v/>
      </c>
    </row>
    <row r="99" spans="1:5" x14ac:dyDescent="0.25">
      <c r="A99" s="38"/>
      <c r="B99" s="18"/>
      <c r="C99" s="18"/>
      <c r="D99" s="19"/>
      <c r="E99" s="24" t="str">
        <f t="shared" si="2"/>
        <v/>
      </c>
    </row>
    <row r="100" spans="1:5" x14ac:dyDescent="0.25">
      <c r="A100" s="38"/>
      <c r="B100" s="18"/>
      <c r="C100" s="18"/>
      <c r="D100" s="19"/>
      <c r="E100" s="24" t="str">
        <f t="shared" si="2"/>
        <v/>
      </c>
    </row>
    <row r="101" spans="1:5" x14ac:dyDescent="0.25">
      <c r="A101" s="38"/>
      <c r="B101" s="18"/>
      <c r="C101" s="18"/>
      <c r="D101" s="19"/>
      <c r="E101" s="24" t="str">
        <f t="shared" si="2"/>
        <v/>
      </c>
    </row>
    <row r="102" spans="1:5" x14ac:dyDescent="0.25">
      <c r="A102" s="38"/>
      <c r="B102" s="18"/>
      <c r="C102" s="18"/>
      <c r="D102" s="19"/>
      <c r="E102" s="24" t="str">
        <f t="shared" ref="E102:E133" si="3">IF(A102="","",DATE(YEAR(A102),MONTH(A102),1))</f>
        <v/>
      </c>
    </row>
    <row r="103" spans="1:5" x14ac:dyDescent="0.25">
      <c r="A103" s="38"/>
      <c r="B103" s="18"/>
      <c r="C103" s="18"/>
      <c r="D103" s="19"/>
      <c r="E103" s="24" t="str">
        <f t="shared" si="3"/>
        <v/>
      </c>
    </row>
    <row r="104" spans="1:5" x14ac:dyDescent="0.25">
      <c r="A104" s="38"/>
      <c r="B104" s="18"/>
      <c r="C104" s="18"/>
      <c r="D104" s="19"/>
      <c r="E104" s="24" t="str">
        <f t="shared" si="3"/>
        <v/>
      </c>
    </row>
    <row r="105" spans="1:5" x14ac:dyDescent="0.25">
      <c r="A105" s="38"/>
      <c r="B105" s="18"/>
      <c r="C105" s="18"/>
      <c r="D105" s="19"/>
      <c r="E105" s="24" t="str">
        <f t="shared" si="3"/>
        <v/>
      </c>
    </row>
    <row r="106" spans="1:5" x14ac:dyDescent="0.25">
      <c r="A106" s="38"/>
      <c r="B106" s="18"/>
      <c r="C106" s="18"/>
      <c r="D106" s="19"/>
      <c r="E106" s="24" t="str">
        <f t="shared" si="3"/>
        <v/>
      </c>
    </row>
    <row r="107" spans="1:5" x14ac:dyDescent="0.25">
      <c r="A107" s="38"/>
      <c r="B107" s="18"/>
      <c r="C107" s="18"/>
      <c r="D107" s="19"/>
      <c r="E107" s="24" t="str">
        <f t="shared" si="3"/>
        <v/>
      </c>
    </row>
    <row r="108" spans="1:5" x14ac:dyDescent="0.25">
      <c r="A108" s="38"/>
      <c r="B108" s="18"/>
      <c r="C108" s="18"/>
      <c r="D108" s="19"/>
      <c r="E108" s="24" t="str">
        <f t="shared" si="3"/>
        <v/>
      </c>
    </row>
    <row r="109" spans="1:5" x14ac:dyDescent="0.25">
      <c r="A109" s="38"/>
      <c r="B109" s="18"/>
      <c r="C109" s="18"/>
      <c r="D109" s="19"/>
      <c r="E109" s="24" t="str">
        <f t="shared" si="3"/>
        <v/>
      </c>
    </row>
    <row r="110" spans="1:5" x14ac:dyDescent="0.25">
      <c r="A110" s="38"/>
      <c r="B110" s="18"/>
      <c r="C110" s="18"/>
      <c r="D110" s="19"/>
      <c r="E110" s="24" t="str">
        <f t="shared" si="3"/>
        <v/>
      </c>
    </row>
    <row r="111" spans="1:5" x14ac:dyDescent="0.25">
      <c r="A111" s="38"/>
      <c r="B111" s="18"/>
      <c r="C111" s="18"/>
      <c r="D111" s="19"/>
      <c r="E111" s="24" t="str">
        <f t="shared" si="3"/>
        <v/>
      </c>
    </row>
    <row r="112" spans="1:5" x14ac:dyDescent="0.25">
      <c r="A112" s="38"/>
      <c r="B112" s="18"/>
      <c r="C112" s="18"/>
      <c r="D112" s="19"/>
      <c r="E112" s="24" t="str">
        <f t="shared" si="3"/>
        <v/>
      </c>
    </row>
    <row r="113" spans="1:5" x14ac:dyDescent="0.25">
      <c r="A113" s="38"/>
      <c r="B113" s="18"/>
      <c r="C113" s="18"/>
      <c r="D113" s="19"/>
      <c r="E113" s="24" t="str">
        <f t="shared" si="3"/>
        <v/>
      </c>
    </row>
    <row r="114" spans="1:5" x14ac:dyDescent="0.25">
      <c r="A114" s="38"/>
      <c r="B114" s="18"/>
      <c r="C114" s="18"/>
      <c r="D114" s="19"/>
      <c r="E114" s="24" t="str">
        <f t="shared" si="3"/>
        <v/>
      </c>
    </row>
    <row r="115" spans="1:5" x14ac:dyDescent="0.25">
      <c r="A115" s="38"/>
      <c r="B115" s="18"/>
      <c r="C115" s="18"/>
      <c r="D115" s="19"/>
      <c r="E115" s="24" t="str">
        <f t="shared" si="3"/>
        <v/>
      </c>
    </row>
    <row r="116" spans="1:5" x14ac:dyDescent="0.25">
      <c r="A116" s="38"/>
      <c r="B116" s="18"/>
      <c r="C116" s="18"/>
      <c r="D116" s="19"/>
      <c r="E116" s="24" t="str">
        <f t="shared" si="3"/>
        <v/>
      </c>
    </row>
    <row r="117" spans="1:5" x14ac:dyDescent="0.25">
      <c r="A117" s="38"/>
      <c r="B117" s="18"/>
      <c r="C117" s="18"/>
      <c r="D117" s="19"/>
      <c r="E117" s="24" t="str">
        <f t="shared" si="3"/>
        <v/>
      </c>
    </row>
    <row r="118" spans="1:5" x14ac:dyDescent="0.25">
      <c r="A118" s="38"/>
      <c r="B118" s="18"/>
      <c r="C118" s="18"/>
      <c r="D118" s="19"/>
      <c r="E118" s="24" t="str">
        <f t="shared" si="3"/>
        <v/>
      </c>
    </row>
    <row r="119" spans="1:5" x14ac:dyDescent="0.25">
      <c r="A119" s="38"/>
      <c r="B119" s="18"/>
      <c r="C119" s="18"/>
      <c r="D119" s="19"/>
      <c r="E119" s="24" t="str">
        <f t="shared" si="3"/>
        <v/>
      </c>
    </row>
    <row r="120" spans="1:5" x14ac:dyDescent="0.25">
      <c r="A120" s="38"/>
      <c r="B120" s="18"/>
      <c r="C120" s="18"/>
      <c r="D120" s="19"/>
      <c r="E120" s="24" t="str">
        <f t="shared" si="3"/>
        <v/>
      </c>
    </row>
    <row r="121" spans="1:5" x14ac:dyDescent="0.25">
      <c r="A121" s="38"/>
      <c r="B121" s="18"/>
      <c r="C121" s="18"/>
      <c r="D121" s="19"/>
      <c r="E121" s="24" t="str">
        <f t="shared" si="3"/>
        <v/>
      </c>
    </row>
    <row r="122" spans="1:5" x14ac:dyDescent="0.25">
      <c r="A122" s="38"/>
      <c r="B122" s="18"/>
      <c r="C122" s="18"/>
      <c r="D122" s="19"/>
      <c r="E122" s="24" t="str">
        <f t="shared" si="3"/>
        <v/>
      </c>
    </row>
    <row r="123" spans="1:5" x14ac:dyDescent="0.25">
      <c r="A123" s="38"/>
      <c r="B123" s="18"/>
      <c r="C123" s="18"/>
      <c r="D123" s="19"/>
      <c r="E123" s="24" t="str">
        <f t="shared" si="3"/>
        <v/>
      </c>
    </row>
    <row r="124" spans="1:5" x14ac:dyDescent="0.25">
      <c r="A124" s="38"/>
      <c r="B124" s="18"/>
      <c r="C124" s="18"/>
      <c r="D124" s="19"/>
      <c r="E124" s="24" t="str">
        <f t="shared" si="3"/>
        <v/>
      </c>
    </row>
    <row r="125" spans="1:5" x14ac:dyDescent="0.25">
      <c r="A125" s="38"/>
      <c r="B125" s="18"/>
      <c r="C125" s="18"/>
      <c r="D125" s="19"/>
      <c r="E125" s="24" t="str">
        <f t="shared" si="3"/>
        <v/>
      </c>
    </row>
    <row r="126" spans="1:5" x14ac:dyDescent="0.25">
      <c r="A126" s="38"/>
      <c r="B126" s="18"/>
      <c r="C126" s="18"/>
      <c r="D126" s="19"/>
      <c r="E126" s="24" t="str">
        <f t="shared" si="3"/>
        <v/>
      </c>
    </row>
    <row r="127" spans="1:5" x14ac:dyDescent="0.25">
      <c r="A127" s="38"/>
      <c r="B127" s="18"/>
      <c r="C127" s="18"/>
      <c r="D127" s="19"/>
      <c r="E127" s="24" t="str">
        <f t="shared" si="3"/>
        <v/>
      </c>
    </row>
    <row r="128" spans="1:5" x14ac:dyDescent="0.25">
      <c r="A128" s="38"/>
      <c r="B128" s="18"/>
      <c r="C128" s="18"/>
      <c r="D128" s="19"/>
      <c r="E128" s="24" t="str">
        <f t="shared" si="3"/>
        <v/>
      </c>
    </row>
    <row r="129" spans="1:5" x14ac:dyDescent="0.25">
      <c r="A129" s="38"/>
      <c r="B129" s="18"/>
      <c r="C129" s="18"/>
      <c r="D129" s="19"/>
      <c r="E129" s="24" t="str">
        <f t="shared" si="3"/>
        <v/>
      </c>
    </row>
    <row r="130" spans="1:5" x14ac:dyDescent="0.25">
      <c r="A130" s="38"/>
      <c r="B130" s="18"/>
      <c r="C130" s="18"/>
      <c r="D130" s="19"/>
      <c r="E130" s="24" t="str">
        <f t="shared" si="3"/>
        <v/>
      </c>
    </row>
    <row r="131" spans="1:5" x14ac:dyDescent="0.25">
      <c r="A131" s="38"/>
      <c r="B131" s="18"/>
      <c r="C131" s="18"/>
      <c r="D131" s="19"/>
      <c r="E131" s="24" t="str">
        <f t="shared" si="3"/>
        <v/>
      </c>
    </row>
    <row r="132" spans="1:5" x14ac:dyDescent="0.25">
      <c r="A132" s="38"/>
      <c r="B132" s="18"/>
      <c r="C132" s="18"/>
      <c r="D132" s="19"/>
      <c r="E132" s="24" t="str">
        <f t="shared" si="3"/>
        <v/>
      </c>
    </row>
    <row r="133" spans="1:5" x14ac:dyDescent="0.25">
      <c r="A133" s="38"/>
      <c r="B133" s="18"/>
      <c r="C133" s="18"/>
      <c r="D133" s="19"/>
      <c r="E133" s="24" t="str">
        <f t="shared" si="3"/>
        <v/>
      </c>
    </row>
    <row r="134" spans="1:5" x14ac:dyDescent="0.25">
      <c r="A134" s="38"/>
      <c r="B134" s="18"/>
      <c r="C134" s="18"/>
      <c r="D134" s="19"/>
      <c r="E134" s="24" t="str">
        <f t="shared" ref="E134:E165" si="4">IF(A134="","",DATE(YEAR(A134),MONTH(A134),1))</f>
        <v/>
      </c>
    </row>
    <row r="135" spans="1:5" x14ac:dyDescent="0.25">
      <c r="A135" s="38"/>
      <c r="B135" s="18"/>
      <c r="C135" s="18"/>
      <c r="D135" s="19"/>
      <c r="E135" s="24" t="str">
        <f t="shared" si="4"/>
        <v/>
      </c>
    </row>
    <row r="136" spans="1:5" x14ac:dyDescent="0.25">
      <c r="A136" s="38"/>
      <c r="B136" s="18"/>
      <c r="C136" s="18"/>
      <c r="D136" s="19"/>
      <c r="E136" s="24" t="str">
        <f t="shared" si="4"/>
        <v/>
      </c>
    </row>
    <row r="137" spans="1:5" x14ac:dyDescent="0.25">
      <c r="A137" s="38"/>
      <c r="B137" s="18"/>
      <c r="C137" s="18"/>
      <c r="D137" s="19"/>
      <c r="E137" s="24" t="str">
        <f t="shared" si="4"/>
        <v/>
      </c>
    </row>
    <row r="138" spans="1:5" x14ac:dyDescent="0.25">
      <c r="A138" s="38"/>
      <c r="B138" s="18"/>
      <c r="C138" s="18"/>
      <c r="D138" s="19"/>
      <c r="E138" s="24" t="str">
        <f t="shared" si="4"/>
        <v/>
      </c>
    </row>
    <row r="139" spans="1:5" x14ac:dyDescent="0.25">
      <c r="A139" s="38"/>
      <c r="B139" s="18"/>
      <c r="C139" s="18"/>
      <c r="D139" s="19"/>
      <c r="E139" s="24" t="str">
        <f t="shared" si="4"/>
        <v/>
      </c>
    </row>
    <row r="140" spans="1:5" x14ac:dyDescent="0.25">
      <c r="A140" s="38"/>
      <c r="B140" s="18"/>
      <c r="C140" s="18"/>
      <c r="D140" s="19"/>
      <c r="E140" s="24" t="str">
        <f t="shared" si="4"/>
        <v/>
      </c>
    </row>
    <row r="141" spans="1:5" x14ac:dyDescent="0.25">
      <c r="A141" s="38"/>
      <c r="B141" s="18"/>
      <c r="C141" s="18"/>
      <c r="D141" s="19"/>
      <c r="E141" s="24" t="str">
        <f t="shared" si="4"/>
        <v/>
      </c>
    </row>
    <row r="142" spans="1:5" x14ac:dyDescent="0.25">
      <c r="A142" s="38"/>
      <c r="B142" s="18"/>
      <c r="C142" s="18"/>
      <c r="D142" s="19"/>
      <c r="E142" s="24" t="str">
        <f t="shared" si="4"/>
        <v/>
      </c>
    </row>
    <row r="143" spans="1:5" x14ac:dyDescent="0.25">
      <c r="A143" s="38"/>
      <c r="B143" s="18"/>
      <c r="C143" s="18"/>
      <c r="D143" s="19"/>
      <c r="E143" s="24" t="str">
        <f t="shared" si="4"/>
        <v/>
      </c>
    </row>
    <row r="144" spans="1:5" x14ac:dyDescent="0.25">
      <c r="A144" s="38"/>
      <c r="B144" s="18"/>
      <c r="C144" s="18"/>
      <c r="D144" s="19"/>
      <c r="E144" s="24" t="str">
        <f t="shared" si="4"/>
        <v/>
      </c>
    </row>
    <row r="145" spans="1:5" x14ac:dyDescent="0.25">
      <c r="A145" s="38"/>
      <c r="B145" s="18"/>
      <c r="C145" s="18"/>
      <c r="D145" s="19"/>
      <c r="E145" s="24" t="str">
        <f t="shared" si="4"/>
        <v/>
      </c>
    </row>
    <row r="146" spans="1:5" x14ac:dyDescent="0.25">
      <c r="A146" s="38"/>
      <c r="B146" s="18"/>
      <c r="C146" s="18"/>
      <c r="D146" s="19"/>
      <c r="E146" s="24" t="str">
        <f t="shared" si="4"/>
        <v/>
      </c>
    </row>
    <row r="147" spans="1:5" x14ac:dyDescent="0.25">
      <c r="A147" s="38"/>
      <c r="B147" s="18"/>
      <c r="C147" s="18"/>
      <c r="D147" s="19"/>
      <c r="E147" s="24" t="str">
        <f t="shared" si="4"/>
        <v/>
      </c>
    </row>
    <row r="148" spans="1:5" x14ac:dyDescent="0.25">
      <c r="A148" s="38"/>
      <c r="B148" s="18"/>
      <c r="C148" s="18"/>
      <c r="D148" s="19"/>
      <c r="E148" s="24" t="str">
        <f t="shared" si="4"/>
        <v/>
      </c>
    </row>
    <row r="149" spans="1:5" x14ac:dyDescent="0.25">
      <c r="A149" s="38"/>
      <c r="B149" s="18"/>
      <c r="C149" s="18"/>
      <c r="D149" s="19"/>
      <c r="E149" s="24" t="str">
        <f t="shared" si="4"/>
        <v/>
      </c>
    </row>
    <row r="150" spans="1:5" x14ac:dyDescent="0.25">
      <c r="A150" s="38"/>
      <c r="B150" s="18"/>
      <c r="C150" s="18"/>
      <c r="D150" s="19"/>
      <c r="E150" s="24" t="str">
        <f t="shared" si="4"/>
        <v/>
      </c>
    </row>
    <row r="151" spans="1:5" x14ac:dyDescent="0.25">
      <c r="A151" s="38"/>
      <c r="B151" s="18"/>
      <c r="C151" s="18"/>
      <c r="D151" s="19"/>
      <c r="E151" s="24" t="str">
        <f t="shared" si="4"/>
        <v/>
      </c>
    </row>
    <row r="152" spans="1:5" x14ac:dyDescent="0.25">
      <c r="A152" s="38"/>
      <c r="B152" s="18"/>
      <c r="C152" s="18"/>
      <c r="D152" s="19"/>
      <c r="E152" s="24" t="str">
        <f t="shared" si="4"/>
        <v/>
      </c>
    </row>
    <row r="153" spans="1:5" x14ac:dyDescent="0.25">
      <c r="A153" s="38"/>
      <c r="B153" s="18"/>
      <c r="C153" s="18"/>
      <c r="D153" s="19"/>
      <c r="E153" s="24" t="str">
        <f t="shared" si="4"/>
        <v/>
      </c>
    </row>
    <row r="154" spans="1:5" x14ac:dyDescent="0.25">
      <c r="A154" s="38"/>
      <c r="B154" s="18"/>
      <c r="C154" s="18"/>
      <c r="D154" s="19"/>
      <c r="E154" s="24" t="str">
        <f t="shared" si="4"/>
        <v/>
      </c>
    </row>
    <row r="155" spans="1:5" x14ac:dyDescent="0.25">
      <c r="A155" s="38"/>
      <c r="B155" s="18"/>
      <c r="C155" s="18"/>
      <c r="D155" s="19"/>
      <c r="E155" s="24" t="str">
        <f t="shared" si="4"/>
        <v/>
      </c>
    </row>
    <row r="156" spans="1:5" x14ac:dyDescent="0.25">
      <c r="A156" s="38"/>
      <c r="B156" s="18"/>
      <c r="C156" s="18"/>
      <c r="D156" s="19"/>
      <c r="E156" s="24" t="str">
        <f t="shared" si="4"/>
        <v/>
      </c>
    </row>
    <row r="157" spans="1:5" x14ac:dyDescent="0.25">
      <c r="A157" s="38"/>
      <c r="B157" s="18"/>
      <c r="C157" s="18"/>
      <c r="D157" s="19"/>
      <c r="E157" s="24" t="str">
        <f t="shared" si="4"/>
        <v/>
      </c>
    </row>
    <row r="158" spans="1:5" x14ac:dyDescent="0.25">
      <c r="A158" s="38"/>
      <c r="B158" s="18"/>
      <c r="C158" s="18"/>
      <c r="D158" s="19"/>
      <c r="E158" s="24" t="str">
        <f t="shared" si="4"/>
        <v/>
      </c>
    </row>
    <row r="159" spans="1:5" x14ac:dyDescent="0.25">
      <c r="A159" s="38"/>
      <c r="B159" s="18"/>
      <c r="C159" s="18"/>
      <c r="D159" s="19"/>
      <c r="E159" s="24" t="str">
        <f t="shared" si="4"/>
        <v/>
      </c>
    </row>
    <row r="160" spans="1:5" x14ac:dyDescent="0.25">
      <c r="A160" s="38"/>
      <c r="B160" s="18"/>
      <c r="C160" s="18"/>
      <c r="D160" s="19"/>
      <c r="E160" s="24" t="str">
        <f t="shared" si="4"/>
        <v/>
      </c>
    </row>
    <row r="161" spans="1:5" x14ac:dyDescent="0.25">
      <c r="A161" s="38"/>
      <c r="B161" s="18"/>
      <c r="C161" s="18"/>
      <c r="D161" s="19"/>
      <c r="E161" s="24" t="str">
        <f t="shared" si="4"/>
        <v/>
      </c>
    </row>
    <row r="162" spans="1:5" x14ac:dyDescent="0.25">
      <c r="A162" s="38"/>
      <c r="B162" s="18"/>
      <c r="C162" s="18"/>
      <c r="D162" s="19"/>
      <c r="E162" s="24" t="str">
        <f t="shared" si="4"/>
        <v/>
      </c>
    </row>
    <row r="163" spans="1:5" x14ac:dyDescent="0.25">
      <c r="A163" s="38"/>
      <c r="B163" s="18"/>
      <c r="C163" s="18"/>
      <c r="D163" s="19"/>
      <c r="E163" s="24" t="str">
        <f t="shared" si="4"/>
        <v/>
      </c>
    </row>
    <row r="164" spans="1:5" x14ac:dyDescent="0.25">
      <c r="A164" s="38"/>
      <c r="B164" s="18"/>
      <c r="C164" s="18"/>
      <c r="D164" s="19"/>
      <c r="E164" s="24" t="str">
        <f t="shared" si="4"/>
        <v/>
      </c>
    </row>
    <row r="165" spans="1:5" x14ac:dyDescent="0.25">
      <c r="A165" s="38"/>
      <c r="B165" s="18"/>
      <c r="C165" s="18"/>
      <c r="D165" s="19"/>
      <c r="E165" s="24" t="str">
        <f t="shared" si="4"/>
        <v/>
      </c>
    </row>
    <row r="166" spans="1:5" x14ac:dyDescent="0.25">
      <c r="A166" s="38"/>
      <c r="B166" s="18"/>
      <c r="C166" s="18"/>
      <c r="D166" s="19"/>
      <c r="E166" s="24" t="str">
        <f t="shared" ref="E166:E197" si="5">IF(A166="","",DATE(YEAR(A166),MONTH(A166),1))</f>
        <v/>
      </c>
    </row>
    <row r="167" spans="1:5" x14ac:dyDescent="0.25">
      <c r="A167" s="38"/>
      <c r="B167" s="18"/>
      <c r="C167" s="18"/>
      <c r="D167" s="19"/>
      <c r="E167" s="24" t="str">
        <f t="shared" si="5"/>
        <v/>
      </c>
    </row>
    <row r="168" spans="1:5" x14ac:dyDescent="0.25">
      <c r="A168" s="38"/>
      <c r="B168" s="18"/>
      <c r="C168" s="18"/>
      <c r="D168" s="19"/>
      <c r="E168" s="24" t="str">
        <f t="shared" si="5"/>
        <v/>
      </c>
    </row>
    <row r="169" spans="1:5" x14ac:dyDescent="0.25">
      <c r="A169" s="38"/>
      <c r="B169" s="18"/>
      <c r="C169" s="18"/>
      <c r="D169" s="19"/>
      <c r="E169" s="24" t="str">
        <f t="shared" si="5"/>
        <v/>
      </c>
    </row>
    <row r="170" spans="1:5" x14ac:dyDescent="0.25">
      <c r="A170" s="38"/>
      <c r="B170" s="18"/>
      <c r="C170" s="18"/>
      <c r="D170" s="19"/>
      <c r="E170" s="24" t="str">
        <f t="shared" si="5"/>
        <v/>
      </c>
    </row>
    <row r="171" spans="1:5" x14ac:dyDescent="0.25">
      <c r="A171" s="38"/>
      <c r="B171" s="18"/>
      <c r="C171" s="18"/>
      <c r="D171" s="19"/>
      <c r="E171" s="24" t="str">
        <f t="shared" si="5"/>
        <v/>
      </c>
    </row>
    <row r="172" spans="1:5" x14ac:dyDescent="0.25">
      <c r="A172" s="38"/>
      <c r="B172" s="18"/>
      <c r="C172" s="18"/>
      <c r="D172" s="19"/>
      <c r="E172" s="24" t="str">
        <f t="shared" si="5"/>
        <v/>
      </c>
    </row>
    <row r="173" spans="1:5" x14ac:dyDescent="0.25">
      <c r="A173" s="38"/>
      <c r="B173" s="18"/>
      <c r="C173" s="18"/>
      <c r="D173" s="19"/>
      <c r="E173" s="24" t="str">
        <f t="shared" si="5"/>
        <v/>
      </c>
    </row>
    <row r="174" spans="1:5" x14ac:dyDescent="0.25">
      <c r="A174" s="38"/>
      <c r="B174" s="18"/>
      <c r="C174" s="18"/>
      <c r="D174" s="19"/>
      <c r="E174" s="24" t="str">
        <f t="shared" si="5"/>
        <v/>
      </c>
    </row>
    <row r="175" spans="1:5" x14ac:dyDescent="0.25">
      <c r="A175" s="38"/>
      <c r="B175" s="18"/>
      <c r="C175" s="18"/>
      <c r="D175" s="19"/>
      <c r="E175" s="24" t="str">
        <f t="shared" si="5"/>
        <v/>
      </c>
    </row>
    <row r="176" spans="1:5" x14ac:dyDescent="0.25">
      <c r="A176" s="38"/>
      <c r="B176" s="18"/>
      <c r="C176" s="18"/>
      <c r="D176" s="19"/>
      <c r="E176" s="24" t="str">
        <f t="shared" si="5"/>
        <v/>
      </c>
    </row>
    <row r="177" spans="1:5" x14ac:dyDescent="0.25">
      <c r="A177" s="38"/>
      <c r="B177" s="18"/>
      <c r="C177" s="18"/>
      <c r="D177" s="19"/>
      <c r="E177" s="24" t="str">
        <f t="shared" si="5"/>
        <v/>
      </c>
    </row>
    <row r="178" spans="1:5" x14ac:dyDescent="0.25">
      <c r="A178" s="38"/>
      <c r="B178" s="18"/>
      <c r="C178" s="18"/>
      <c r="D178" s="19"/>
      <c r="E178" s="24" t="str">
        <f t="shared" si="5"/>
        <v/>
      </c>
    </row>
    <row r="179" spans="1:5" x14ac:dyDescent="0.25">
      <c r="A179" s="38"/>
      <c r="B179" s="18"/>
      <c r="C179" s="18"/>
      <c r="D179" s="19"/>
      <c r="E179" s="24" t="str">
        <f t="shared" si="5"/>
        <v/>
      </c>
    </row>
    <row r="180" spans="1:5" x14ac:dyDescent="0.25">
      <c r="A180" s="38"/>
      <c r="B180" s="18"/>
      <c r="C180" s="18"/>
      <c r="D180" s="19"/>
      <c r="E180" s="24" t="str">
        <f t="shared" si="5"/>
        <v/>
      </c>
    </row>
    <row r="181" spans="1:5" x14ac:dyDescent="0.25">
      <c r="A181" s="38"/>
      <c r="B181" s="18"/>
      <c r="C181" s="18"/>
      <c r="D181" s="19"/>
      <c r="E181" s="24" t="str">
        <f t="shared" si="5"/>
        <v/>
      </c>
    </row>
    <row r="182" spans="1:5" x14ac:dyDescent="0.25">
      <c r="A182" s="38"/>
      <c r="B182" s="18"/>
      <c r="C182" s="18"/>
      <c r="D182" s="19"/>
      <c r="E182" s="24" t="str">
        <f t="shared" si="5"/>
        <v/>
      </c>
    </row>
    <row r="183" spans="1:5" x14ac:dyDescent="0.25">
      <c r="A183" s="38"/>
      <c r="B183" s="18"/>
      <c r="C183" s="18"/>
      <c r="D183" s="19"/>
      <c r="E183" s="24" t="str">
        <f t="shared" si="5"/>
        <v/>
      </c>
    </row>
    <row r="184" spans="1:5" x14ac:dyDescent="0.25">
      <c r="A184" s="38"/>
      <c r="B184" s="18"/>
      <c r="C184" s="18"/>
      <c r="D184" s="19"/>
      <c r="E184" s="24" t="str">
        <f t="shared" si="5"/>
        <v/>
      </c>
    </row>
    <row r="185" spans="1:5" x14ac:dyDescent="0.25">
      <c r="A185" s="38"/>
      <c r="B185" s="18"/>
      <c r="C185" s="18"/>
      <c r="D185" s="19"/>
      <c r="E185" s="24" t="str">
        <f t="shared" si="5"/>
        <v/>
      </c>
    </row>
    <row r="186" spans="1:5" x14ac:dyDescent="0.25">
      <c r="A186" s="38"/>
      <c r="B186" s="18"/>
      <c r="C186" s="18"/>
      <c r="D186" s="19"/>
      <c r="E186" s="24" t="str">
        <f t="shared" si="5"/>
        <v/>
      </c>
    </row>
    <row r="187" spans="1:5" x14ac:dyDescent="0.25">
      <c r="A187" s="38"/>
      <c r="B187" s="18"/>
      <c r="C187" s="18"/>
      <c r="D187" s="19"/>
      <c r="E187" s="24" t="str">
        <f t="shared" si="5"/>
        <v/>
      </c>
    </row>
    <row r="188" spans="1:5" x14ac:dyDescent="0.25">
      <c r="A188" s="38"/>
      <c r="B188" s="18"/>
      <c r="C188" s="18"/>
      <c r="D188" s="19"/>
      <c r="E188" s="24" t="str">
        <f t="shared" si="5"/>
        <v/>
      </c>
    </row>
    <row r="189" spans="1:5" x14ac:dyDescent="0.25">
      <c r="A189" s="38"/>
      <c r="B189" s="18"/>
      <c r="C189" s="18"/>
      <c r="D189" s="19"/>
      <c r="E189" s="24" t="str">
        <f t="shared" si="5"/>
        <v/>
      </c>
    </row>
    <row r="190" spans="1:5" x14ac:dyDescent="0.25">
      <c r="A190" s="38"/>
      <c r="B190" s="18"/>
      <c r="C190" s="18"/>
      <c r="D190" s="19"/>
      <c r="E190" s="24" t="str">
        <f t="shared" si="5"/>
        <v/>
      </c>
    </row>
    <row r="191" spans="1:5" x14ac:dyDescent="0.25">
      <c r="A191" s="38"/>
      <c r="B191" s="18"/>
      <c r="C191" s="18"/>
      <c r="D191" s="19"/>
      <c r="E191" s="24" t="str">
        <f t="shared" si="5"/>
        <v/>
      </c>
    </row>
    <row r="192" spans="1:5" x14ac:dyDescent="0.25">
      <c r="A192" s="38"/>
      <c r="B192" s="18"/>
      <c r="C192" s="18"/>
      <c r="D192" s="19"/>
      <c r="E192" s="24" t="str">
        <f t="shared" si="5"/>
        <v/>
      </c>
    </row>
    <row r="193" spans="1:5" x14ac:dyDescent="0.25">
      <c r="A193" s="38"/>
      <c r="B193" s="18"/>
      <c r="C193" s="18"/>
      <c r="D193" s="19"/>
      <c r="E193" s="24" t="str">
        <f t="shared" si="5"/>
        <v/>
      </c>
    </row>
    <row r="194" spans="1:5" x14ac:dyDescent="0.25">
      <c r="A194" s="38"/>
      <c r="B194" s="18"/>
      <c r="C194" s="18"/>
      <c r="D194" s="19"/>
      <c r="E194" s="24" t="str">
        <f t="shared" si="5"/>
        <v/>
      </c>
    </row>
    <row r="195" spans="1:5" x14ac:dyDescent="0.25">
      <c r="A195" s="38"/>
      <c r="B195" s="18"/>
      <c r="C195" s="18"/>
      <c r="D195" s="19"/>
      <c r="E195" s="24" t="str">
        <f t="shared" si="5"/>
        <v/>
      </c>
    </row>
    <row r="196" spans="1:5" x14ac:dyDescent="0.25">
      <c r="A196" s="38"/>
      <c r="B196" s="18"/>
      <c r="C196" s="18"/>
      <c r="D196" s="19"/>
      <c r="E196" s="24" t="str">
        <f t="shared" si="5"/>
        <v/>
      </c>
    </row>
    <row r="197" spans="1:5" x14ac:dyDescent="0.25">
      <c r="A197" s="38"/>
      <c r="B197" s="18"/>
      <c r="C197" s="18"/>
      <c r="D197" s="19"/>
      <c r="E197" s="24" t="str">
        <f t="shared" si="5"/>
        <v/>
      </c>
    </row>
    <row r="198" spans="1:5" x14ac:dyDescent="0.25">
      <c r="A198" s="38"/>
      <c r="B198" s="18"/>
      <c r="C198" s="18"/>
      <c r="D198" s="19"/>
      <c r="E198" s="24" t="str">
        <f t="shared" ref="E198:E205" si="6">IF(A198="","",DATE(YEAR(A198),MONTH(A198),1))</f>
        <v/>
      </c>
    </row>
    <row r="199" spans="1:5" x14ac:dyDescent="0.25">
      <c r="A199" s="38"/>
      <c r="B199" s="18"/>
      <c r="C199" s="18"/>
      <c r="D199" s="19"/>
      <c r="E199" s="24" t="str">
        <f t="shared" si="6"/>
        <v/>
      </c>
    </row>
    <row r="200" spans="1:5" x14ac:dyDescent="0.25">
      <c r="A200" s="38"/>
      <c r="B200" s="18"/>
      <c r="C200" s="18"/>
      <c r="D200" s="19"/>
      <c r="E200" s="24" t="str">
        <f t="shared" si="6"/>
        <v/>
      </c>
    </row>
    <row r="201" spans="1:5" x14ac:dyDescent="0.25">
      <c r="A201" s="38"/>
      <c r="B201" s="18"/>
      <c r="C201" s="18"/>
      <c r="D201" s="19"/>
      <c r="E201" s="24" t="str">
        <f t="shared" si="6"/>
        <v/>
      </c>
    </row>
    <row r="202" spans="1:5" x14ac:dyDescent="0.25">
      <c r="A202" s="38"/>
      <c r="B202" s="18"/>
      <c r="C202" s="18"/>
      <c r="D202" s="19"/>
      <c r="E202" s="24" t="str">
        <f t="shared" si="6"/>
        <v/>
      </c>
    </row>
    <row r="203" spans="1:5" x14ac:dyDescent="0.25">
      <c r="A203" s="38"/>
      <c r="B203" s="18"/>
      <c r="C203" s="18"/>
      <c r="D203" s="19"/>
      <c r="E203" s="24" t="str">
        <f t="shared" si="6"/>
        <v/>
      </c>
    </row>
    <row r="204" spans="1:5" x14ac:dyDescent="0.25">
      <c r="A204" s="38"/>
      <c r="B204" s="18"/>
      <c r="C204" s="18"/>
      <c r="D204" s="19"/>
      <c r="E204" s="24" t="str">
        <f t="shared" si="6"/>
        <v/>
      </c>
    </row>
    <row r="205" spans="1:5" x14ac:dyDescent="0.25">
      <c r="A205" s="38"/>
      <c r="B205" s="18"/>
      <c r="C205" s="18"/>
      <c r="D205" s="19"/>
      <c r="E205" s="24" t="str">
        <f t="shared" si="6"/>
        <v/>
      </c>
    </row>
  </sheetData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xr:uid="{00000000-0002-0000-0900-000000000000}">
          <x14:formula1>
            <xm:f>Paramètres!$M$6:$M$20</xm:f>
          </x14:formula1>
          <x14:formula2>
            <xm:f>0</xm:f>
          </x14:formula2>
          <xm:sqref>B6:B205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2E8B6E"/>
  </sheetPr>
  <dimension ref="A1:I18"/>
  <sheetViews>
    <sheetView showGridLines="0" topLeftCell="A19" zoomScaleNormal="100" workbookViewId="0"/>
  </sheetViews>
  <sheetFormatPr baseColWidth="10" defaultColWidth="8.7109375" defaultRowHeight="15" x14ac:dyDescent="0.25"/>
  <cols>
    <col min="1" max="1" width="14" customWidth="1"/>
    <col min="2" max="2" width="16" customWidth="1"/>
    <col min="3" max="3" width="11" customWidth="1"/>
    <col min="4" max="4" width="15" customWidth="1"/>
    <col min="5" max="5" width="16" customWidth="1"/>
    <col min="6" max="6" width="15" customWidth="1"/>
    <col min="7" max="7" width="16" customWidth="1"/>
    <col min="8" max="9" width="12" customWidth="1"/>
  </cols>
  <sheetData>
    <row r="1" spans="1:9" ht="20.25" x14ac:dyDescent="0.3">
      <c r="A1" s="13" t="s">
        <v>26</v>
      </c>
    </row>
    <row r="2" spans="1:9" x14ac:dyDescent="0.25">
      <c r="A2" s="3" t="s">
        <v>296</v>
      </c>
    </row>
    <row r="3" spans="1:9" x14ac:dyDescent="0.25">
      <c r="A3" s="4" t="s">
        <v>2</v>
      </c>
    </row>
    <row r="5" spans="1:9" ht="31.5" customHeight="1" x14ac:dyDescent="0.25">
      <c r="A5" s="14" t="s">
        <v>185</v>
      </c>
      <c r="B5" s="14" t="s">
        <v>264</v>
      </c>
      <c r="C5" s="14" t="s">
        <v>18</v>
      </c>
      <c r="D5" s="14" t="s">
        <v>297</v>
      </c>
      <c r="E5" s="14" t="s">
        <v>215</v>
      </c>
      <c r="F5" s="14" t="s">
        <v>298</v>
      </c>
      <c r="G5" s="14" t="s">
        <v>299</v>
      </c>
      <c r="H5" s="14" t="s">
        <v>300</v>
      </c>
      <c r="I5" s="14" t="s">
        <v>301</v>
      </c>
    </row>
    <row r="6" spans="1:9" x14ac:dyDescent="0.25">
      <c r="A6" s="23">
        <f>DATE(Paramètres!$B$7,1,1)</f>
        <v>46023</v>
      </c>
      <c r="B6" s="25">
        <f>SUMIFS(Ventes!$K$6:$K$505,Ventes!$T$6:$T$505,$A6,Ventes!$M$6:$M$505,"Livrée et payée")</f>
        <v>0</v>
      </c>
      <c r="C6" s="29">
        <f>COUNTIFS(Ventes!$T$6:$T$505,$A6,Ventes!$M$6:$M$505,"Livrée et payée")</f>
        <v>0</v>
      </c>
      <c r="D6" s="25">
        <f>SUMIFS('Suivi pubs'!$E$6:$E$370,'Suivi pubs'!$N$6:$N$370,$A6)</f>
        <v>0</v>
      </c>
      <c r="E6" s="25">
        <f>SUMIFS(Ventes!$R$6:$R$505,Ventes!$T$6:$T$505,$A6)</f>
        <v>0</v>
      </c>
      <c r="F6" s="25">
        <f>SUMIFS(Dépenses!$D$6:$D$205,Dépenses!$E$6:$E$205,$A6)</f>
        <v>0</v>
      </c>
      <c r="G6" s="25">
        <f t="shared" ref="G6:G17" si="0">E6-D6-F6</f>
        <v>0</v>
      </c>
      <c r="H6" s="29">
        <f>COUNTIFS(Ventes!$T$6:$T$505,$A6,Ventes!$M$6:$M$505,"Livrée et payée",Ventes!$U$6:$U$505,"Nouveau")</f>
        <v>0</v>
      </c>
      <c r="I6" s="25">
        <f>IF(SUMIFS('Suivi pubs'!$G$6:$G$370,'Suivi pubs'!$N$6:$N$370,$A6)=0,0,D6/SUMIFS('Suivi pubs'!$G$6:$G$370,'Suivi pubs'!$N$6:$N$370,$A6))</f>
        <v>0</v>
      </c>
    </row>
    <row r="7" spans="1:9" x14ac:dyDescent="0.25">
      <c r="A7" s="23">
        <f>DATE(Paramètres!$B$7,2,1)</f>
        <v>46054</v>
      </c>
      <c r="B7" s="25">
        <f>SUMIFS(Ventes!$K$6:$K$505,Ventes!$T$6:$T$505,$A7,Ventes!$M$6:$M$505,"Livrée et payée")</f>
        <v>0</v>
      </c>
      <c r="C7" s="29">
        <f>COUNTIFS(Ventes!$T$6:$T$505,$A7,Ventes!$M$6:$M$505,"Livrée et payée")</f>
        <v>0</v>
      </c>
      <c r="D7" s="25">
        <f>SUMIFS('Suivi pubs'!$E$6:$E$370,'Suivi pubs'!$N$6:$N$370,$A7)</f>
        <v>0</v>
      </c>
      <c r="E7" s="25">
        <f>SUMIFS(Ventes!$R$6:$R$505,Ventes!$T$6:$T$505,$A7)</f>
        <v>0</v>
      </c>
      <c r="F7" s="25">
        <f>SUMIFS(Dépenses!$D$6:$D$205,Dépenses!$E$6:$E$205,$A7)</f>
        <v>0</v>
      </c>
      <c r="G7" s="25">
        <f t="shared" si="0"/>
        <v>0</v>
      </c>
      <c r="H7" s="29">
        <f>COUNTIFS(Ventes!$T$6:$T$505,$A7,Ventes!$M$6:$M$505,"Livrée et payée",Ventes!$U$6:$U$505,"Nouveau")</f>
        <v>0</v>
      </c>
      <c r="I7" s="25">
        <f>IF(SUMIFS('Suivi pubs'!$G$6:$G$370,'Suivi pubs'!$N$6:$N$370,$A7)=0,0,D7/SUMIFS('Suivi pubs'!$G$6:$G$370,'Suivi pubs'!$N$6:$N$370,$A7))</f>
        <v>0</v>
      </c>
    </row>
    <row r="8" spans="1:9" x14ac:dyDescent="0.25">
      <c r="A8" s="23">
        <f>DATE(Paramètres!$B$7,3,1)</f>
        <v>46082</v>
      </c>
      <c r="B8" s="25">
        <f>SUMIFS(Ventes!$K$6:$K$505,Ventes!$T$6:$T$505,$A8,Ventes!$M$6:$M$505,"Livrée et payée")</f>
        <v>0</v>
      </c>
      <c r="C8" s="29">
        <f>COUNTIFS(Ventes!$T$6:$T$505,$A8,Ventes!$M$6:$M$505,"Livrée et payée")</f>
        <v>0</v>
      </c>
      <c r="D8" s="25">
        <f>SUMIFS('Suivi pubs'!$E$6:$E$370,'Suivi pubs'!$N$6:$N$370,$A8)</f>
        <v>0</v>
      </c>
      <c r="E8" s="25">
        <f>SUMIFS(Ventes!$R$6:$R$505,Ventes!$T$6:$T$505,$A8)</f>
        <v>0</v>
      </c>
      <c r="F8" s="25">
        <f>SUMIFS(Dépenses!$D$6:$D$205,Dépenses!$E$6:$E$205,$A8)</f>
        <v>0</v>
      </c>
      <c r="G8" s="25">
        <f t="shared" si="0"/>
        <v>0</v>
      </c>
      <c r="H8" s="29">
        <f>COUNTIFS(Ventes!$T$6:$T$505,$A8,Ventes!$M$6:$M$505,"Livrée et payée",Ventes!$U$6:$U$505,"Nouveau")</f>
        <v>0</v>
      </c>
      <c r="I8" s="25">
        <f>IF(SUMIFS('Suivi pubs'!$G$6:$G$370,'Suivi pubs'!$N$6:$N$370,$A8)=0,0,D8/SUMIFS('Suivi pubs'!$G$6:$G$370,'Suivi pubs'!$N$6:$N$370,$A8))</f>
        <v>0</v>
      </c>
    </row>
    <row r="9" spans="1:9" x14ac:dyDescent="0.25">
      <c r="A9" s="23">
        <f>DATE(Paramètres!$B$7,4,1)</f>
        <v>46113</v>
      </c>
      <c r="B9" s="25">
        <f>SUMIFS(Ventes!$K$6:$K$505,Ventes!$T$6:$T$505,$A9,Ventes!$M$6:$M$505,"Livrée et payée")</f>
        <v>0</v>
      </c>
      <c r="C9" s="29">
        <f>COUNTIFS(Ventes!$T$6:$T$505,$A9,Ventes!$M$6:$M$505,"Livrée et payée")</f>
        <v>0</v>
      </c>
      <c r="D9" s="25">
        <f>SUMIFS('Suivi pubs'!$E$6:$E$370,'Suivi pubs'!$N$6:$N$370,$A9)</f>
        <v>0</v>
      </c>
      <c r="E9" s="25">
        <f>SUMIFS(Ventes!$R$6:$R$505,Ventes!$T$6:$T$505,$A9)</f>
        <v>0</v>
      </c>
      <c r="F9" s="25">
        <f>SUMIFS(Dépenses!$D$6:$D$205,Dépenses!$E$6:$E$205,$A9)</f>
        <v>0</v>
      </c>
      <c r="G9" s="25">
        <f t="shared" si="0"/>
        <v>0</v>
      </c>
      <c r="H9" s="29">
        <f>COUNTIFS(Ventes!$T$6:$T$505,$A9,Ventes!$M$6:$M$505,"Livrée et payée",Ventes!$U$6:$U$505,"Nouveau")</f>
        <v>0</v>
      </c>
      <c r="I9" s="25">
        <f>IF(SUMIFS('Suivi pubs'!$G$6:$G$370,'Suivi pubs'!$N$6:$N$370,$A9)=0,0,D9/SUMIFS('Suivi pubs'!$G$6:$G$370,'Suivi pubs'!$N$6:$N$370,$A9))</f>
        <v>0</v>
      </c>
    </row>
    <row r="10" spans="1:9" x14ac:dyDescent="0.25">
      <c r="A10" s="23">
        <f>DATE(Paramètres!$B$7,5,1)</f>
        <v>46143</v>
      </c>
      <c r="B10" s="25">
        <f>SUMIFS(Ventes!$K$6:$K$505,Ventes!$T$6:$T$505,$A10,Ventes!$M$6:$M$505,"Livrée et payée")</f>
        <v>0</v>
      </c>
      <c r="C10" s="29">
        <f>COUNTIFS(Ventes!$T$6:$T$505,$A10,Ventes!$M$6:$M$505,"Livrée et payée")</f>
        <v>0</v>
      </c>
      <c r="D10" s="25">
        <f>SUMIFS('Suivi pubs'!$E$6:$E$370,'Suivi pubs'!$N$6:$N$370,$A10)</f>
        <v>0</v>
      </c>
      <c r="E10" s="25">
        <f>SUMIFS(Ventes!$R$6:$R$505,Ventes!$T$6:$T$505,$A10)</f>
        <v>0</v>
      </c>
      <c r="F10" s="25">
        <f>SUMIFS(Dépenses!$D$6:$D$205,Dépenses!$E$6:$E$205,$A10)</f>
        <v>0</v>
      </c>
      <c r="G10" s="25">
        <f t="shared" si="0"/>
        <v>0</v>
      </c>
      <c r="H10" s="29">
        <f>COUNTIFS(Ventes!$T$6:$T$505,$A10,Ventes!$M$6:$M$505,"Livrée et payée",Ventes!$U$6:$U$505,"Nouveau")</f>
        <v>0</v>
      </c>
      <c r="I10" s="25">
        <f>IF(SUMIFS('Suivi pubs'!$G$6:$G$370,'Suivi pubs'!$N$6:$N$370,$A10)=0,0,D10/SUMIFS('Suivi pubs'!$G$6:$G$370,'Suivi pubs'!$N$6:$N$370,$A10))</f>
        <v>0</v>
      </c>
    </row>
    <row r="11" spans="1:9" x14ac:dyDescent="0.25">
      <c r="A11" s="23">
        <f>DATE(Paramètres!$B$7,6,1)</f>
        <v>46174</v>
      </c>
      <c r="B11" s="25">
        <f>SUMIFS(Ventes!$K$6:$K$505,Ventes!$T$6:$T$505,$A11,Ventes!$M$6:$M$505,"Livrée et payée")</f>
        <v>0</v>
      </c>
      <c r="C11" s="29">
        <f>COUNTIFS(Ventes!$T$6:$T$505,$A11,Ventes!$M$6:$M$505,"Livrée et payée")</f>
        <v>0</v>
      </c>
      <c r="D11" s="25">
        <f>SUMIFS('Suivi pubs'!$E$6:$E$370,'Suivi pubs'!$N$6:$N$370,$A11)</f>
        <v>0</v>
      </c>
      <c r="E11" s="25">
        <f>SUMIFS(Ventes!$R$6:$R$505,Ventes!$T$6:$T$505,$A11)</f>
        <v>0</v>
      </c>
      <c r="F11" s="25">
        <f>SUMIFS(Dépenses!$D$6:$D$205,Dépenses!$E$6:$E$205,$A11)</f>
        <v>0</v>
      </c>
      <c r="G11" s="25">
        <f t="shared" si="0"/>
        <v>0</v>
      </c>
      <c r="H11" s="29">
        <f>COUNTIFS(Ventes!$T$6:$T$505,$A11,Ventes!$M$6:$M$505,"Livrée et payée",Ventes!$U$6:$U$505,"Nouveau")</f>
        <v>0</v>
      </c>
      <c r="I11" s="25">
        <f>IF(SUMIFS('Suivi pubs'!$G$6:$G$370,'Suivi pubs'!$N$6:$N$370,$A11)=0,0,D11/SUMIFS('Suivi pubs'!$G$6:$G$370,'Suivi pubs'!$N$6:$N$370,$A11))</f>
        <v>0</v>
      </c>
    </row>
    <row r="12" spans="1:9" x14ac:dyDescent="0.25">
      <c r="A12" s="23">
        <f>DATE(Paramètres!$B$7,7,1)</f>
        <v>46204</v>
      </c>
      <c r="B12" s="25">
        <f>SUMIFS(Ventes!$K$6:$K$505,Ventes!$T$6:$T$505,$A12,Ventes!$M$6:$M$505,"Livrée et payée")</f>
        <v>0</v>
      </c>
      <c r="C12" s="29">
        <f>COUNTIFS(Ventes!$T$6:$T$505,$A12,Ventes!$M$6:$M$505,"Livrée et payée")</f>
        <v>0</v>
      </c>
      <c r="D12" s="25">
        <f>SUMIFS('Suivi pubs'!$E$6:$E$370,'Suivi pubs'!$N$6:$N$370,$A12)</f>
        <v>0</v>
      </c>
      <c r="E12" s="25">
        <f>SUMIFS(Ventes!$R$6:$R$505,Ventes!$T$6:$T$505,$A12)</f>
        <v>0</v>
      </c>
      <c r="F12" s="25">
        <f>SUMIFS(Dépenses!$D$6:$D$205,Dépenses!$E$6:$E$205,$A12)</f>
        <v>0</v>
      </c>
      <c r="G12" s="25">
        <f t="shared" si="0"/>
        <v>0</v>
      </c>
      <c r="H12" s="29">
        <f>COUNTIFS(Ventes!$T$6:$T$505,$A12,Ventes!$M$6:$M$505,"Livrée et payée",Ventes!$U$6:$U$505,"Nouveau")</f>
        <v>0</v>
      </c>
      <c r="I12" s="25">
        <f>IF(SUMIFS('Suivi pubs'!$G$6:$G$370,'Suivi pubs'!$N$6:$N$370,$A12)=0,0,D12/SUMIFS('Suivi pubs'!$G$6:$G$370,'Suivi pubs'!$N$6:$N$370,$A12))</f>
        <v>0</v>
      </c>
    </row>
    <row r="13" spans="1:9" x14ac:dyDescent="0.25">
      <c r="A13" s="23">
        <f>DATE(Paramètres!$B$7,8,1)</f>
        <v>46235</v>
      </c>
      <c r="B13" s="25">
        <f>SUMIFS(Ventes!$K$6:$K$505,Ventes!$T$6:$T$505,$A13,Ventes!$M$6:$M$505,"Livrée et payée")</f>
        <v>0</v>
      </c>
      <c r="C13" s="29">
        <f>COUNTIFS(Ventes!$T$6:$T$505,$A13,Ventes!$M$6:$M$505,"Livrée et payée")</f>
        <v>0</v>
      </c>
      <c r="D13" s="25">
        <f>SUMIFS('Suivi pubs'!$E$6:$E$370,'Suivi pubs'!$N$6:$N$370,$A13)</f>
        <v>0</v>
      </c>
      <c r="E13" s="25">
        <f>SUMIFS(Ventes!$R$6:$R$505,Ventes!$T$6:$T$505,$A13)</f>
        <v>0</v>
      </c>
      <c r="F13" s="25">
        <f>SUMIFS(Dépenses!$D$6:$D$205,Dépenses!$E$6:$E$205,$A13)</f>
        <v>0</v>
      </c>
      <c r="G13" s="25">
        <f t="shared" si="0"/>
        <v>0</v>
      </c>
      <c r="H13" s="29">
        <f>COUNTIFS(Ventes!$T$6:$T$505,$A13,Ventes!$M$6:$M$505,"Livrée et payée",Ventes!$U$6:$U$505,"Nouveau")</f>
        <v>0</v>
      </c>
      <c r="I13" s="25">
        <f>IF(SUMIFS('Suivi pubs'!$G$6:$G$370,'Suivi pubs'!$N$6:$N$370,$A13)=0,0,D13/SUMIFS('Suivi pubs'!$G$6:$G$370,'Suivi pubs'!$N$6:$N$370,$A13))</f>
        <v>0</v>
      </c>
    </row>
    <row r="14" spans="1:9" x14ac:dyDescent="0.25">
      <c r="A14" s="23">
        <f>DATE(Paramètres!$B$7,9,1)</f>
        <v>46266</v>
      </c>
      <c r="B14" s="25">
        <f>SUMIFS(Ventes!$K$6:$K$505,Ventes!$T$6:$T$505,$A14,Ventes!$M$6:$M$505,"Livrée et payée")</f>
        <v>64000</v>
      </c>
      <c r="C14" s="29">
        <f>COUNTIFS(Ventes!$T$6:$T$505,$A14,Ventes!$M$6:$M$505,"Livrée et payée")</f>
        <v>6</v>
      </c>
      <c r="D14" s="25">
        <f>SUMIFS('Suivi pubs'!$E$6:$E$370,'Suivi pubs'!$N$6:$N$370,$A14)</f>
        <v>6000</v>
      </c>
      <c r="E14" s="25">
        <f>SUMIFS(Ventes!$R$6:$R$505,Ventes!$T$6:$T$505,$A14)</f>
        <v>30950</v>
      </c>
      <c r="F14" s="25">
        <f>SUMIFS(Dépenses!$D$6:$D$205,Dépenses!$E$6:$E$205,$A14)</f>
        <v>9000</v>
      </c>
      <c r="G14" s="25">
        <f t="shared" si="0"/>
        <v>15950</v>
      </c>
      <c r="H14" s="29">
        <f>COUNTIFS(Ventes!$T$6:$T$505,$A14,Ventes!$M$6:$M$505,"Livrée et payée",Ventes!$U$6:$U$505,"Nouveau")</f>
        <v>5</v>
      </c>
      <c r="I14" s="25">
        <f>IF(SUMIFS('Suivi pubs'!$G$6:$G$370,'Suivi pubs'!$N$6:$N$370,$A14)=0,0,D14/SUMIFS('Suivi pubs'!$G$6:$G$370,'Suivi pubs'!$N$6:$N$370,$A14))</f>
        <v>6000</v>
      </c>
    </row>
    <row r="15" spans="1:9" x14ac:dyDescent="0.25">
      <c r="A15" s="23">
        <f>DATE(Paramètres!$B$7,10,1)</f>
        <v>46296</v>
      </c>
      <c r="B15" s="25">
        <f>SUMIFS(Ventes!$K$6:$K$505,Ventes!$T$6:$T$505,$A15,Ventes!$M$6:$M$505,"Livrée et payée")</f>
        <v>150000</v>
      </c>
      <c r="C15" s="29">
        <f>COUNTIFS(Ventes!$T$6:$T$505,$A15,Ventes!$M$6:$M$505,"Livrée et payée")</f>
        <v>11</v>
      </c>
      <c r="D15" s="25">
        <f>SUMIFS('Suivi pubs'!$E$6:$E$370,'Suivi pubs'!$N$6:$N$370,$A15)</f>
        <v>12000</v>
      </c>
      <c r="E15" s="25">
        <f>SUMIFS(Ventes!$R$6:$R$505,Ventes!$T$6:$T$505,$A15)</f>
        <v>69750</v>
      </c>
      <c r="F15" s="25">
        <f>SUMIFS(Dépenses!$D$6:$D$205,Dépenses!$E$6:$E$205,$A15)</f>
        <v>12000</v>
      </c>
      <c r="G15" s="25">
        <f t="shared" si="0"/>
        <v>45750</v>
      </c>
      <c r="H15" s="29">
        <f>COUNTIFS(Ventes!$T$6:$T$505,$A15,Ventes!$M$6:$M$505,"Livrée et payée",Ventes!$U$6:$U$505,"Nouveau")</f>
        <v>2</v>
      </c>
      <c r="I15" s="25">
        <f>IF(SUMIFS('Suivi pubs'!$G$6:$G$370,'Suivi pubs'!$N$6:$N$370,$A15)=0,0,D15/SUMIFS('Suivi pubs'!$G$6:$G$370,'Suivi pubs'!$N$6:$N$370,$A15))</f>
        <v>1714.2857142857142</v>
      </c>
    </row>
    <row r="16" spans="1:9" x14ac:dyDescent="0.25">
      <c r="A16" s="23">
        <f>DATE(Paramètres!$B$7,11,1)</f>
        <v>46327</v>
      </c>
      <c r="B16" s="25">
        <f>SUMIFS(Ventes!$K$6:$K$505,Ventes!$T$6:$T$505,$A16,Ventes!$M$6:$M$505,"Livrée et payée")</f>
        <v>0</v>
      </c>
      <c r="C16" s="29">
        <f>COUNTIFS(Ventes!$T$6:$T$505,$A16,Ventes!$M$6:$M$505,"Livrée et payée")</f>
        <v>0</v>
      </c>
      <c r="D16" s="25">
        <f>SUMIFS('Suivi pubs'!$E$6:$E$370,'Suivi pubs'!$N$6:$N$370,$A16)</f>
        <v>0</v>
      </c>
      <c r="E16" s="25">
        <f>SUMIFS(Ventes!$R$6:$R$505,Ventes!$T$6:$T$505,$A16)</f>
        <v>0</v>
      </c>
      <c r="F16" s="25">
        <f>SUMIFS(Dépenses!$D$6:$D$205,Dépenses!$E$6:$E$205,$A16)</f>
        <v>0</v>
      </c>
      <c r="G16" s="25">
        <f t="shared" si="0"/>
        <v>0</v>
      </c>
      <c r="H16" s="29">
        <f>COUNTIFS(Ventes!$T$6:$T$505,$A16,Ventes!$M$6:$M$505,"Livrée et payée",Ventes!$U$6:$U$505,"Nouveau")</f>
        <v>0</v>
      </c>
      <c r="I16" s="25">
        <f>IF(SUMIFS('Suivi pubs'!$G$6:$G$370,'Suivi pubs'!$N$6:$N$370,$A16)=0,0,D16/SUMIFS('Suivi pubs'!$G$6:$G$370,'Suivi pubs'!$N$6:$N$370,$A16))</f>
        <v>0</v>
      </c>
    </row>
    <row r="17" spans="1:9" x14ac:dyDescent="0.25">
      <c r="A17" s="23">
        <f>DATE(Paramètres!$B$7,12,1)</f>
        <v>46357</v>
      </c>
      <c r="B17" s="25">
        <f>SUMIFS(Ventes!$K$6:$K$505,Ventes!$T$6:$T$505,$A17,Ventes!$M$6:$M$505,"Livrée et payée")</f>
        <v>0</v>
      </c>
      <c r="C17" s="29">
        <f>COUNTIFS(Ventes!$T$6:$T$505,$A17,Ventes!$M$6:$M$505,"Livrée et payée")</f>
        <v>0</v>
      </c>
      <c r="D17" s="25">
        <f>SUMIFS('Suivi pubs'!$E$6:$E$370,'Suivi pubs'!$N$6:$N$370,$A17)</f>
        <v>0</v>
      </c>
      <c r="E17" s="25">
        <f>SUMIFS(Ventes!$R$6:$R$505,Ventes!$T$6:$T$505,$A17)</f>
        <v>0</v>
      </c>
      <c r="F17" s="25">
        <f>SUMIFS(Dépenses!$D$6:$D$205,Dépenses!$E$6:$E$205,$A17)</f>
        <v>0</v>
      </c>
      <c r="G17" s="25">
        <f t="shared" si="0"/>
        <v>0</v>
      </c>
      <c r="H17" s="29">
        <f>COUNTIFS(Ventes!$T$6:$T$505,$A17,Ventes!$M$6:$M$505,"Livrée et payée",Ventes!$U$6:$U$505,"Nouveau")</f>
        <v>0</v>
      </c>
      <c r="I17" s="25">
        <f>IF(SUMIFS('Suivi pubs'!$G$6:$G$370,'Suivi pubs'!$N$6:$N$370,$A17)=0,0,D17/SUMIFS('Suivi pubs'!$G$6:$G$370,'Suivi pubs'!$N$6:$N$370,$A17))</f>
        <v>0</v>
      </c>
    </row>
    <row r="18" spans="1:9" x14ac:dyDescent="0.25">
      <c r="A18" s="51" t="s">
        <v>302</v>
      </c>
      <c r="B18" s="52">
        <f t="shared" ref="B18:H18" si="1">SUM(B6:B17)</f>
        <v>214000</v>
      </c>
      <c r="C18" s="53">
        <f t="shared" si="1"/>
        <v>17</v>
      </c>
      <c r="D18" s="52">
        <f t="shared" si="1"/>
        <v>18000</v>
      </c>
      <c r="E18" s="52">
        <f t="shared" si="1"/>
        <v>100700</v>
      </c>
      <c r="F18" s="52">
        <f t="shared" si="1"/>
        <v>21000</v>
      </c>
      <c r="G18" s="52">
        <f t="shared" si="1"/>
        <v>61700</v>
      </c>
      <c r="H18" s="53">
        <f t="shared" si="1"/>
        <v>7</v>
      </c>
      <c r="I18" s="54" t="s">
        <v>303</v>
      </c>
    </row>
  </sheetData>
  <conditionalFormatting sqref="G6:G17">
    <cfRule type="cellIs" dxfId="3" priority="2" operator="lessThan">
      <formula>0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2F6DB5"/>
  </sheetPr>
  <dimension ref="A1:J37"/>
  <sheetViews>
    <sheetView showGridLines="0" zoomScaleNormal="100" workbookViewId="0">
      <selection activeCell="B13" sqref="B13"/>
    </sheetView>
  </sheetViews>
  <sheetFormatPr baseColWidth="10" defaultColWidth="8.7109375" defaultRowHeight="15" x14ac:dyDescent="0.25"/>
  <cols>
    <col min="1" max="1" width="7" customWidth="1"/>
    <col min="2" max="2" width="60" customWidth="1"/>
    <col min="3" max="3" width="11" customWidth="1"/>
    <col min="4" max="4" width="9" customWidth="1"/>
    <col min="5" max="5" width="12" customWidth="1"/>
    <col min="6" max="6" width="3" customWidth="1"/>
    <col min="7" max="7" width="16" customWidth="1"/>
    <col min="8" max="8" width="22" customWidth="1"/>
    <col min="9" max="9" width="46" customWidth="1"/>
    <col min="10" max="10" width="9" customWidth="1"/>
  </cols>
  <sheetData>
    <row r="1" spans="1:10" ht="20.25" x14ac:dyDescent="0.3">
      <c r="A1" s="13" t="s">
        <v>304</v>
      </c>
    </row>
    <row r="2" spans="1:10" x14ac:dyDescent="0.25">
      <c r="A2" s="3" t="s">
        <v>305</v>
      </c>
    </row>
    <row r="3" spans="1:10" x14ac:dyDescent="0.25">
      <c r="A3" s="4" t="s">
        <v>2</v>
      </c>
    </row>
    <row r="4" spans="1:10" x14ac:dyDescent="0.25">
      <c r="G4" s="43" t="s">
        <v>306</v>
      </c>
    </row>
    <row r="5" spans="1:10" ht="31.5" customHeight="1" x14ac:dyDescent="0.25">
      <c r="A5" s="14" t="s">
        <v>307</v>
      </c>
      <c r="B5" s="14" t="s">
        <v>308</v>
      </c>
      <c r="C5" s="14" t="s">
        <v>309</v>
      </c>
      <c r="D5" s="14" t="s">
        <v>310</v>
      </c>
      <c r="E5" s="14" t="s">
        <v>177</v>
      </c>
      <c r="G5" s="55" t="s">
        <v>311</v>
      </c>
      <c r="H5" s="55" t="s">
        <v>312</v>
      </c>
      <c r="I5" s="55" t="s">
        <v>313</v>
      </c>
      <c r="J5" s="55" t="s">
        <v>310</v>
      </c>
    </row>
    <row r="6" spans="1:10" ht="31.5" customHeight="1" x14ac:dyDescent="0.25">
      <c r="A6" s="56">
        <v>1</v>
      </c>
      <c r="B6" s="8" t="s">
        <v>314</v>
      </c>
      <c r="C6" s="57" t="s">
        <v>315</v>
      </c>
      <c r="D6" s="30" t="s">
        <v>221</v>
      </c>
      <c r="E6" s="38"/>
      <c r="G6" s="17" t="s">
        <v>316</v>
      </c>
      <c r="H6" s="33" t="s">
        <v>317</v>
      </c>
      <c r="I6" s="8" t="s">
        <v>318</v>
      </c>
      <c r="J6" s="30"/>
    </row>
    <row r="7" spans="1:10" ht="31.5" customHeight="1" x14ac:dyDescent="0.25">
      <c r="A7" s="56">
        <v>2</v>
      </c>
      <c r="B7" s="8" t="s">
        <v>319</v>
      </c>
      <c r="C7" s="57" t="s">
        <v>320</v>
      </c>
      <c r="D7" s="30" t="s">
        <v>221</v>
      </c>
      <c r="E7" s="38"/>
      <c r="G7" s="17" t="s">
        <v>321</v>
      </c>
      <c r="H7" s="33" t="s">
        <v>322</v>
      </c>
      <c r="I7" s="8" t="s">
        <v>323</v>
      </c>
      <c r="J7" s="30"/>
    </row>
    <row r="8" spans="1:10" ht="31.5" customHeight="1" x14ac:dyDescent="0.25">
      <c r="A8" s="56">
        <v>3</v>
      </c>
      <c r="B8" s="8" t="s">
        <v>324</v>
      </c>
      <c r="C8" s="57" t="s">
        <v>320</v>
      </c>
      <c r="D8" s="30" t="s">
        <v>221</v>
      </c>
      <c r="E8" s="38"/>
      <c r="G8" s="17" t="s">
        <v>325</v>
      </c>
      <c r="H8" s="33" t="s">
        <v>326</v>
      </c>
      <c r="I8" s="8" t="s">
        <v>327</v>
      </c>
      <c r="J8" s="30"/>
    </row>
    <row r="9" spans="1:10" x14ac:dyDescent="0.25">
      <c r="A9" s="56">
        <v>4</v>
      </c>
      <c r="B9" s="8" t="s">
        <v>328</v>
      </c>
      <c r="C9" s="57" t="s">
        <v>320</v>
      </c>
      <c r="D9" s="30" t="s">
        <v>221</v>
      </c>
      <c r="E9" s="38"/>
    </row>
    <row r="10" spans="1:10" x14ac:dyDescent="0.25">
      <c r="A10" s="56">
        <v>5</v>
      </c>
      <c r="B10" s="8" t="s">
        <v>329</v>
      </c>
      <c r="C10" s="57" t="s">
        <v>330</v>
      </c>
      <c r="D10" s="30" t="s">
        <v>221</v>
      </c>
      <c r="E10" s="38"/>
    </row>
    <row r="11" spans="1:10" x14ac:dyDescent="0.25">
      <c r="A11" s="56">
        <v>6</v>
      </c>
      <c r="B11" s="8" t="s">
        <v>331</v>
      </c>
      <c r="C11" s="57" t="s">
        <v>330</v>
      </c>
      <c r="D11" s="30" t="s">
        <v>221</v>
      </c>
      <c r="E11" s="38"/>
    </row>
    <row r="12" spans="1:10" x14ac:dyDescent="0.25">
      <c r="A12" s="56">
        <v>7</v>
      </c>
      <c r="B12" s="8" t="s">
        <v>332</v>
      </c>
      <c r="C12" s="57" t="s">
        <v>330</v>
      </c>
      <c r="D12" s="30" t="s">
        <v>221</v>
      </c>
      <c r="E12" s="38"/>
    </row>
    <row r="13" spans="1:10" x14ac:dyDescent="0.25">
      <c r="A13" s="56">
        <v>8</v>
      </c>
      <c r="B13" s="8" t="s">
        <v>333</v>
      </c>
      <c r="C13" s="57" t="s">
        <v>330</v>
      </c>
      <c r="D13" s="30" t="s">
        <v>221</v>
      </c>
      <c r="E13" s="38"/>
    </row>
    <row r="14" spans="1:10" x14ac:dyDescent="0.25">
      <c r="A14" s="56">
        <v>9</v>
      </c>
      <c r="B14" s="8" t="s">
        <v>334</v>
      </c>
      <c r="C14" s="57" t="s">
        <v>335</v>
      </c>
      <c r="D14" s="30" t="s">
        <v>221</v>
      </c>
      <c r="E14" s="38"/>
    </row>
    <row r="15" spans="1:10" x14ac:dyDescent="0.25">
      <c r="A15" s="56">
        <v>10</v>
      </c>
      <c r="B15" s="8" t="s">
        <v>336</v>
      </c>
      <c r="C15" s="57" t="s">
        <v>335</v>
      </c>
      <c r="D15" s="30" t="s">
        <v>221</v>
      </c>
      <c r="E15" s="38"/>
    </row>
    <row r="16" spans="1:10" x14ac:dyDescent="0.25">
      <c r="A16" s="56">
        <v>11</v>
      </c>
      <c r="B16" s="8" t="s">
        <v>337</v>
      </c>
      <c r="C16" s="57" t="s">
        <v>338</v>
      </c>
      <c r="D16" s="30" t="s">
        <v>221</v>
      </c>
      <c r="E16" s="38"/>
    </row>
    <row r="17" spans="1:5" x14ac:dyDescent="0.25">
      <c r="A17" s="56">
        <v>12</v>
      </c>
      <c r="B17" s="8" t="s">
        <v>339</v>
      </c>
      <c r="C17" s="57" t="s">
        <v>338</v>
      </c>
      <c r="D17" s="30" t="s">
        <v>221</v>
      </c>
      <c r="E17" s="38"/>
    </row>
    <row r="18" spans="1:5" x14ac:dyDescent="0.25">
      <c r="A18" s="56">
        <v>13</v>
      </c>
      <c r="B18" s="8" t="s">
        <v>340</v>
      </c>
      <c r="C18" s="57" t="s">
        <v>338</v>
      </c>
      <c r="D18" s="30"/>
      <c r="E18" s="38"/>
    </row>
    <row r="19" spans="1:5" x14ac:dyDescent="0.25">
      <c r="A19" s="56">
        <v>14</v>
      </c>
      <c r="B19" s="8" t="s">
        <v>341</v>
      </c>
      <c r="C19" s="57" t="s">
        <v>335</v>
      </c>
      <c r="D19" s="30"/>
      <c r="E19" s="38"/>
    </row>
    <row r="20" spans="1:5" x14ac:dyDescent="0.25">
      <c r="A20" s="56">
        <v>15</v>
      </c>
      <c r="B20" s="8" t="s">
        <v>342</v>
      </c>
      <c r="C20" s="57" t="s">
        <v>343</v>
      </c>
      <c r="D20" s="30"/>
      <c r="E20" s="38"/>
    </row>
    <row r="21" spans="1:5" x14ac:dyDescent="0.25">
      <c r="A21" s="56">
        <v>16</v>
      </c>
      <c r="B21" s="8" t="s">
        <v>344</v>
      </c>
      <c r="C21" s="57" t="s">
        <v>345</v>
      </c>
      <c r="D21" s="30"/>
      <c r="E21" s="38"/>
    </row>
    <row r="22" spans="1:5" x14ac:dyDescent="0.25">
      <c r="A22" s="56">
        <v>17</v>
      </c>
      <c r="B22" s="8" t="s">
        <v>346</v>
      </c>
      <c r="C22" s="57" t="s">
        <v>347</v>
      </c>
      <c r="D22" s="30"/>
      <c r="E22" s="38"/>
    </row>
    <row r="23" spans="1:5" x14ac:dyDescent="0.25">
      <c r="A23" s="56">
        <v>18</v>
      </c>
      <c r="B23" s="8" t="s">
        <v>348</v>
      </c>
      <c r="C23" s="57" t="s">
        <v>349</v>
      </c>
      <c r="D23" s="30"/>
      <c r="E23" s="38"/>
    </row>
    <row r="24" spans="1:5" ht="25.5" x14ac:dyDescent="0.25">
      <c r="A24" s="56">
        <v>19</v>
      </c>
      <c r="B24" s="8" t="s">
        <v>350</v>
      </c>
      <c r="C24" s="57" t="s">
        <v>351</v>
      </c>
      <c r="D24" s="30"/>
      <c r="E24" s="38"/>
    </row>
    <row r="25" spans="1:5" x14ac:dyDescent="0.25">
      <c r="A25" s="56">
        <v>20</v>
      </c>
      <c r="B25" s="8" t="s">
        <v>352</v>
      </c>
      <c r="C25" s="57" t="s">
        <v>349</v>
      </c>
      <c r="D25" s="30"/>
      <c r="E25" s="38"/>
    </row>
    <row r="26" spans="1:5" x14ac:dyDescent="0.25">
      <c r="A26" s="56">
        <v>21</v>
      </c>
      <c r="B26" s="8" t="s">
        <v>353</v>
      </c>
      <c r="C26" s="57" t="s">
        <v>354</v>
      </c>
      <c r="D26" s="30"/>
      <c r="E26" s="38"/>
    </row>
    <row r="27" spans="1:5" x14ac:dyDescent="0.25">
      <c r="A27" s="56">
        <v>22</v>
      </c>
      <c r="B27" s="8" t="s">
        <v>355</v>
      </c>
      <c r="C27" s="57" t="s">
        <v>354</v>
      </c>
      <c r="D27" s="30"/>
      <c r="E27" s="38"/>
    </row>
    <row r="28" spans="1:5" x14ac:dyDescent="0.25">
      <c r="A28" s="56">
        <v>23</v>
      </c>
      <c r="B28" s="8" t="s">
        <v>356</v>
      </c>
      <c r="C28" s="57" t="s">
        <v>343</v>
      </c>
      <c r="D28" s="30"/>
      <c r="E28" s="38"/>
    </row>
    <row r="29" spans="1:5" x14ac:dyDescent="0.25">
      <c r="A29" s="56">
        <v>24</v>
      </c>
      <c r="B29" s="8" t="s">
        <v>357</v>
      </c>
      <c r="C29" s="57" t="s">
        <v>358</v>
      </c>
      <c r="D29" s="30"/>
      <c r="E29" s="38"/>
    </row>
    <row r="30" spans="1:5" x14ac:dyDescent="0.25">
      <c r="A30" s="56">
        <v>25</v>
      </c>
      <c r="B30" s="8" t="s">
        <v>359</v>
      </c>
      <c r="C30" s="57" t="s">
        <v>354</v>
      </c>
      <c r="D30" s="30"/>
      <c r="E30" s="38"/>
    </row>
    <row r="31" spans="1:5" x14ac:dyDescent="0.25">
      <c r="A31" s="56">
        <v>26</v>
      </c>
      <c r="B31" s="8" t="s">
        <v>360</v>
      </c>
      <c r="C31" s="57" t="s">
        <v>335</v>
      </c>
      <c r="D31" s="30"/>
      <c r="E31" s="38"/>
    </row>
    <row r="32" spans="1:5" x14ac:dyDescent="0.25">
      <c r="A32" s="56">
        <v>27</v>
      </c>
      <c r="B32" s="8" t="s">
        <v>361</v>
      </c>
      <c r="C32" s="57" t="s">
        <v>349</v>
      </c>
      <c r="D32" s="30"/>
      <c r="E32" s="38"/>
    </row>
    <row r="33" spans="1:5" x14ac:dyDescent="0.25">
      <c r="A33" s="56">
        <v>28</v>
      </c>
      <c r="B33" s="8" t="s">
        <v>362</v>
      </c>
      <c r="C33" s="57" t="s">
        <v>349</v>
      </c>
      <c r="D33" s="30"/>
      <c r="E33" s="38"/>
    </row>
    <row r="34" spans="1:5" x14ac:dyDescent="0.25">
      <c r="A34" s="56">
        <v>29</v>
      </c>
      <c r="B34" s="8" t="s">
        <v>363</v>
      </c>
      <c r="C34" s="57" t="s">
        <v>358</v>
      </c>
      <c r="D34" s="30"/>
      <c r="E34" s="38"/>
    </row>
    <row r="35" spans="1:5" x14ac:dyDescent="0.25">
      <c r="A35" s="56">
        <v>30</v>
      </c>
      <c r="B35" s="8" t="s">
        <v>364</v>
      </c>
      <c r="C35" s="57" t="s">
        <v>315</v>
      </c>
      <c r="D35" s="30"/>
      <c r="E35" s="38"/>
    </row>
    <row r="37" spans="1:5" x14ac:dyDescent="0.25">
      <c r="B37" s="17" t="s">
        <v>365</v>
      </c>
      <c r="D37" s="58">
        <f>COUNTIF(D6:D35,"Oui")/30</f>
        <v>0.4</v>
      </c>
    </row>
  </sheetData>
  <conditionalFormatting sqref="D6:D35">
    <cfRule type="cellIs" dxfId="2" priority="2" operator="equal">
      <formula>"Oui"</formula>
    </cfRule>
  </conditionalFormatting>
  <dataValidations count="1">
    <dataValidation type="list" allowBlank="1" sqref="D6:D35 J6:J8" xr:uid="{00000000-0002-0000-0C00-000000000000}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rgb="FF2F6DB5"/>
  </sheetPr>
  <dimension ref="A1:E28"/>
  <sheetViews>
    <sheetView showGridLines="0" zoomScaleNormal="100" workbookViewId="0">
      <selection activeCell="B31" sqref="B31"/>
    </sheetView>
  </sheetViews>
  <sheetFormatPr baseColWidth="10" defaultColWidth="8.7109375" defaultRowHeight="15" x14ac:dyDescent="0.25"/>
  <cols>
    <col min="1" max="1" width="5" customWidth="1"/>
    <col min="2" max="2" width="60" customWidth="1"/>
    <col min="3" max="3" width="10" customWidth="1"/>
  </cols>
  <sheetData>
    <row r="1" spans="1:3" ht="20.25" x14ac:dyDescent="0.3">
      <c r="A1" s="13" t="s">
        <v>366</v>
      </c>
    </row>
    <row r="2" spans="1:3" x14ac:dyDescent="0.25">
      <c r="A2" s="3" t="s">
        <v>367</v>
      </c>
    </row>
    <row r="3" spans="1:3" x14ac:dyDescent="0.25">
      <c r="A3" s="4" t="s">
        <v>2</v>
      </c>
    </row>
    <row r="5" spans="1:3" ht="31.5" customHeight="1" x14ac:dyDescent="0.25">
      <c r="A5" s="14" t="s">
        <v>200</v>
      </c>
      <c r="B5" s="14" t="s">
        <v>368</v>
      </c>
      <c r="C5" s="14" t="s">
        <v>369</v>
      </c>
    </row>
    <row r="6" spans="1:3" x14ac:dyDescent="0.25">
      <c r="A6" s="57">
        <v>1</v>
      </c>
      <c r="B6" s="33" t="s">
        <v>370</v>
      </c>
      <c r="C6" s="30" t="s">
        <v>221</v>
      </c>
    </row>
    <row r="7" spans="1:3" x14ac:dyDescent="0.25">
      <c r="A7" s="57">
        <v>2</v>
      </c>
      <c r="B7" s="33" t="s">
        <v>371</v>
      </c>
      <c r="C7" s="30" t="s">
        <v>221</v>
      </c>
    </row>
    <row r="8" spans="1:3" x14ac:dyDescent="0.25">
      <c r="A8" s="57">
        <v>3</v>
      </c>
      <c r="B8" s="33" t="s">
        <v>372</v>
      </c>
      <c r="C8" s="30"/>
    </row>
    <row r="9" spans="1:3" x14ac:dyDescent="0.25">
      <c r="A9" s="57">
        <v>4</v>
      </c>
      <c r="B9" s="33" t="s">
        <v>373</v>
      </c>
      <c r="C9" s="30" t="s">
        <v>221</v>
      </c>
    </row>
    <row r="10" spans="1:3" x14ac:dyDescent="0.25">
      <c r="A10" s="57">
        <v>5</v>
      </c>
      <c r="B10" s="33" t="s">
        <v>374</v>
      </c>
      <c r="C10" s="30" t="s">
        <v>221</v>
      </c>
    </row>
    <row r="11" spans="1:3" x14ac:dyDescent="0.25">
      <c r="A11" s="57">
        <v>6</v>
      </c>
      <c r="B11" s="33" t="s">
        <v>375</v>
      </c>
      <c r="C11" s="30"/>
    </row>
    <row r="12" spans="1:3" x14ac:dyDescent="0.25">
      <c r="A12" s="57">
        <v>7</v>
      </c>
      <c r="B12" s="33" t="s">
        <v>376</v>
      </c>
      <c r="C12" s="30" t="s">
        <v>221</v>
      </c>
    </row>
    <row r="13" spans="1:3" x14ac:dyDescent="0.25">
      <c r="A13" s="57">
        <v>8</v>
      </c>
      <c r="B13" s="33" t="s">
        <v>377</v>
      </c>
      <c r="C13" s="30" t="s">
        <v>221</v>
      </c>
    </row>
    <row r="14" spans="1:3" x14ac:dyDescent="0.25">
      <c r="A14" s="57">
        <v>9</v>
      </c>
      <c r="B14" s="33" t="s">
        <v>378</v>
      </c>
      <c r="C14" s="30"/>
    </row>
    <row r="15" spans="1:3" x14ac:dyDescent="0.25">
      <c r="A15" s="57">
        <v>10</v>
      </c>
      <c r="B15" s="33" t="s">
        <v>379</v>
      </c>
      <c r="C15" s="30" t="s">
        <v>221</v>
      </c>
    </row>
    <row r="16" spans="1:3" x14ac:dyDescent="0.25">
      <c r="A16" s="57">
        <v>11</v>
      </c>
      <c r="B16" s="33" t="s">
        <v>380</v>
      </c>
      <c r="C16" s="30" t="s">
        <v>221</v>
      </c>
    </row>
    <row r="17" spans="1:5" x14ac:dyDescent="0.25">
      <c r="A17" s="57">
        <v>12</v>
      </c>
      <c r="B17" s="33" t="s">
        <v>381</v>
      </c>
      <c r="C17" s="30"/>
    </row>
    <row r="18" spans="1:5" x14ac:dyDescent="0.25">
      <c r="A18" s="57">
        <v>13</v>
      </c>
      <c r="B18" s="33" t="s">
        <v>382</v>
      </c>
      <c r="C18" s="30" t="s">
        <v>221</v>
      </c>
    </row>
    <row r="19" spans="1:5" x14ac:dyDescent="0.25">
      <c r="A19" s="57">
        <v>14</v>
      </c>
      <c r="B19" s="33" t="s">
        <v>383</v>
      </c>
      <c r="C19" s="30" t="s">
        <v>221</v>
      </c>
    </row>
    <row r="20" spans="1:5" x14ac:dyDescent="0.25">
      <c r="A20" s="57">
        <v>15</v>
      </c>
      <c r="B20" s="33" t="s">
        <v>384</v>
      </c>
      <c r="C20" s="30"/>
    </row>
    <row r="21" spans="1:5" x14ac:dyDescent="0.25">
      <c r="A21" s="57">
        <v>16</v>
      </c>
      <c r="B21" s="33" t="s">
        <v>385</v>
      </c>
      <c r="C21" s="30" t="s">
        <v>221</v>
      </c>
    </row>
    <row r="22" spans="1:5" x14ac:dyDescent="0.25">
      <c r="A22" s="57">
        <v>17</v>
      </c>
      <c r="B22" s="33" t="s">
        <v>386</v>
      </c>
      <c r="C22" s="30" t="s">
        <v>221</v>
      </c>
    </row>
    <row r="23" spans="1:5" x14ac:dyDescent="0.25">
      <c r="A23" s="57">
        <v>18</v>
      </c>
      <c r="B23" s="33" t="s">
        <v>387</v>
      </c>
      <c r="C23" s="30"/>
    </row>
    <row r="24" spans="1:5" x14ac:dyDescent="0.25">
      <c r="A24" s="57">
        <v>19</v>
      </c>
      <c r="B24" s="33" t="s">
        <v>388</v>
      </c>
      <c r="C24" s="30" t="s">
        <v>221</v>
      </c>
    </row>
    <row r="25" spans="1:5" x14ac:dyDescent="0.25">
      <c r="A25" s="57">
        <v>20</v>
      </c>
      <c r="B25" s="33" t="s">
        <v>389</v>
      </c>
      <c r="C25" s="30" t="s">
        <v>221</v>
      </c>
    </row>
    <row r="27" spans="1:5" x14ac:dyDescent="0.25">
      <c r="B27" s="17" t="s">
        <v>390</v>
      </c>
      <c r="C27" s="59">
        <f>COUNTIF(C6:C25,"Oui")</f>
        <v>14</v>
      </c>
    </row>
    <row r="28" spans="1:5" x14ac:dyDescent="0.25">
      <c r="B28" s="17" t="s">
        <v>173</v>
      </c>
      <c r="C28" s="1" t="str">
        <f>IF(C27&gt;=18,"Page pro : prête à vendre",IF(C27&gt;=12,"Bonne base : complète les points manquants","Priorité : refais ta page avant toute pub"))</f>
        <v>Bonne base : complète les points manquants</v>
      </c>
      <c r="D28" s="1"/>
      <c r="E28" s="1"/>
    </row>
  </sheetData>
  <mergeCells count="1">
    <mergeCell ref="C28:E28"/>
  </mergeCells>
  <conditionalFormatting sqref="C6:C25">
    <cfRule type="cellIs" dxfId="1" priority="2" operator="equal">
      <formula>"Oui"</formula>
    </cfRule>
    <cfRule type="cellIs" dxfId="0" priority="3" operator="equal">
      <formula>"Non"</formula>
    </cfRule>
  </conditionalFormatting>
  <dataValidations count="1">
    <dataValidation type="list" allowBlank="1" sqref="C6:C25" xr:uid="{00000000-0002-0000-0D00-000000000000}">
      <formula1>"Oui,Non"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14</vt:i4>
      </vt:variant>
    </vt:vector>
  </HeadingPairs>
  <TitlesOfParts>
    <vt:vector size="14" baseType="lpstr">
      <vt:lpstr>Tableau de bord</vt:lpstr>
      <vt:lpstr>Accueil</vt:lpstr>
      <vt:lpstr>Paramètres</vt:lpstr>
      <vt:lpstr>Catalogue</vt:lpstr>
      <vt:lpstr>Grille produit</vt:lpstr>
      <vt:lpstr>Calcul marge</vt:lpstr>
      <vt:lpstr>Suivi pubs</vt:lpstr>
      <vt:lpstr>Synthèse pubs</vt:lpstr>
      <vt:lpstr>Ventes</vt:lpstr>
      <vt:lpstr>Clients</vt:lpstr>
      <vt:lpstr>Dépenses</vt:lpstr>
      <vt:lpstr>Bilan annuel</vt:lpstr>
      <vt:lpstr>Plan 30 jours</vt:lpstr>
      <vt:lpstr>Page pro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Serigne Abdoul Ahad SARR</cp:lastModifiedBy>
  <cp:revision>1</cp:revision>
  <dcterms:created xsi:type="dcterms:W3CDTF">2026-10-14T11:03:11Z</dcterms:created>
  <dcterms:modified xsi:type="dcterms:W3CDTF">2026-10-14T11:34:24Z</dcterms:modified>
  <dc:language>en-US</dc:language>
</cp:coreProperties>
</file>